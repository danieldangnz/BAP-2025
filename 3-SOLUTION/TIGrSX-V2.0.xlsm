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temahau-my.sharepoint.com/personal/tedjat1_student_eit_ac_nz/Documents/"/>
    </mc:Choice>
  </mc:AlternateContent>
  <xr:revisionPtr revIDLastSave="757" documentId="13_ncr:1_{08BAEE31-C048-475F-A640-75BFCDA4DC0A}" xr6:coauthVersionLast="47" xr6:coauthVersionMax="47" xr10:uidLastSave="{8F8AD0A9-FCDF-459C-8323-63B47F12B07A}"/>
  <bookViews>
    <workbookView xWindow="-120" yWindow="-120" windowWidth="25440" windowHeight="15390" tabRatio="565" activeTab="2"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6" i="6" l="1"/>
  <c r="I116" i="6" s="1"/>
  <c r="L116" i="6"/>
  <c r="O116"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5" i="6" l="1"/>
  <c r="I115" i="6" s="1"/>
  <c r="L115" i="6"/>
  <c r="O115" i="6"/>
  <c r="D114" i="6"/>
  <c r="I114" i="6" s="1"/>
  <c r="L114" i="6"/>
  <c r="O114" i="6"/>
  <c r="D113" i="6" l="1"/>
  <c r="I113" i="6" s="1"/>
  <c r="L113" i="6"/>
  <c r="O113"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2" i="6"/>
  <c r="E29" i="3" l="1"/>
  <c r="G29" i="3" s="1"/>
  <c r="I29" i="3"/>
  <c r="K29" i="3"/>
  <c r="N115" i="6" l="1"/>
  <c r="M115" i="6" s="1"/>
  <c r="N114" i="6"/>
  <c r="M114" i="6" s="1"/>
  <c r="J29" i="3"/>
  <c r="N113" i="6"/>
  <c r="M113" i="6" s="1"/>
  <c r="E28" i="3"/>
  <c r="G28" i="3" s="1"/>
  <c r="J28" i="3" s="1"/>
  <c r="I28" i="3"/>
  <c r="K28"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I112"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7" i="3"/>
  <c r="G27" i="3" s="1"/>
  <c r="J27" i="3" s="1"/>
  <c r="I27" i="3"/>
  <c r="K27" i="3"/>
  <c r="E26" i="3"/>
  <c r="G26" i="3" s="1"/>
  <c r="J26" i="3" s="1"/>
  <c r="I26" i="3"/>
  <c r="K26" i="3"/>
  <c r="E25" i="3"/>
  <c r="G25" i="3" s="1"/>
  <c r="J25" i="3" s="1"/>
  <c r="I25" i="3"/>
  <c r="K25" i="3"/>
  <c r="E24" i="3" l="1"/>
  <c r="G24" i="3" s="1"/>
  <c r="J24" i="3" s="1"/>
  <c r="I24" i="3"/>
  <c r="K24" i="3"/>
  <c r="E23" i="3"/>
  <c r="G23" i="3" s="1"/>
  <c r="J23" i="3" s="1"/>
  <c r="I23" i="3"/>
  <c r="K23" i="3"/>
  <c r="E22" i="3"/>
  <c r="G22" i="3" s="1"/>
  <c r="J22" i="3" s="1"/>
  <c r="I22" i="3"/>
  <c r="K22" i="3"/>
  <c r="E21" i="3" l="1"/>
  <c r="G21" i="3" s="1"/>
  <c r="J21" i="3" s="1"/>
  <c r="I21" i="3"/>
  <c r="K21" i="3"/>
  <c r="E20" i="3" l="1"/>
  <c r="G20" i="3" s="1"/>
  <c r="J20" i="3" s="1"/>
  <c r="I20" i="3"/>
  <c r="K20" i="3"/>
  <c r="E19" i="3"/>
  <c r="G19" i="3" s="1"/>
  <c r="J19" i="3" s="1"/>
  <c r="I19" i="3"/>
  <c r="K19" i="3"/>
  <c r="E18" i="3" l="1"/>
  <c r="G18" i="3" s="1"/>
  <c r="J18" i="3" s="1"/>
  <c r="I18" i="3"/>
  <c r="K18" i="3"/>
  <c r="E17" i="3"/>
  <c r="G17" i="3" s="1"/>
  <c r="J17" i="3" s="1"/>
  <c r="I17" i="3"/>
  <c r="K17" i="3"/>
  <c r="E16" i="3" l="1"/>
  <c r="G16" i="3" s="1"/>
  <c r="J16" i="3" s="1"/>
  <c r="I16" i="3"/>
  <c r="K16" i="3"/>
  <c r="E15" i="3"/>
  <c r="G15" i="3" s="1"/>
  <c r="I15" i="3"/>
  <c r="K15" i="3"/>
  <c r="E14" i="3"/>
  <c r="G14" i="3" s="1"/>
  <c r="J14" i="3" s="1"/>
  <c r="I14" i="3"/>
  <c r="K14" i="3"/>
  <c r="J15" i="3" l="1"/>
  <c r="N116" i="6"/>
  <c r="M116"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N112" i="6"/>
  <c r="M112"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CJ225" i="7" s="1"/>
  <c r="CL225" i="7" s="1"/>
  <c r="O2" i="6"/>
  <c r="CJ224" i="7" l="1"/>
  <c r="CL224" i="7" s="1"/>
  <c r="CJ4" i="7"/>
  <c r="CL4" i="7" s="1"/>
  <c r="CJ2" i="7"/>
  <c r="CL2" i="7" s="1"/>
  <c r="CJ3" i="7"/>
  <c r="CL3" i="7" s="1"/>
  <c r="L2" i="6"/>
</calcChain>
</file>

<file path=xl/sharedStrings.xml><?xml version="1.0" encoding="utf-8"?>
<sst xmlns="http://schemas.openxmlformats.org/spreadsheetml/2006/main" count="9668" uniqueCount="2282">
  <si>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</si>
  <si>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</si>
  <si>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</si>
  <si>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</si>
  <si>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</si>
  <si>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</si>
  <si>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</si>
  <si>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</si>
  <si>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</si>
  <si>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</si>
  <si>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</si>
  <si>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</si>
  <si>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</si>
  <si>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</si>
  <si>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</si>
  <si>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</si>
  <si>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</si>
  <si>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</si>
  <si>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</si>
  <si>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</si>
  <si>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</si>
  <si>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</si>
  <si>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</si>
  <si>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</si>
  <si>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</si>
  <si>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</si>
  <si>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</si>
  <si>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</si>
  <si>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</si>
  <si>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</si>
  <si>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</si>
  <si>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1</t>
  </si>
  <si>
    <t>EDSS</t>
  </si>
  <si>
    <t>Changed</t>
  </si>
  <si>
    <t>cha</t>
  </si>
  <si>
    <t>Oct</t>
  </si>
  <si>
    <t>Nursing</t>
  </si>
  <si>
    <t>vbnmvbnm</t>
  </si>
  <si>
    <t>SoN</t>
  </si>
  <si>
    <t>Ruatoria</t>
  </si>
  <si>
    <t>BRU</t>
  </si>
  <si>
    <t>Second Create Test</t>
  </si>
  <si>
    <t>puiop</t>
  </si>
  <si>
    <t>Jan</t>
  </si>
  <si>
    <t>dfghdfghdfghdfgh</t>
  </si>
  <si>
    <t>dfgh</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</si>
  <si>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</si>
  <si>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</si>
  <si>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</si>
  <si>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</si>
  <si>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</si>
  <si>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</si>
  <si>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</si>
  <si>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</si>
  <si>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</si>
  <si>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</si>
  <si>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</si>
  <si>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</si>
  <si>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</si>
  <si>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</si>
  <si>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</si>
  <si>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</si>
  <si>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</si>
  <si>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</si>
  <si>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</si>
  <si>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</si>
  <si>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CourseID</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</si>
  <si>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</si>
  <si>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</si>
  <si>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</si>
  <si>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</si>
  <si>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</si>
  <si>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</si>
  <si>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</si>
  <si>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</si>
  <si>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</si>
  <si>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</si>
  <si>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</si>
  <si>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</si>
  <si>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</si>
  <si>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</si>
  <si>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</si>
  <si>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HB</t>
  </si>
  <si>
    <t>Accounting for Taxation</t>
  </si>
  <si>
    <t>AC4.02</t>
  </si>
  <si>
    <t>Accounting Software</t>
  </si>
  <si>
    <t>AC4.03</t>
  </si>
  <si>
    <t>Apr</t>
  </si>
  <si>
    <t>Payroll</t>
  </si>
  <si>
    <t>AC4.04</t>
  </si>
  <si>
    <t>Introduction to Accounting and Taxation</t>
  </si>
  <si>
    <t>ACCY5101</t>
  </si>
  <si>
    <t>TC</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</si>
  <si>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</si>
  <si>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</si>
  <si>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</si>
  <si>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</si>
  <si>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</si>
  <si>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</si>
  <si>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</si>
  <si>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</si>
  <si>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</si>
  <si>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</si>
  <si>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</si>
  <si>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</si>
  <si>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</si>
  <si>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</si>
  <si>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</si>
  <si>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</si>
  <si>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</si>
  <si>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</si>
  <si>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</si>
  <si>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</si>
  <si>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</si>
  <si>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</si>
  <si>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</si>
  <si>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</si>
  <si>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</si>
  <si>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</si>
  <si>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</si>
  <si>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</si>
  <si>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</si>
  <si>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</si>
  <si>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</si>
  <si>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</si>
  <si>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</si>
  <si>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</si>
  <si>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</si>
  <si>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</si>
  <si>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</si>
  <si>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</si>
  <si>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</si>
  <si>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</si>
  <si>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</si>
  <si>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</si>
  <si>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</si>
  <si>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</si>
  <si>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</si>
  <si>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</si>
  <si>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</si>
  <si>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</si>
  <si>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</si>
  <si>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</si>
  <si>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</si>
  <si>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</si>
  <si>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</si>
  <si>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</si>
  <si>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</si>
  <si>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</si>
  <si>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</si>
  <si>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</si>
  <si>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</si>
  <si>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</si>
  <si>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</si>
  <si>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</si>
  <si>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</si>
  <si>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</si>
  <si>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</si>
  <si>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</si>
  <si>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</si>
  <si>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</si>
  <si>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</si>
  <si>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</si>
  <si>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</si>
  <si>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</si>
  <si>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</si>
  <si>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</si>
  <si>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</si>
  <si>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</si>
  <si>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</si>
  <si>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</si>
  <si>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</si>
  <si>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</si>
  <si>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</si>
  <si>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</si>
  <si>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</si>
  <si>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</si>
  <si>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</si>
  <si>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</si>
  <si>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</si>
  <si>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</si>
  <si>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</si>
  <si>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</si>
  <si>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</si>
  <si>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</si>
  <si>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</si>
  <si>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exceciec</t>
  </si>
  <si>
    <t>EX</t>
  </si>
  <si>
    <t>ID</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</si>
  <si>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</si>
  <si>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</si>
  <si>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</si>
  <si>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</si>
  <si>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</si>
  <si>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</si>
  <si>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</si>
  <si>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</si>
  <si>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</si>
  <si>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</si>
  <si>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</si>
  <si>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</si>
  <si>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</si>
  <si>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</si>
  <si>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</si>
  <si>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</si>
  <si>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Accl4/5</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</si>
  <si>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</si>
  <si>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</si>
  <si>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</si>
  <si>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</si>
  <si>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</si>
  <si>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</si>
  <si>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</si>
  <si>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</si>
  <si>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</si>
  <si>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</si>
  <si>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</si>
  <si>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</si>
  <si>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</si>
  <si>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</si>
  <si>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</si>
  <si>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</si>
  <si>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</si>
  <si>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</si>
  <si>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</si>
  <si>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</si>
  <si>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</si>
  <si>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</si>
  <si>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</si>
  <si>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</si>
  <si>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</si>
  <si>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</si>
  <si>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</si>
  <si>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</si>
  <si>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</si>
  <si>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</si>
  <si>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</si>
  <si>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</si>
  <si>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</si>
  <si>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</si>
  <si>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</si>
  <si>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</si>
  <si>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</si>
  <si>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</si>
  <si>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</si>
  <si>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</si>
  <si>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</si>
  <si>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</si>
  <si>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</si>
  <si>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</si>
  <si>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</si>
  <si>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</si>
  <si>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</si>
  <si>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</si>
  <si>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</si>
  <si>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</si>
  <si>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</si>
  <si>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</si>
  <si>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</si>
  <si>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</si>
  <si>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</si>
  <si>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</si>
  <si>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</si>
  <si>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</si>
  <si>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</si>
  <si>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</si>
  <si>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</si>
  <si>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</si>
  <si>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</si>
  <si>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</si>
  <si>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</si>
  <si>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</si>
  <si>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</si>
  <si>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</si>
  <si>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</si>
  <si>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</si>
  <si>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</si>
  <si>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</si>
  <si>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</si>
  <si>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</si>
  <si>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</si>
  <si>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</si>
  <si>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</si>
  <si>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</si>
  <si>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Barbara Stokes</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</si>
  <si>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</si>
  <si>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</si>
  <si>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</si>
  <si>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</si>
  <si>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</si>
  <si>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</si>
  <si>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</si>
  <si>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</si>
  <si>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</si>
  <si>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</si>
  <si>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</si>
  <si>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</si>
  <si>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</si>
  <si>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</si>
  <si>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</si>
  <si>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</si>
  <si>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</si>
  <si>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</si>
  <si>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</si>
  <si>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</si>
  <si>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</si>
  <si>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</si>
  <si>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</si>
  <si>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</si>
  <si>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</si>
  <si>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</si>
  <si>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</si>
  <si>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</si>
  <si>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</si>
  <si>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</si>
  <si>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</si>
  <si>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</si>
  <si>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</si>
  <si>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</si>
  <si>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</si>
  <si>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</si>
  <si>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</si>
  <si>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</si>
  <si>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</si>
  <si>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</si>
  <si>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</si>
  <si>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</si>
  <si>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</si>
  <si>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</si>
  <si>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</si>
  <si>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</si>
  <si>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</si>
  <si>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</si>
  <si>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</si>
  <si>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</si>
  <si>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</si>
  <si>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</si>
  <si>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</si>
  <si>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</si>
  <si>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</si>
  <si>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</si>
  <si>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</si>
  <si>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</si>
  <si>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</si>
  <si>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</si>
  <si>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</si>
  <si>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</si>
  <si>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</si>
  <si>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</si>
  <si>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</si>
  <si>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</si>
  <si>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</si>
  <si>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</si>
  <si>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</si>
  <si>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</si>
  <si>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</si>
  <si>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</si>
  <si>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</si>
  <si>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</si>
  <si>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</si>
  <si>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</si>
  <si>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</si>
  <si>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</si>
  <si>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</si>
  <si>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</si>
  <si>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</si>
  <si>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</si>
  <si>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</si>
  <si>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</si>
  <si>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</si>
  <si>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</si>
  <si>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</si>
  <si>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</si>
  <si>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</si>
  <si>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</si>
  <si>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</si>
  <si>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</si>
  <si>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</si>
  <si>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</si>
  <si>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</si>
  <si>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</si>
  <si>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</si>
  <si>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</si>
  <si>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</si>
  <si>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</si>
  <si>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</si>
  <si>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</si>
  <si>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Conrad Schumacher</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</si>
  <si>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</si>
  <si>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</si>
  <si>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</si>
  <si>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</si>
  <si>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</si>
  <si>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</si>
  <si>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</si>
  <si>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</si>
  <si>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</si>
  <si>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</si>
  <si>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</si>
  <si>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</si>
  <si>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</si>
  <si>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</si>
  <si>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</si>
  <si>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</si>
  <si>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</si>
  <si>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</si>
  <si>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</si>
  <si>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</si>
  <si>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</si>
  <si>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</si>
  <si>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</si>
  <si>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</si>
  <si>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</si>
  <si>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</si>
  <si>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</si>
  <si>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</si>
  <si>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</si>
  <si>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</si>
  <si>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</si>
  <si>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</si>
  <si>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</si>
  <si>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</si>
  <si>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</si>
  <si>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</si>
  <si>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</si>
  <si>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</si>
  <si>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</si>
  <si>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</si>
  <si>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</si>
  <si>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</si>
  <si>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</si>
  <si>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</si>
  <si>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</si>
  <si>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</si>
  <si>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</si>
  <si>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</si>
  <si>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</si>
  <si>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</si>
  <si>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</si>
  <si>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</si>
  <si>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</si>
  <si>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</si>
  <si>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</si>
  <si>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</si>
  <si>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</si>
  <si>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</si>
  <si>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</si>
  <si>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</si>
  <si>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</si>
  <si>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</si>
  <si>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</si>
  <si>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</si>
  <si>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</si>
  <si>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</si>
  <si>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</si>
  <si>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</si>
  <si>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</si>
  <si>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</si>
  <si>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</si>
  <si>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</si>
  <si>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</si>
  <si>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</si>
  <si>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</si>
  <si>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</si>
  <si>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</si>
  <si>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</si>
  <si>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ELC</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</si>
  <si>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</si>
  <si>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</si>
  <si>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</si>
  <si>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</si>
  <si>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</si>
  <si>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</si>
  <si>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</si>
  <si>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</si>
  <si>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</si>
  <si>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</si>
  <si>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</si>
  <si>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</si>
  <si>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</si>
  <si>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</si>
  <si>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</si>
  <si>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</si>
  <si>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</si>
  <si>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</si>
  <si>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</si>
  <si>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</si>
  <si>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</si>
  <si>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</si>
  <si>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</si>
  <si>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</si>
  <si>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</si>
  <si>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</si>
  <si>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</si>
  <si>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</si>
  <si>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</si>
  <si>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</si>
  <si>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</si>
  <si>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</si>
  <si>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</si>
  <si>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</si>
  <si>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</si>
  <si>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</si>
  <si>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</si>
  <si>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</si>
  <si>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</si>
  <si>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</si>
  <si>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</si>
  <si>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</si>
  <si>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</si>
  <si>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</si>
  <si>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</si>
  <si>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</si>
  <si>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</si>
  <si>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</si>
  <si>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</si>
  <si>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</si>
  <si>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</si>
  <si>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</si>
  <si>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</si>
  <si>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</si>
  <si>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</si>
  <si>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</si>
  <si>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</si>
  <si>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</si>
  <si>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</si>
  <si>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</si>
  <si>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</si>
  <si>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</si>
  <si>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</si>
  <si>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</si>
  <si>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</si>
  <si>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</si>
  <si>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</si>
  <si>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</si>
  <si>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</si>
  <si>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</si>
  <si>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</si>
  <si>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</si>
  <si>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</si>
  <si>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</si>
  <si>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</si>
  <si>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</si>
  <si>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</si>
  <si>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</si>
  <si>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</si>
  <si>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</si>
  <si>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</si>
  <si>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</si>
  <si>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</si>
  <si>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</si>
  <si>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</si>
  <si>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</si>
  <si>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</si>
  <si>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</si>
  <si>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</si>
  <si>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</si>
  <si>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</si>
  <si>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</si>
  <si>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</si>
  <si>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</si>
  <si>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</si>
  <si>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Ian Allan</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</si>
  <si>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</si>
  <si>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</si>
  <si>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</si>
  <si>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</si>
  <si>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</si>
  <si>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</si>
  <si>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</si>
  <si>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</si>
  <si>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</si>
  <si>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</si>
  <si>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</si>
  <si>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</si>
  <si>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</si>
  <si>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</si>
  <si>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</si>
  <si>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Jaikaran Narula</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</si>
  <si>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</si>
  <si>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</si>
  <si>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</si>
  <si>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</si>
  <si>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</si>
  <si>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</si>
  <si>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</si>
  <si>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</si>
  <si>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</si>
  <si>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</si>
  <si>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</si>
  <si>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</si>
  <si>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</si>
  <si>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</si>
  <si>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</si>
  <si>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</si>
  <si>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</si>
  <si>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</si>
  <si>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</si>
  <si>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</si>
  <si>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</si>
  <si>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</si>
  <si>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</si>
  <si>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</si>
  <si>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</si>
  <si>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</si>
  <si>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</si>
  <si>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</si>
  <si>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</si>
  <si>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</si>
  <si>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</si>
  <si>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</si>
  <si>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</si>
  <si>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</si>
  <si>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</si>
  <si>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</si>
  <si>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</si>
  <si>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Joanna Frain</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</si>
  <si>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</si>
  <si>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</si>
  <si>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</si>
  <si>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</si>
  <si>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</si>
  <si>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</si>
  <si>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</si>
  <si>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</si>
  <si>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</si>
  <si>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</si>
  <si>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</si>
  <si>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</si>
  <si>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</si>
  <si>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</si>
  <si>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</si>
  <si>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John Thomas</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</si>
  <si>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</si>
  <si>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</si>
  <si>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</si>
  <si>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</si>
  <si>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</si>
  <si>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</si>
  <si>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</si>
  <si>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</si>
  <si>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</si>
  <si>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</si>
  <si>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</si>
  <si>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</si>
  <si>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</si>
  <si>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</si>
  <si>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</si>
  <si>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</si>
  <si>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</si>
  <si>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</si>
  <si>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</si>
  <si>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</si>
  <si>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</si>
  <si>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</si>
  <si>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</si>
  <si>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</si>
  <si>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</si>
  <si>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</si>
  <si>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</si>
  <si>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</si>
  <si>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</si>
  <si>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</si>
  <si>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</si>
  <si>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</si>
  <si>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</si>
  <si>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</si>
  <si>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</si>
  <si>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</si>
  <si>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</si>
  <si>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</si>
  <si>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</si>
  <si>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</si>
  <si>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</si>
  <si>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</si>
  <si>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</si>
  <si>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</si>
  <si>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</si>
  <si>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</si>
  <si>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</si>
  <si>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</si>
  <si>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</si>
  <si>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</si>
  <si>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</si>
  <si>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</si>
  <si>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</si>
  <si>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</si>
  <si>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</si>
  <si>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</si>
  <si>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</si>
  <si>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</si>
  <si>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</si>
  <si>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</si>
  <si>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</si>
  <si>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</si>
  <si>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</si>
  <si>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</si>
  <si>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</si>
  <si>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</si>
  <si>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</si>
  <si>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</si>
  <si>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</si>
  <si>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</si>
  <si>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</si>
  <si>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</si>
  <si>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</si>
  <si>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</si>
  <si>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</si>
  <si>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</si>
  <si>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</si>
  <si>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</si>
  <si>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</si>
  <si>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</si>
  <si>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</si>
  <si>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</si>
  <si>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</si>
  <si>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</si>
  <si>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</si>
  <si>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</si>
  <si>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</si>
  <si>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</si>
  <si>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</si>
  <si>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</si>
  <si>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</si>
  <si>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</si>
  <si>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</si>
  <si>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Louise MacKenzie</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</si>
  <si>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</si>
  <si>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</si>
  <si>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</si>
  <si>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</si>
  <si>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</si>
  <si>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</si>
  <si>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</si>
  <si>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</si>
  <si>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</si>
  <si>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</si>
  <si>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</si>
  <si>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</si>
  <si>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</si>
  <si>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</si>
  <si>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</si>
  <si>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</si>
  <si>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</si>
  <si>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</si>
  <si>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</si>
  <si>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</si>
  <si>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</si>
  <si>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</si>
  <si>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</si>
  <si>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</si>
  <si>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</si>
  <si>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</si>
  <si>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</si>
  <si>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</si>
  <si>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</si>
  <si>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</si>
  <si>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</si>
  <si>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</si>
  <si>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</si>
  <si>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</si>
  <si>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</si>
  <si>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</si>
  <si>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</si>
  <si>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</si>
  <si>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</si>
  <si>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</si>
  <si>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</si>
  <si>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</si>
  <si>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</si>
  <si>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</si>
  <si>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</si>
  <si>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</si>
  <si>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</si>
  <si>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</si>
  <si>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</si>
  <si>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Mark Scott</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</si>
  <si>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</si>
  <si>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</si>
  <si>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</si>
  <si>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</si>
  <si>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</si>
  <si>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</si>
  <si>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</si>
  <si>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</si>
  <si>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</si>
  <si>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</si>
  <si>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</si>
  <si>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</si>
  <si>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</si>
  <si>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</si>
  <si>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</si>
  <si>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</si>
  <si>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</si>
  <si>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</si>
  <si>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</si>
  <si>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</si>
  <si>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</si>
  <si>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</si>
  <si>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</si>
  <si>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</si>
  <si>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</si>
  <si>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</si>
  <si>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</si>
  <si>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</si>
  <si>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</si>
  <si>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</si>
  <si>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</si>
  <si>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</si>
  <si>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</si>
  <si>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Michelle Simbulan</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</si>
  <si>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</si>
  <si>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</si>
  <si>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</si>
  <si>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</si>
  <si>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</si>
  <si>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</si>
  <si>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</si>
  <si>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</si>
  <si>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</si>
  <si>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</si>
  <si>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</si>
  <si>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</si>
  <si>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</si>
  <si>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</si>
  <si>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</si>
  <si>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</si>
  <si>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</si>
  <si>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</si>
  <si>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</si>
  <si>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</si>
  <si>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</si>
  <si>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</si>
  <si>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</si>
  <si>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</si>
  <si>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</si>
  <si>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</si>
  <si>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</si>
  <si>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</si>
  <si>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</si>
  <si>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</si>
  <si>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</si>
  <si>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Nick Cordery</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</si>
  <si>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</si>
  <si>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</si>
  <si>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</si>
  <si>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</si>
  <si>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</si>
  <si>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</si>
  <si>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</si>
  <si>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</si>
  <si>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</si>
  <si>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</si>
  <si>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</si>
  <si>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</si>
  <si>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</si>
  <si>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</si>
  <si>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</si>
  <si>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</si>
  <si>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</si>
  <si>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</si>
  <si>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</si>
  <si>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</si>
  <si>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</si>
  <si>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</si>
  <si>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</si>
  <si>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</si>
  <si>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</si>
  <si>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</si>
  <si>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</si>
  <si>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</si>
  <si>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</si>
  <si>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</si>
  <si>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</si>
  <si>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</si>
  <si>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</si>
  <si>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</si>
  <si>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</si>
  <si>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</si>
  <si>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</si>
  <si>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</si>
  <si>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</si>
  <si>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</si>
  <si>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</si>
  <si>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</si>
  <si>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</si>
  <si>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</si>
  <si>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</si>
  <si>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</si>
  <si>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</si>
  <si>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</si>
  <si>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</si>
  <si>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</si>
  <si>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</si>
  <si>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</si>
  <si>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</si>
  <si>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</si>
  <si>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</si>
  <si>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</si>
  <si>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</si>
  <si>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</si>
  <si>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</si>
  <si>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</si>
  <si>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</si>
  <si>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</si>
  <si>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</si>
  <si>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</si>
  <si>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</si>
  <si>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</si>
  <si>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</si>
  <si>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</si>
  <si>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</si>
  <si>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</si>
  <si>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</si>
  <si>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</si>
  <si>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</si>
  <si>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</si>
  <si>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</si>
  <si>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</si>
  <si>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</si>
  <si>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</si>
  <si>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</si>
  <si>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</si>
  <si>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</si>
  <si>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</si>
  <si>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</si>
  <si>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Pii-Tuulia Nikula</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</si>
  <si>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</si>
  <si>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</si>
  <si>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</si>
  <si>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</si>
  <si>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</si>
  <si>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</si>
  <si>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</si>
  <si>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</si>
  <si>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</si>
  <si>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</si>
  <si>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</si>
  <si>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</si>
  <si>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</si>
  <si>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</si>
  <si>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</si>
  <si>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</si>
  <si>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</si>
  <si>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</si>
  <si>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</si>
  <si>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</si>
  <si>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</si>
  <si>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</si>
  <si>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</si>
  <si>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</si>
  <si>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</si>
  <si>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</si>
  <si>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RACHAEL REHU</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</si>
  <si>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</si>
  <si>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</si>
  <si>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</si>
  <si>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</si>
  <si>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</si>
  <si>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</si>
  <si>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</si>
  <si>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</si>
  <si>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</si>
  <si>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</si>
  <si>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</si>
  <si>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</si>
  <si>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</si>
  <si>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</si>
  <si>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</si>
  <si>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</si>
  <si>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</si>
  <si>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</si>
  <si>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</si>
  <si>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Ram Roy</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</si>
  <si>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</si>
  <si>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</si>
  <si>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</si>
  <si>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</si>
  <si>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</si>
  <si>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</si>
  <si>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</si>
  <si>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</si>
  <si>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</si>
  <si>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</si>
  <si>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</si>
  <si>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</si>
  <si>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</si>
  <si>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</si>
  <si>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</si>
  <si>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</si>
  <si>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</si>
  <si>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</si>
  <si>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</si>
  <si>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</si>
  <si>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</si>
  <si>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</si>
  <si>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</si>
  <si>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</si>
  <si>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</si>
  <si>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</si>
  <si>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</si>
  <si>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Robbie Field</t>
  </si>
  <si>
    <t>Field, R</t>
  </si>
  <si>
    <t>Robert Davis</t>
  </si>
  <si>
    <t>Davis, R</t>
  </si>
  <si>
    <t>ROBYN PASCOE</t>
  </si>
  <si>
    <t>PASCOE, R</t>
  </si>
  <si>
    <t>Roger Kelly</t>
  </si>
  <si>
    <t>Kelly, R</t>
  </si>
  <si>
    <t>Ropiha, R</t>
  </si>
  <si>
    <t>Ropitini, S</t>
  </si>
  <si>
    <t>Rosemary Reeve</t>
  </si>
  <si>
    <t>Reeve, R</t>
  </si>
  <si>
    <t>Russell Booth</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</si>
  <si>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</si>
  <si>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</si>
  <si>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</si>
  <si>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</si>
  <si>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</si>
  <si>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</si>
  <si>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</si>
  <si>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</si>
  <si>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</si>
  <si>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</si>
  <si>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</si>
  <si>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</si>
  <si>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</si>
  <si>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</si>
  <si>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</si>
  <si>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</si>
  <si>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</si>
  <si>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</si>
  <si>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</si>
  <si>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</si>
  <si>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</si>
  <si>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</si>
  <si>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</si>
  <si>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</si>
  <si>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</si>
  <si>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</si>
  <si>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</si>
  <si>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</si>
  <si>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</si>
  <si>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</si>
  <si>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</si>
  <si>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</si>
  <si>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</si>
  <si>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</si>
  <si>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</si>
  <si>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</si>
  <si>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</si>
  <si>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</si>
  <si>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</si>
  <si>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</si>
  <si>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</si>
  <si>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</si>
  <si>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</si>
  <si>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</si>
  <si>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</si>
  <si>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</si>
  <si>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</si>
  <si>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</si>
  <si>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</si>
  <si>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</si>
  <si>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</si>
  <si>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</si>
  <si>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</si>
  <si>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</si>
  <si>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</si>
  <si>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</si>
  <si>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</si>
  <si>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</si>
  <si>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</si>
  <si>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</si>
  <si>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</si>
  <si>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</si>
  <si>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</si>
  <si>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</si>
  <si>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</si>
  <si>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</si>
  <si>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</si>
  <si>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</si>
  <si>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</si>
  <si>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</si>
  <si>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</si>
  <si>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</si>
  <si>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</si>
  <si>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</si>
  <si>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</si>
  <si>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</si>
  <si>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</si>
  <si>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</si>
  <si>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</si>
  <si>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</si>
  <si>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</si>
  <si>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</si>
  <si>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</si>
  <si>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</si>
  <si>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</si>
  <si>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</si>
  <si>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</si>
  <si>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</si>
  <si>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</si>
  <si>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</si>
  <si>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</si>
  <si>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</si>
  <si>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</si>
  <si>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</si>
  <si>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</si>
  <si>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</si>
  <si>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</si>
  <si>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</si>
  <si>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</si>
  <si>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Surej P John</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</si>
  <si>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</si>
  <si>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</si>
  <si>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</si>
  <si>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</si>
  <si>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</si>
  <si>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</si>
  <si>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</si>
  <si>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</si>
  <si>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</si>
  <si>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</si>
  <si>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</si>
  <si>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</si>
  <si>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</si>
  <si>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</si>
  <si>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</si>
  <si>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</si>
  <si>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</si>
  <si>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</si>
  <si>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</si>
  <si>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</si>
  <si>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</si>
  <si>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</si>
  <si>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</si>
  <si>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</si>
  <si>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</si>
  <si>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</si>
  <si>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</si>
  <si>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</si>
  <si>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</si>
  <si>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</si>
  <si>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</si>
  <si>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</si>
  <si>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</si>
  <si>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</si>
  <si>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</si>
  <si>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</si>
  <si>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</si>
  <si>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</si>
  <si>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</si>
  <si>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</si>
  <si>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</si>
  <si>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</si>
  <si>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</si>
  <si>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</si>
  <si>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</si>
  <si>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</si>
  <si>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</si>
  <si>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</si>
  <si>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</si>
  <si>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</si>
  <si>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</si>
  <si>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</si>
  <si>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</si>
  <si>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</si>
  <si>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</si>
  <si>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</si>
  <si>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</si>
  <si>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</si>
  <si>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</si>
  <si>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</si>
  <si>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</si>
  <si>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</si>
  <si>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</si>
  <si>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</si>
  <si>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</si>
  <si>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</si>
  <si>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</si>
  <si>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</si>
  <si>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</si>
  <si>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</si>
  <si>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</si>
  <si>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</si>
  <si>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</si>
  <si>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</si>
  <si>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</si>
  <si>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</si>
  <si>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</si>
  <si>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</si>
  <si>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</si>
  <si>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</si>
  <si>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</si>
  <si>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</si>
  <si>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</si>
  <si>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</si>
  <si>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</si>
  <si>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</si>
  <si>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</si>
  <si>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</si>
  <si>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</si>
  <si>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</si>
  <si>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</si>
  <si>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</si>
  <si>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</si>
  <si>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</si>
  <si>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</si>
  <si>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</si>
  <si>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</si>
  <si>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</si>
  <si>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</si>
  <si>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</si>
  <si>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</si>
  <si>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</si>
  <si>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</si>
  <si>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</si>
  <si>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</si>
  <si>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</si>
  <si>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</si>
  <si>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</si>
  <si>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</si>
  <si>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</si>
  <si>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</si>
  <si>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</si>
  <si>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</si>
  <si>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</si>
  <si>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</si>
  <si>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</si>
  <si>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</si>
  <si>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Type</t>
  </si>
  <si>
    <t>Code</t>
  </si>
  <si>
    <t>CampusName</t>
  </si>
  <si>
    <t>CampusCode</t>
  </si>
  <si>
    <t>HolidayID</t>
  </si>
  <si>
    <t>Action</t>
  </si>
  <si>
    <t>RoomType</t>
  </si>
  <si>
    <t>RoomLabel</t>
  </si>
  <si>
    <t>SectionCode</t>
  </si>
  <si>
    <t>Section</t>
  </si>
  <si>
    <t>Time</t>
  </si>
  <si>
    <t>SPlusTime</t>
  </si>
  <si>
    <t>Status</t>
  </si>
  <si>
    <t>Duration</t>
  </si>
  <si>
    <t>Periods</t>
  </si>
  <si>
    <t>Same Time</t>
  </si>
  <si>
    <t>RoomTypeInfo</t>
  </si>
  <si>
    <t>Lecture</t>
  </si>
  <si>
    <t>Lec</t>
  </si>
  <si>
    <t>-</t>
  </si>
  <si>
    <t>Cancel the activity</t>
  </si>
  <si>
    <t>Computer</t>
  </si>
  <si>
    <t>- Computer</t>
  </si>
  <si>
    <t>Business Relationship Unit</t>
  </si>
  <si>
    <t>None</t>
  </si>
  <si>
    <t xml:space="preserve">Make this the same time </t>
  </si>
  <si>
    <t>Computer rooms generally have the same software so do not require attributes to be selected.  Any non-standard software can be listed in Other Details.</t>
  </si>
  <si>
    <t>Tutorial</t>
  </si>
  <si>
    <t>Tut</t>
  </si>
  <si>
    <t>Ignore the holiday</t>
  </si>
  <si>
    <t>- Lecture</t>
  </si>
  <si>
    <t>2</t>
  </si>
  <si>
    <t>School of Business</t>
  </si>
  <si>
    <t>07:00</t>
  </si>
  <si>
    <t xml:space="preserve">Same time not needed </t>
  </si>
  <si>
    <t>This Activity needs the following lab type.</t>
  </si>
  <si>
    <t>Lab</t>
  </si>
  <si>
    <t>Hastings</t>
  </si>
  <si>
    <t>H</t>
  </si>
  <si>
    <t>Reschedule to another day/week</t>
  </si>
  <si>
    <t>Workshop</t>
  </si>
  <si>
    <t>-Workshop</t>
  </si>
  <si>
    <t>3</t>
  </si>
  <si>
    <t>School of Computing</t>
  </si>
  <si>
    <t>07:30</t>
  </si>
  <si>
    <t>This Activity needs the following Workshop.</t>
  </si>
  <si>
    <t>Wkshp</t>
  </si>
  <si>
    <t>CHB</t>
  </si>
  <si>
    <t>Offsite</t>
  </si>
  <si>
    <t>-Offsite</t>
  </si>
  <si>
    <t>4</t>
  </si>
  <si>
    <t>Education &amp; Social Services</t>
  </si>
  <si>
    <t>08:00</t>
  </si>
  <si>
    <t>This Activity needs the following type of Specialist space.</t>
  </si>
  <si>
    <t>Off</t>
  </si>
  <si>
    <t>W</t>
  </si>
  <si>
    <t>Specialist</t>
  </si>
  <si>
    <t>-Specialist</t>
  </si>
  <si>
    <t>5</t>
  </si>
  <si>
    <t>English Language Centre</t>
  </si>
  <si>
    <t>08:30</t>
  </si>
  <si>
    <t>Lecture spaces are all tiered and have the same equipment so do not require attributes to be selected.</t>
  </si>
  <si>
    <t>Other</t>
  </si>
  <si>
    <t>O</t>
  </si>
  <si>
    <t>Classroom</t>
  </si>
  <si>
    <t>- Classroom</t>
  </si>
  <si>
    <t>6</t>
  </si>
  <si>
    <t>FCT</t>
  </si>
  <si>
    <t>Faculty of Commerce &amp; Technology</t>
  </si>
  <si>
    <t>09:00</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</si>
  <si>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</si>
  <si>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</si>
  <si>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</si>
  <si>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</si>
  <si>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</si>
  <si>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</si>
  <si>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</si>
  <si>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</si>
  <si>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</si>
  <si>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</si>
  <si>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</si>
  <si>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</si>
  <si>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</si>
  <si>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-Laboratory</t>
  </si>
  <si>
    <t>HlthSportSci</t>
  </si>
  <si>
    <t>School of Health &amp; Sport Sciences</t>
  </si>
  <si>
    <t>10:00</t>
  </si>
  <si>
    <t>Practical</t>
  </si>
  <si>
    <t>Prac</t>
  </si>
  <si>
    <t>Online</t>
  </si>
  <si>
    <t>OL</t>
  </si>
  <si>
    <t>Type of Room</t>
  </si>
  <si>
    <t>IS</t>
  </si>
  <si>
    <t>IdeaSchool</t>
  </si>
  <si>
    <t>10:30</t>
  </si>
  <si>
    <t>Self Directed Session</t>
  </si>
  <si>
    <t>SD</t>
  </si>
  <si>
    <t>Auckland</t>
  </si>
  <si>
    <t>AK</t>
  </si>
  <si>
    <t>Mar</t>
  </si>
  <si>
    <t>School of Nursing</t>
  </si>
  <si>
    <t>11:00</t>
  </si>
  <si>
    <t>Clinic</t>
  </si>
  <si>
    <t>ISH</t>
  </si>
  <si>
    <t>SPI</t>
  </si>
  <si>
    <t>School of Primary Industries</t>
  </si>
  <si>
    <t>11:30</t>
  </si>
  <si>
    <t>Maraenui</t>
  </si>
  <si>
    <t>M</t>
  </si>
  <si>
    <t>May</t>
  </si>
  <si>
    <t>Tairawhiti</t>
  </si>
  <si>
    <t>12:00</t>
  </si>
  <si>
    <t>Noho</t>
  </si>
  <si>
    <t>Tokomaru</t>
  </si>
  <si>
    <t>Tk</t>
  </si>
  <si>
    <t>Jun</t>
  </si>
  <si>
    <t>Toiho</t>
  </si>
  <si>
    <t>Toihoukura</t>
  </si>
  <si>
    <t>12:30</t>
  </si>
  <si>
    <t>NA</t>
  </si>
  <si>
    <t>TourHosp</t>
  </si>
  <si>
    <t>School of Tourism and Hospitality</t>
  </si>
  <si>
    <t>13:00</t>
  </si>
  <si>
    <t>Alternate Sites HB</t>
  </si>
  <si>
    <t>AS</t>
  </si>
  <si>
    <t>Aug</t>
  </si>
  <si>
    <t>TradeTech</t>
  </si>
  <si>
    <t>School of Trades &amp; Technology</t>
  </si>
  <si>
    <t>13:30</t>
  </si>
  <si>
    <t>Sept</t>
  </si>
  <si>
    <t>TUW</t>
  </si>
  <si>
    <t>School of Te Uranga Waka</t>
  </si>
  <si>
    <t>14:00</t>
  </si>
  <si>
    <t>VET</t>
  </si>
  <si>
    <t>Centre for Veterinary Nursing</t>
  </si>
  <si>
    <t>14:30</t>
  </si>
  <si>
    <t>Nov</t>
  </si>
  <si>
    <t>Vit &amp; Wine</t>
  </si>
  <si>
    <t>School of Vit &amp; Wine</t>
  </si>
  <si>
    <t>15:00</t>
  </si>
  <si>
    <t>Dec</t>
  </si>
  <si>
    <t>School of Test</t>
  </si>
  <si>
    <t>15:30</t>
  </si>
  <si>
    <t>Apr24</t>
  </si>
  <si>
    <t>Test2</t>
  </si>
  <si>
    <t>Second school test</t>
  </si>
  <si>
    <t>16:00</t>
  </si>
  <si>
    <t>May24</t>
  </si>
  <si>
    <t>16:30</t>
  </si>
  <si>
    <t>Jun24</t>
  </si>
  <si>
    <t>17:00</t>
  </si>
  <si>
    <t>Jul24</t>
  </si>
  <si>
    <t>17:30</t>
  </si>
  <si>
    <t>18:00</t>
  </si>
  <si>
    <t>Sept24</t>
  </si>
  <si>
    <t>18:30</t>
  </si>
  <si>
    <t>19:00</t>
  </si>
  <si>
    <t>19:30</t>
  </si>
  <si>
    <t>20:00</t>
  </si>
  <si>
    <t>20:30</t>
  </si>
  <si>
    <t>21:00</t>
  </si>
  <si>
    <t>21:30</t>
  </si>
  <si>
    <t>22:00</t>
  </si>
  <si>
    <t>22:30</t>
  </si>
  <si>
    <t>23:00</t>
  </si>
  <si>
    <t>V2 Tests</t>
  </si>
  <si>
    <t>vttw</t>
  </si>
  <si>
    <t>CPT</t>
  </si>
  <si>
    <t>Edit Prog Test 2</t>
  </si>
  <si>
    <t>CourseTitle</t>
  </si>
  <si>
    <t>abc</t>
  </si>
  <si>
    <t>First Course</t>
  </si>
  <si>
    <t>ActID</t>
  </si>
  <si>
    <t>CourseNumbr</t>
  </si>
  <si>
    <t>ActivityType</t>
  </si>
  <si>
    <t>ActivityNumb</t>
  </si>
  <si>
    <t>SpecialLabel</t>
  </si>
  <si>
    <t>NumbStuds</t>
  </si>
  <si>
    <t>NumbStreams</t>
  </si>
  <si>
    <t>StaffWorking</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</si>
  <si>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</si>
  <si>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</si>
  <si>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</si>
  <si>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</si>
  <si>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</si>
  <si>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</si>
  <si>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</si>
  <si>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</si>
  <si>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</si>
  <si>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</si>
  <si>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</si>
  <si>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</si>
  <si>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</si>
  <si>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</si>
  <si>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</si>
  <si>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</si>
  <si>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</si>
  <si>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</si>
  <si>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</si>
  <si>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</si>
  <si>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</si>
  <si>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</si>
  <si>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</si>
  <si>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</si>
  <si>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</si>
  <si>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</si>
  <si>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</si>
  <si>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</si>
  <si>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</si>
  <si>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</si>
  <si>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</si>
  <si>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</si>
  <si>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</si>
  <si>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</si>
  <si>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</si>
  <si>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</si>
  <si>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</si>
  <si>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</si>
  <si>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</si>
  <si>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</si>
  <si>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</si>
  <si>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</si>
  <si>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</si>
  <si>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</si>
  <si>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</si>
  <si>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</si>
  <si>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</si>
  <si>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</si>
  <si>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</si>
  <si>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</si>
  <si>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</si>
  <si>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</si>
  <si>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</si>
  <si>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</si>
  <si>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</si>
  <si>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</si>
  <si>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</si>
  <si>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</si>
  <si>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</si>
  <si>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</si>
  <si>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</si>
  <si>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</si>
  <si>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</si>
  <si>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</si>
  <si>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</si>
  <si>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</si>
  <si>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</si>
  <si>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</si>
  <si>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</si>
  <si>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</si>
  <si>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</si>
  <si>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</si>
  <si>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</si>
  <si>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</si>
  <si>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</si>
  <si>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</si>
  <si>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TypeCheck</t>
  </si>
  <si>
    <t>ACodeCheck</t>
  </si>
  <si>
    <t/>
  </si>
  <si>
    <t>(C) Computing Block</t>
  </si>
  <si>
    <t>BC Term 1 - All, (7-15)</t>
  </si>
  <si>
    <t>Use Manual</t>
  </si>
  <si>
    <t>BC Term 2 -  All (18-26)</t>
  </si>
  <si>
    <t>_Area of Campus</t>
  </si>
  <si>
    <t>Cancel the Activity</t>
  </si>
  <si>
    <t>Sem 1, Teaching only (8-15,18-23)</t>
  </si>
  <si>
    <t>At least 1 day between Lecture 1 and Lecture 2 of this course.  Avoid clashes with BSNS5001, BSBS5002, BSNS5003, BSNS5004. ACCY5102, ACCY5103, ACCY5104</t>
  </si>
  <si>
    <t>Sem 2, Teaching only (30-39,42-45)</t>
  </si>
  <si>
    <t>_Area of CampusTC</t>
  </si>
  <si>
    <t>At least 1 day between Lecture 1 and Lecture 2 of this course.   Avoid clashes with BSNS5001, BSBS5002, BSNS5003, BSNS5004. ACCY5102, ACCY5103, ACCY5104</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</si>
  <si>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</si>
  <si>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</si>
  <si>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</si>
  <si>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</si>
  <si>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</si>
  <si>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</si>
  <si>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</si>
  <si>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</si>
  <si>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</si>
  <si>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</si>
  <si>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</si>
  <si>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</si>
  <si>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</si>
  <si>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</si>
  <si>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</si>
  <si>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</si>
  <si>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</si>
  <si>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(M) Block - John Rose Building</t>
  </si>
  <si>
    <t>Teams Capable Room</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</si>
  <si>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</si>
  <si>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</si>
  <si>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</si>
  <si>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</si>
  <si>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 xml:space="preserve"> At least 1 free day between Lecture 1 and Lecture 2 of this course.</t>
  </si>
  <si>
    <t>At least 1 free day between Lecture 1 and Lecture 2 of this course.</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</si>
  <si>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</si>
  <si>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</si>
  <si>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</si>
  <si>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</si>
  <si>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Not Room M100 or M101, please.  At least 1 free day between Lecture 1 and Lecture 2 of this course.</t>
  </si>
  <si>
    <t>At lesst 1 free day between Lecture 1 and Lecture 2 of this course.</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</si>
  <si>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</si>
  <si>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</si>
  <si>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</si>
  <si>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</si>
  <si>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</si>
  <si>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</si>
  <si>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</si>
  <si>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</si>
  <si>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</si>
  <si>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</si>
  <si>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</si>
  <si>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</si>
  <si>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</si>
  <si>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</si>
  <si>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</si>
  <si>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</si>
  <si>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</si>
  <si>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</si>
  <si>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</si>
  <si>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</si>
  <si>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</si>
  <si>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</si>
  <si>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</si>
  <si>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</si>
  <si>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</si>
  <si>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</si>
  <si>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</si>
  <si>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</si>
  <si>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</si>
  <si>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</si>
  <si>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</si>
  <si>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</si>
  <si>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</si>
  <si>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</si>
  <si>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</si>
  <si>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</si>
  <si>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</si>
  <si>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</si>
  <si>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</si>
  <si>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</si>
  <si>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</si>
  <si>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</si>
  <si>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</si>
  <si>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</si>
  <si>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</si>
  <si>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</si>
  <si>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</si>
  <si>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</si>
  <si>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</si>
  <si>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</si>
  <si>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</si>
  <si>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</si>
  <si>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</si>
  <si>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</si>
  <si>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</si>
  <si>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</si>
  <si>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</si>
  <si>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</si>
  <si>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</si>
  <si>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</si>
  <si>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</si>
  <si>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</si>
  <si>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</si>
  <si>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def</t>
  </si>
  <si>
    <t>Test edit validation</t>
  </si>
  <si>
    <t>Test list box refresh</t>
  </si>
  <si>
    <t>Accl4/5,Conrad Schumacher</t>
  </si>
  <si>
    <t>Value</t>
  </si>
  <si>
    <t>AttribID</t>
  </si>
  <si>
    <t>Label</t>
  </si>
  <si>
    <t>HostKey</t>
  </si>
  <si>
    <t>Zone</t>
  </si>
  <si>
    <t>Area</t>
  </si>
  <si>
    <t>Area1</t>
  </si>
  <si>
    <t>(A) Block - Hetley Building</t>
  </si>
  <si>
    <t>B-A Block</t>
  </si>
  <si>
    <t>A Block Tairawhiti</t>
  </si>
  <si>
    <t>B-A BlockT</t>
  </si>
  <si>
    <t>B Block Tairawhiti</t>
  </si>
  <si>
    <t>B-B BlockT</t>
  </si>
  <si>
    <t>B-C Block</t>
  </si>
  <si>
    <t>C Block Tairawhiti</t>
  </si>
  <si>
    <t>B-C BlockT</t>
  </si>
  <si>
    <t>(D) Visual Arts Block</t>
  </si>
  <si>
    <t>B-D Block</t>
  </si>
  <si>
    <t>D Block Tairawhiti</t>
  </si>
  <si>
    <t>B-D BlockT</t>
  </si>
  <si>
    <t>(E) Block</t>
  </si>
  <si>
    <t>B-E Block</t>
  </si>
  <si>
    <t>(F) Block</t>
  </si>
  <si>
    <t>B-F Block</t>
  </si>
  <si>
    <t>(G) Block</t>
  </si>
  <si>
    <t>B-G Block</t>
  </si>
  <si>
    <t>(H) Block</t>
  </si>
  <si>
    <t>B-H Block</t>
  </si>
  <si>
    <t>H Block Tairawhiti</t>
  </si>
  <si>
    <t>B-H BlockT</t>
  </si>
  <si>
    <t>(I) Maori Studies Block</t>
  </si>
  <si>
    <t>B-I Block</t>
  </si>
  <si>
    <t>K Block Tairawhiti</t>
  </si>
  <si>
    <t>B-K BlockT</t>
  </si>
  <si>
    <t>(L) Block</t>
  </si>
  <si>
    <t>B-L Block</t>
  </si>
  <si>
    <t>B-M Block</t>
  </si>
  <si>
    <t>M Block - Middleton - Tairawhiti</t>
  </si>
  <si>
    <t>B-M BlockT</t>
  </si>
  <si>
    <t>(N) Health &amp; Sport Science Block</t>
  </si>
  <si>
    <t>B-N Block</t>
  </si>
  <si>
    <t>(P) Arts &amp; Social Sciences Block</t>
  </si>
  <si>
    <t>B-P Block</t>
  </si>
  <si>
    <t>(R) Food Centre of Innovation</t>
  </si>
  <si>
    <t>B-R Block</t>
  </si>
  <si>
    <t>R Block Tairawhiti</t>
  </si>
  <si>
    <t>B-R BlockT</t>
  </si>
  <si>
    <t>(S) PGA Arena</t>
  </si>
  <si>
    <t>B-S Block PGA</t>
  </si>
  <si>
    <t>S Block Tairawhiti</t>
  </si>
  <si>
    <t>B-S BlockT</t>
  </si>
  <si>
    <t>(T) Trades Block</t>
  </si>
  <si>
    <t>B-T Block</t>
  </si>
  <si>
    <t>Te Whatakura</t>
  </si>
  <si>
    <t>B-Te Whatakura</t>
  </si>
  <si>
    <t>B-Toihoukura</t>
  </si>
  <si>
    <t>W Block Tairawhiti</t>
  </si>
  <si>
    <t>B-W BlockTC</t>
  </si>
  <si>
    <t>Collaborative Teaching Space</t>
  </si>
  <si>
    <t>Des-Collaborative</t>
  </si>
  <si>
    <t>Room with Computer on Wheels</t>
  </si>
  <si>
    <t>Des-CoW</t>
  </si>
  <si>
    <t>Room with Document Camera</t>
  </si>
  <si>
    <t>Des-DocCam</t>
  </si>
  <si>
    <t>Room with Access to the outside</t>
  </si>
  <si>
    <t>Des-External Access</t>
  </si>
  <si>
    <t>Vinyl Floor</t>
  </si>
  <si>
    <t>Des-FloorVinyl</t>
  </si>
  <si>
    <t>Group Furniture - round and rectangular tables</t>
  </si>
  <si>
    <t>Des-Furn-Group</t>
  </si>
  <si>
    <t>Sink Unit</t>
  </si>
  <si>
    <t>Des-SinkUnit</t>
  </si>
  <si>
    <t>Speakers - Sound</t>
  </si>
  <si>
    <t>Des-Speakers</t>
  </si>
  <si>
    <t>Des-TeamsCapable</t>
  </si>
  <si>
    <t>Rooms used by Arts and Design programmes</t>
  </si>
  <si>
    <t>G-Arts/Design</t>
  </si>
  <si>
    <t>Pettigrew Green Arena</t>
  </si>
  <si>
    <t>G-PGA</t>
  </si>
  <si>
    <t>Classroom in E or R block</t>
  </si>
  <si>
    <t>G-Science</t>
  </si>
  <si>
    <t>Chemistry Lab</t>
  </si>
  <si>
    <t>Lab-Chemistry</t>
  </si>
  <si>
    <t>Hardware Lab</t>
  </si>
  <si>
    <t>Lab-IT Hardware</t>
  </si>
  <si>
    <t>Software Lab</t>
  </si>
  <si>
    <t>Lab-IT Software</t>
  </si>
  <si>
    <t>Language Lab</t>
  </si>
  <si>
    <t>Lab-Language</t>
  </si>
  <si>
    <t>Microbiology Lab</t>
  </si>
  <si>
    <t>Lab-MicroBio</t>
  </si>
  <si>
    <t>Vetinary Animal Rooms</t>
  </si>
  <si>
    <t>Lab-Vet</t>
  </si>
  <si>
    <t>Beauty &amp; Body Clinic</t>
  </si>
  <si>
    <t>Loc/Beauty &amp; Body Clinic</t>
  </si>
  <si>
    <t>Fashion and Textiles workroom</t>
  </si>
  <si>
    <t>Loc/FashionTextiles</t>
  </si>
  <si>
    <t>Hairdressing Salon</t>
  </si>
  <si>
    <t>Loc/Hairdressing Salon</t>
  </si>
  <si>
    <t>Nursing Practice Ward</t>
  </si>
  <si>
    <t>Loc/Practice Ward</t>
  </si>
  <si>
    <t>Video Production Class</t>
  </si>
  <si>
    <t>Loc/Video Production Class</t>
  </si>
  <si>
    <t>Work &amp; Life Skills room</t>
  </si>
  <si>
    <t>Loc/Work&amp;Life</t>
  </si>
  <si>
    <t>Arc Welding</t>
  </si>
  <si>
    <t>LWk-Arc Welding</t>
  </si>
  <si>
    <t>Automotive Workshop</t>
  </si>
  <si>
    <t>LWk-Automotive</t>
  </si>
  <si>
    <t>Carpentry Workshop</t>
  </si>
  <si>
    <t>L-Wk-Carpentry</t>
  </si>
  <si>
    <t>Fabrication Engineering workshop</t>
  </si>
  <si>
    <t>LWk-FabEngineering</t>
  </si>
  <si>
    <t>Gas Welding</t>
  </si>
  <si>
    <t>LWk-Gas Welding</t>
  </si>
  <si>
    <t>Mechanical Machine Shop</t>
  </si>
  <si>
    <t>LWk-Mech Machineshop</t>
  </si>
  <si>
    <t>Prefab Classroom</t>
  </si>
  <si>
    <t>B-Prefab</t>
  </si>
  <si>
    <t>G Block Tairawhiti</t>
  </si>
  <si>
    <t>B-G BlockT</t>
  </si>
  <si>
    <t>SRoomID</t>
  </si>
  <si>
    <t>RoomNr</t>
  </si>
  <si>
    <t>RoomDescription</t>
  </si>
  <si>
    <t>AreaofCampus</t>
  </si>
  <si>
    <t>A114</t>
  </si>
  <si>
    <t>Meeting Room</t>
  </si>
  <si>
    <t>A116</t>
  </si>
  <si>
    <t>A412</t>
  </si>
  <si>
    <t>IELTS Testing room</t>
  </si>
  <si>
    <t>C120</t>
  </si>
  <si>
    <t>Interview Room</t>
  </si>
  <si>
    <t>C121</t>
  </si>
  <si>
    <t>C214/C215</t>
  </si>
  <si>
    <t>Joint Computer Lab - C214 and C215</t>
  </si>
  <si>
    <t>C216</t>
  </si>
  <si>
    <t>Computer Lab</t>
  </si>
  <si>
    <t>C218</t>
  </si>
  <si>
    <t>Computer Lab-Community Computing</t>
  </si>
  <si>
    <t>C314</t>
  </si>
  <si>
    <t>Language Computer Lab</t>
  </si>
  <si>
    <t>C316</t>
  </si>
  <si>
    <t>C317</t>
  </si>
  <si>
    <t>Project Room</t>
  </si>
  <si>
    <t>C320</t>
  </si>
  <si>
    <t>Computer Hardware Lab</t>
  </si>
  <si>
    <t>D100</t>
  </si>
  <si>
    <t>Design Studio</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</si>
  <si>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</si>
  <si>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</si>
  <si>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</si>
  <si>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</si>
  <si>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</si>
  <si>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</si>
  <si>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</si>
  <si>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</si>
  <si>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</si>
  <si>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</si>
  <si>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</si>
  <si>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</si>
  <si>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</si>
  <si>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</si>
  <si>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</si>
  <si>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</si>
  <si>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</si>
  <si>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</si>
  <si>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</si>
  <si>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</si>
  <si>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</si>
  <si>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</si>
  <si>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</si>
  <si>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</si>
  <si>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</si>
  <si>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</si>
  <si>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</si>
  <si>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</si>
  <si>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</si>
  <si>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</si>
  <si>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</si>
  <si>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</si>
  <si>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</si>
  <si>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</si>
  <si>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</si>
  <si>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</si>
  <si>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</si>
  <si>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</si>
  <si>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</si>
  <si>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</si>
  <si>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</si>
  <si>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</si>
  <si>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</si>
  <si>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</si>
  <si>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</si>
  <si>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</si>
  <si>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</si>
  <si>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</si>
  <si>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</si>
  <si>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</si>
  <si>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</si>
  <si>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</si>
  <si>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</si>
  <si>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</si>
  <si>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</si>
  <si>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</si>
  <si>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</si>
  <si>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</si>
  <si>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</si>
  <si>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</si>
  <si>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</si>
  <si>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</si>
  <si>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</si>
  <si>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</si>
  <si>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</si>
  <si>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</si>
  <si>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</si>
  <si>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</si>
  <si>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</si>
  <si>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</si>
  <si>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</si>
  <si>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</si>
  <si>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</si>
  <si>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</si>
  <si>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</si>
  <si>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</si>
  <si>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</si>
  <si>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</si>
  <si>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</si>
  <si>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</si>
  <si>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</si>
  <si>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</si>
  <si>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F139</t>
  </si>
  <si>
    <t>F140</t>
  </si>
  <si>
    <t>Music Rehearsal Room</t>
  </si>
  <si>
    <t>F141</t>
  </si>
  <si>
    <t>G100</t>
  </si>
  <si>
    <t>Plumbing Workshop</t>
  </si>
  <si>
    <t>G114</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</si>
  <si>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</si>
  <si>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</si>
  <si>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</si>
  <si>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</si>
  <si>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</si>
  <si>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</si>
  <si>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</si>
  <si>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</si>
  <si>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</si>
  <si>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</si>
  <si>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</si>
  <si>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</si>
  <si>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</si>
  <si>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</si>
  <si>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</si>
  <si>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</si>
  <si>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</si>
  <si>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</si>
  <si>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</si>
  <si>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</si>
  <si>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</si>
  <si>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</si>
  <si>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</si>
  <si>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</si>
  <si>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</si>
  <si>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</si>
  <si>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</si>
  <si>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</si>
  <si>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</si>
  <si>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</si>
  <si>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</si>
  <si>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</si>
  <si>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</si>
  <si>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</si>
  <si>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</si>
  <si>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</si>
  <si>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</si>
  <si>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</si>
  <si>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</si>
  <si>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</si>
  <si>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</si>
  <si>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L2-Clinics</t>
  </si>
  <si>
    <t>Social Work Clinic rooms</t>
  </si>
  <si>
    <t>L303</t>
  </si>
  <si>
    <t>Activity Room</t>
  </si>
  <si>
    <t>L304</t>
  </si>
  <si>
    <t>Teaching Kitchen</t>
  </si>
  <si>
    <t>L318</t>
  </si>
  <si>
    <t>Collaborative Classroom</t>
  </si>
  <si>
    <t>N116</t>
  </si>
  <si>
    <t>Nursing Skills Practice Suite 1</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</si>
  <si>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</si>
  <si>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</si>
  <si>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</si>
  <si>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</si>
  <si>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</si>
  <si>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</si>
  <si>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</si>
  <si>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</si>
  <si>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</si>
  <si>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</si>
  <si>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</si>
  <si>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</si>
  <si>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</si>
  <si>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</si>
  <si>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</si>
  <si>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</si>
  <si>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</si>
  <si>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</si>
  <si>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</si>
  <si>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</si>
  <si>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</si>
  <si>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</si>
  <si>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</si>
  <si>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P117</t>
  </si>
  <si>
    <t>Still Room</t>
  </si>
  <si>
    <t>P119</t>
  </si>
  <si>
    <t>Production Kitchen</t>
  </si>
  <si>
    <t>P128</t>
  </si>
  <si>
    <t>Training Kitchen</t>
  </si>
  <si>
    <t>P138</t>
  </si>
  <si>
    <t>Computer space</t>
  </si>
  <si>
    <t>P143</t>
  </si>
  <si>
    <t>Travel Centre</t>
  </si>
  <si>
    <t>PGACourt1</t>
  </si>
  <si>
    <t>Main Stadium - Court</t>
  </si>
  <si>
    <t>PGA-EITGym</t>
  </si>
  <si>
    <t>EIT Gym</t>
  </si>
  <si>
    <t>PGA-EITLab</t>
  </si>
  <si>
    <t>Exercise Science Lab</t>
  </si>
  <si>
    <t>PGAGym</t>
  </si>
  <si>
    <t>Gym - if not BRS class, must be booked at Stadium admin</t>
  </si>
  <si>
    <t>PGAHawks</t>
  </si>
  <si>
    <t>Massage / Lecture Room (The Hawk's Nest)</t>
  </si>
  <si>
    <t>T101A</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</si>
  <si>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</si>
  <si>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</si>
  <si>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</si>
  <si>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</si>
  <si>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</si>
  <si>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</si>
  <si>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</si>
  <si>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</si>
  <si>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</si>
  <si>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</si>
  <si>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</si>
  <si>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</si>
  <si>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</si>
  <si>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</si>
  <si>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</si>
  <si>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</si>
  <si>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</si>
  <si>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</si>
  <si>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</si>
  <si>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</si>
  <si>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</si>
  <si>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</si>
  <si>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</si>
  <si>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</si>
  <si>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</si>
  <si>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</si>
  <si>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</si>
  <si>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</si>
  <si>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</si>
  <si>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</si>
  <si>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</si>
  <si>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</si>
  <si>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</si>
  <si>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</si>
  <si>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</si>
  <si>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</si>
  <si>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</si>
  <si>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</si>
  <si>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</si>
  <si>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</si>
  <si>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</si>
  <si>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</si>
  <si>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</si>
  <si>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</si>
  <si>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</si>
  <si>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</si>
  <si>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</si>
  <si>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</si>
  <si>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</si>
  <si>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</si>
  <si>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</si>
  <si>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</si>
  <si>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</si>
  <si>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</si>
  <si>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</si>
  <si>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</si>
  <si>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</si>
  <si>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</si>
  <si>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</si>
  <si>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</si>
  <si>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</si>
  <si>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</si>
  <si>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</si>
  <si>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</si>
  <si>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</si>
  <si>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</si>
  <si>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</si>
  <si>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</si>
  <si>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</si>
  <si>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</si>
  <si>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</si>
  <si>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</si>
  <si>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</si>
  <si>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</si>
  <si>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</si>
  <si>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</si>
  <si>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</si>
  <si>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</si>
  <si>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</si>
  <si>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</si>
  <si>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</si>
  <si>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</si>
  <si>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</si>
  <si>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</si>
  <si>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</si>
  <si>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</si>
  <si>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</si>
  <si>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</si>
  <si>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</si>
  <si>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</si>
  <si>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</si>
  <si>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</si>
  <si>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</si>
  <si>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</si>
  <si>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</si>
  <si>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</si>
  <si>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</si>
  <si>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</si>
  <si>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</si>
  <si>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</si>
  <si>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</si>
  <si>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</si>
  <si>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</si>
  <si>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</si>
  <si>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</si>
  <si>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</si>
  <si>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</si>
  <si>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</si>
  <si>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</si>
  <si>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</si>
  <si>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</si>
  <si>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</si>
  <si>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</si>
  <si>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</si>
  <si>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</si>
  <si>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</si>
  <si>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</si>
  <si>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</si>
  <si>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</si>
  <si>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</si>
  <si>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</si>
  <si>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</si>
  <si>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</si>
  <si>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</si>
  <si>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</si>
  <si>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</si>
  <si>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</si>
  <si>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</si>
  <si>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</si>
  <si>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</si>
  <si>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</si>
  <si>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</si>
  <si>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</si>
  <si>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</si>
  <si>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</si>
  <si>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</si>
  <si>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</si>
  <si>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</si>
  <si>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</si>
  <si>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</si>
  <si>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</si>
  <si>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</si>
  <si>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</si>
  <si>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</si>
  <si>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</si>
  <si>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</si>
  <si>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</si>
  <si>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</si>
  <si>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</si>
  <si>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</si>
  <si>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</si>
  <si>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</si>
  <si>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</si>
  <si>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</si>
  <si>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</si>
  <si>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</si>
  <si>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</si>
  <si>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</si>
  <si>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</si>
  <si>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</si>
  <si>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</si>
  <si>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</si>
  <si>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</si>
  <si>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</si>
  <si>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</si>
  <si>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</si>
  <si>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</si>
  <si>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</si>
  <si>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AvailName</t>
  </si>
  <si>
    <t>ADescription</t>
  </si>
  <si>
    <t>AMonS</t>
  </si>
  <si>
    <t>AMonF</t>
  </si>
  <si>
    <t>ATueS</t>
  </si>
  <si>
    <t>ATueF</t>
  </si>
  <si>
    <t>AWedS</t>
  </si>
  <si>
    <t>AWedF</t>
  </si>
  <si>
    <t>AThuS</t>
  </si>
  <si>
    <t>AThuF</t>
  </si>
  <si>
    <t>AFriS</t>
  </si>
  <si>
    <t>AFriF</t>
  </si>
  <si>
    <t>ASatS</t>
  </si>
  <si>
    <t>ASatF</t>
  </si>
  <si>
    <t>ASunS</t>
  </si>
  <si>
    <t>ASunF</t>
  </si>
  <si>
    <t>Week Type 1</t>
  </si>
  <si>
    <t>(M-F, 8am-5pm)</t>
  </si>
  <si>
    <t>Week Type 2</t>
  </si>
  <si>
    <t>(M-Th, 8am-5pm, F 8am-12)</t>
  </si>
  <si>
    <t>Week Type 3</t>
  </si>
  <si>
    <t>(M-F, 9am-3pm)</t>
  </si>
  <si>
    <t>Week Type 4</t>
  </si>
  <si>
    <t>(M-Th, 8am-5pm, F 8am-3pm)</t>
  </si>
  <si>
    <t>Week Type 5-Fri - HB</t>
  </si>
  <si>
    <t>(Friday 8am-3pm)</t>
  </si>
  <si>
    <t>Week Type 6 - Fri - TC</t>
  </si>
  <si>
    <t>(Friday 8:30-2:30pm)</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</si>
  <si>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</si>
  <si>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</si>
  <si>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</si>
  <si>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</si>
  <si>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</si>
  <si>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</si>
  <si>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</si>
  <si>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</si>
  <si>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</si>
  <si>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</si>
  <si>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</si>
  <si>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</si>
  <si>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</si>
  <si>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</si>
  <si>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</si>
  <si>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</si>
  <si>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</si>
  <si>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</si>
  <si>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</si>
  <si>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</si>
  <si>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</si>
  <si>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</si>
  <si>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</si>
  <si>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</si>
  <si>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</si>
  <si>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</si>
  <si>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</si>
  <si>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</si>
  <si>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</si>
  <si>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</si>
  <si>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</si>
  <si>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</si>
  <si>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</si>
  <si>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</si>
  <si>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</si>
  <si>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</si>
  <si>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</si>
  <si>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</si>
  <si>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</si>
  <si>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</si>
  <si>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</si>
  <si>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</si>
  <si>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</si>
  <si>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</si>
  <si>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</si>
  <si>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</si>
  <si>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</si>
  <si>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</si>
  <si>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</si>
  <si>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</si>
  <si>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</si>
  <si>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</si>
  <si>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</si>
  <si>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</si>
  <si>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</si>
  <si>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</si>
  <si>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</si>
  <si>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</si>
  <si>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</si>
  <si>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</si>
  <si>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</si>
  <si>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</si>
  <si>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</si>
  <si>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</si>
  <si>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</si>
  <si>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</si>
  <si>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</si>
  <si>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</si>
  <si>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</si>
  <si>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</si>
  <si>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</si>
  <si>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</si>
  <si>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</si>
  <si>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</si>
  <si>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</si>
  <si>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</si>
  <si>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</si>
  <si>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</si>
  <si>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</si>
  <si>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</si>
  <si>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</si>
  <si>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</si>
  <si>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</si>
  <si>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</si>
  <si>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</si>
  <si>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</si>
  <si>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</si>
  <si>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</si>
  <si>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</si>
  <si>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</si>
  <si>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</si>
  <si>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</si>
  <si>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Pattern</t>
  </si>
  <si>
    <t>Test Check Activities</t>
  </si>
  <si>
    <t>TESTAC</t>
  </si>
  <si>
    <t>CourseFullName</t>
  </si>
  <si>
    <t>A White,Abby Davis</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</si>
  <si>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</si>
  <si>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</si>
  <si>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</si>
  <si>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</si>
  <si>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</si>
  <si>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</si>
  <si>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</si>
  <si>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</si>
  <si>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</si>
  <si>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</si>
  <si>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</si>
  <si>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</si>
  <si>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</si>
  <si>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</si>
  <si>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</si>
  <si>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</si>
  <si>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</si>
  <si>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</si>
  <si>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</si>
  <si>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</si>
  <si>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</si>
  <si>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</si>
  <si>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</si>
  <si>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</si>
  <si>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</si>
  <si>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</si>
  <si>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</si>
  <si>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</si>
  <si>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</si>
  <si>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</si>
  <si>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</si>
  <si>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</si>
  <si>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</si>
  <si>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</si>
  <si>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</si>
  <si>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</si>
  <si>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</si>
  <si>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</si>
  <si>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</si>
  <si>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</si>
  <si>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</si>
  <si>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</si>
  <si>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</si>
  <si>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</si>
  <si>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</si>
  <si>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</si>
  <si>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</si>
  <si>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</si>
  <si>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</si>
  <si>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Special Label 2</t>
  </si>
  <si>
    <t>Abby Davis,Fiona Barrett,Malot Sune</t>
  </si>
  <si>
    <t>Vinyl Floor,Sink Unit</t>
  </si>
  <si>
    <t>Other details listed here</t>
  </si>
  <si>
    <t>Programme, course, activity report</t>
  </si>
  <si>
    <t>Selected Programme</t>
  </si>
  <si>
    <t>asdfasdfasdfasfasdfasdfasdfasfasdfasdfasdfasfasdfasdfasdfasfasdfasdfasdfasf</t>
  </si>
  <si>
    <t>tete</t>
  </si>
  <si>
    <t>num students: x                    num streams: y                   duration: 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</si>
</sst>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6">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29" totalsRowShown="0">
  <autoFilter ref="A1:K29"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6" totalsRowShown="0">
  <autoFilter ref="A1:O116"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25" totalsRowShown="0">
  <autoFilter ref="A1:CL225"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29"/>
  <sheetViews>
    <sheetView workbookViewId="0">
      <selection activeCell="G3" sqref="G3"/>
    </sheetView>
  </sheetViews>
  <sheetFormatPr defaultColWidth="8.85546875" defaultRowHeight="15" x14ac:dyDescent="0.25"/>
  <cols>
    <col min="1" max="1" width="7" bestFit="1" customWidth="1"/>
    <col min="2" max="2" width="15.5703125" customWidth="1"/>
    <col min="3" max="3" width="64.42578125" bestFit="1" customWidth="1"/>
    <col min="4" max="4" width="12.85546875" bestFit="1" customWidth="1"/>
    <col min="5" max="5" width="10" customWidth="1"/>
    <col min="6" max="6" width="8.42578125" bestFit="1" customWidth="1"/>
    <col min="7" max="7" width="15.42578125" customWidth="1"/>
    <col min="8" max="8" width="14" bestFit="1" customWidth="1"/>
    <col min="9" max="9" width="79" bestFit="1" customWidth="1"/>
    <col min="10" max="10" width="15.42578125" bestFit="1" customWidth="1"/>
    <col min="11" max="11" width="23.570312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x14ac:dyDescent="0.25">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x14ac:dyDescent="0.25">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x14ac:dyDescent="0.25">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x14ac:dyDescent="0.25">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x14ac:dyDescent="0.25">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x14ac:dyDescent="0.25">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x14ac:dyDescent="0.25">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x14ac:dyDescent="0.25">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x14ac:dyDescent="0.25">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x14ac:dyDescent="0.25">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x14ac:dyDescent="0.25">
      <c r="A13">
        <v>200013</v>
      </c>
      <c r="B13" t="s">
        <v>32</v>
      </c>
      <c r="C13" t="s">
        <v>33</v>
      </c>
      <c r="D13" t="s">
        <v>34</v>
      </c>
      <c r="E13" t="str">
        <f>INDEX(tblCampus[CampusCode], MATCH(tblProg[[#This Row],[Campus]], tblCampus[CampusName], 0))</f>
        <v>SS</v>
      </c>
      <c r="F13" t="s">
        <v>35</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x14ac:dyDescent="0.25">
      <c r="A14">
        <v>200014</v>
      </c>
      <c r="B14" t="s">
        <v>36</v>
      </c>
      <c r="C14" t="s">
        <v>37</v>
      </c>
      <c r="D14" t="s">
        <v>38</v>
      </c>
      <c r="E14" t="str">
        <f>INDEX(tblCampus[CampusCode], MATCH(tblProg[[#This Row],[Campus]], tblCampus[CampusName], 0))</f>
        <v>R</v>
      </c>
      <c r="F14" t="s">
        <v>35</v>
      </c>
      <c r="G14" t="str">
        <f>tblProg[[#This Row],[Base Code]]&amp;"/"&amp;tblProg[[#This Row],[Pregion]]&amp;"/"&amp;tblProg[[#This Row],[Intake]]</f>
        <v>SoN/R/Oct</v>
      </c>
      <c r="H14" t="s">
        <v>39</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x14ac:dyDescent="0.25">
      <c r="A15">
        <v>200015</v>
      </c>
      <c r="B15" t="s">
        <v>40</v>
      </c>
      <c r="C15" t="s">
        <v>41</v>
      </c>
      <c r="D15" t="s">
        <v>42</v>
      </c>
      <c r="E15" t="str">
        <f>INDEX(tblCampus[CampusCode], MATCH(tblProg[[#This Row],[Campus]], tblCampus[CampusName], 0))</f>
        <v>W</v>
      </c>
      <c r="F15" t="s">
        <v>43</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x14ac:dyDescent="0.25">
      <c r="A16">
        <v>200017</v>
      </c>
      <c r="B16" t="s">
        <v>11</v>
      </c>
      <c r="C16" t="s">
        <v>44</v>
      </c>
      <c r="D16" t="s">
        <v>45</v>
      </c>
      <c r="E16" t="str">
        <f>INDEX(tblCampus[CampusCode], MATCH(tblProg[[#This Row],[Campus]], tblCampus[CampusName], 0))</f>
        <v>HB</v>
      </c>
      <c r="F16" t="s">
        <v>14</v>
      </c>
      <c r="G16" t="str">
        <f>tblProg[[#This Row],[Base Code]]&amp;"/"&amp;tblProg[[#This Row],[Pregion]]&amp;"/"&amp;tblProg[[#This Row],[Intake]]</f>
        <v>dfgh/HB/Feb</v>
      </c>
      <c r="H16" t="s">
        <v>15</v>
      </c>
      <c r="I16" t="str">
        <f>tblProg[[#This Row],[Programme Title]]&amp;" - "&amp;tblProg[[#This Row],[Campus]]&amp;" - "&amp;tblProg[[#This Row],[Intake]]</f>
        <v>dfghdfghdfghdfgh - Taradale - Feb</v>
      </c>
      <c r="J16" t="str">
        <f>tblProg[[#This Row],[FullProgCode]]&amp;"/1"</f>
        <v>dfgh/HB/Feb/1</v>
      </c>
      <c r="K16" t="str">
        <f>tblProg[[#This Row],[Base Code]]&amp;"/"&amp;tblProg[[#This Row],[Campus]]&amp;"/"&amp;tblProg[[#This Row],[Intake]]</f>
        <v>dfgh/Taradale/Feb</v>
      </c>
    </row>
    <row r="17" spans="1:11" x14ac:dyDescent="0.25">
      <c r="A17">
        <v>200018</v>
      </c>
      <c r="B17" t="s">
        <v>40</v>
      </c>
      <c r="C17" t="s">
        <v>46</v>
      </c>
      <c r="D17" t="s">
        <v>47</v>
      </c>
      <c r="E17" t="str">
        <f>INDEX(tblCampus[CampusCode], MATCH(tblProg[[#This Row],[Campus]], tblCampus[CampusName], 0))</f>
        <v>CHB</v>
      </c>
      <c r="F17" t="s">
        <v>43</v>
      </c>
      <c r="G17" t="str">
        <f>tblProg[[#This Row],[Base Code]]&amp;"/"&amp;tblProg[[#This Row],[Pregion]]&amp;"/"&amp;tblProg[[#This Row],[Intake]]</f>
        <v>qwe/CHB/Jan</v>
      </c>
      <c r="H17" t="s">
        <v>48</v>
      </c>
      <c r="I17" t="str">
        <f>tblProg[[#This Row],[Programme Title]]&amp;" - "&amp;tblProg[[#This Row],[Campus]]&amp;" - "&amp;tblProg[[#This Row],[Intake]]</f>
        <v>qwer - Waipukurau - Jan</v>
      </c>
      <c r="J17" t="str">
        <f>tblProg[[#This Row],[FullProgCode]]&amp;"/1"</f>
        <v>qwe/CHB/Jan/1</v>
      </c>
      <c r="K17" t="str">
        <f>tblProg[[#This Row],[Base Code]]&amp;"/"&amp;tblProg[[#This Row],[Campus]]&amp;"/"&amp;tblProg[[#This Row],[Intake]]</f>
        <v>qwe/Waipukurau/Jan</v>
      </c>
    </row>
    <row r="18" spans="1:11" x14ac:dyDescent="0.25">
      <c r="A18">
        <v>200019</v>
      </c>
      <c r="B18" t="s">
        <v>40</v>
      </c>
      <c r="C18" t="s">
        <v>49</v>
      </c>
      <c r="D18" t="s">
        <v>50</v>
      </c>
      <c r="E18" t="str">
        <f>INDEX(tblCampus[CampusCode], MATCH(tblProg[[#This Row],[Campus]], tblCampus[CampusName], 0))</f>
        <v>TC</v>
      </c>
      <c r="F18" t="s">
        <v>43</v>
      </c>
      <c r="G18" t="str">
        <f>tblProg[[#This Row],[Base Code]]&amp;"/"&amp;tblProg[[#This Row],[Pregion]]&amp;"/"&amp;tblProg[[#This Row],[Intake]]</f>
        <v>ghj/TC/Jan</v>
      </c>
      <c r="H18" t="s">
        <v>16</v>
      </c>
      <c r="I18" t="str">
        <f>tblProg[[#This Row],[Programme Title]]&amp;" - "&amp;tblProg[[#This Row],[Campus]]&amp;" - "&amp;tblProg[[#This Row],[Intake]]</f>
        <v>ghjk - Palmerston Rd - Jan</v>
      </c>
      <c r="J18" t="str">
        <f>tblProg[[#This Row],[FullProgCode]]&amp;"/1"</f>
        <v>ghj/TC/Jan/1</v>
      </c>
      <c r="K18" t="str">
        <f>tblProg[[#This Row],[Base Code]]&amp;"/"&amp;tblProg[[#This Row],[Campus]]&amp;"/"&amp;tblProg[[#This Row],[Intake]]</f>
        <v>ghj/Palmerston Rd/Jan</v>
      </c>
    </row>
    <row r="19" spans="1:11" x14ac:dyDescent="0.25">
      <c r="A19">
        <v>200021</v>
      </c>
      <c r="B19" t="s">
        <v>40</v>
      </c>
      <c r="C19" t="s">
        <v>51</v>
      </c>
      <c r="D19" t="s">
        <v>52</v>
      </c>
      <c r="E19" t="str">
        <f>INDEX(tblCampus[CampusCode], MATCH(tblProg[[#This Row],[Campus]], tblCampus[CampusName], 0))</f>
        <v>CHB</v>
      </c>
      <c r="F19" s="13" t="s">
        <v>43</v>
      </c>
      <c r="G19" t="str">
        <f>tblProg[[#This Row],[Base Code]]&amp;"/"&amp;tblProg[[#This Row],[Pregion]]&amp;"/"&amp;tblProg[[#This Row],[Intake]]</f>
        <v>zxc/CHB/Jan</v>
      </c>
      <c r="H19" t="s">
        <v>48</v>
      </c>
      <c r="I19" t="str">
        <f>tblProg[[#This Row],[Programme Title]]&amp;" - "&amp;tblProg[[#This Row],[Campus]]&amp;" - "&amp;tblProg[[#This Row],[Intake]]</f>
        <v>vcxzcvzxcvzxcvzx - Waipukurau - Jan</v>
      </c>
      <c r="J19" t="str">
        <f>tblProg[[#This Row],[FullProgCode]]&amp;"/1"</f>
        <v>zxc/CHB/Jan/1</v>
      </c>
      <c r="K19" t="str">
        <f>tblProg[[#This Row],[Base Code]]&amp;"/"&amp;tblProg[[#This Row],[Campus]]&amp;"/"&amp;tblProg[[#This Row],[Intake]]</f>
        <v>zxc/Waipukurau/Jan</v>
      </c>
    </row>
    <row r="20" spans="1:11" x14ac:dyDescent="0.25">
      <c r="A20">
        <v>200022</v>
      </c>
      <c r="B20" t="s">
        <v>40</v>
      </c>
      <c r="C20" t="s">
        <v>53</v>
      </c>
      <c r="D20" t="s">
        <v>54</v>
      </c>
      <c r="E20" t="str">
        <f>INDEX(tblCampus[CampusCode], MATCH(tblProg[[#This Row],[Campus]], tblCampus[CampusName], 0))</f>
        <v>HB</v>
      </c>
      <c r="F20" s="14" t="s">
        <v>55</v>
      </c>
      <c r="G20" t="str">
        <f>tblProg[[#This Row],[Base Code]]&amp;"/"&amp;tblProg[[#This Row],[Pregion]]&amp;"/"&amp;tblProg[[#This Row],[Intake]]</f>
        <v>asdf/HB/Dec24</v>
      </c>
      <c r="H20" t="s">
        <v>15</v>
      </c>
      <c r="I20" t="str">
        <f>tblProg[[#This Row],[Programme Title]]&amp;" - "&amp;tblProg[[#This Row],[Campus]]&amp;" - "&amp;tblProg[[#This Row],[Intake]]</f>
        <v>asdfasdfasdf - Taradale - Dec24</v>
      </c>
      <c r="J20" t="str">
        <f>tblProg[[#This Row],[FullProgCode]]&amp;"/1"</f>
        <v>asdf/HB/Dec24/1</v>
      </c>
      <c r="K20" t="str">
        <f>tblProg[[#This Row],[Base Code]]&amp;"/"&amp;tblProg[[#This Row],[Campus]]&amp;"/"&amp;tblProg[[#This Row],[Intake]]</f>
        <v>asdf/Taradale/Dec24</v>
      </c>
    </row>
    <row r="21" spans="1:11" x14ac:dyDescent="0.25">
      <c r="A21">
        <v>200023</v>
      </c>
      <c r="B21" t="s">
        <v>40</v>
      </c>
      <c r="C21" t="s">
        <v>53</v>
      </c>
      <c r="D21" t="s">
        <v>54</v>
      </c>
      <c r="E21" t="str">
        <f>INDEX(tblCampus[CampusCode], MATCH(tblProg[[#This Row],[Campus]], tblCampus[CampusName], 0))</f>
        <v>HB</v>
      </c>
      <c r="F21" s="14" t="s">
        <v>56</v>
      </c>
      <c r="G21" t="str">
        <f>tblProg[[#This Row],[Base Code]]&amp;"/"&amp;tblProg[[#This Row],[Pregion]]&amp;"/"&amp;tblProg[[#This Row],[Intake]]</f>
        <v>asdf/HB/Oct24</v>
      </c>
      <c r="H21" t="s">
        <v>15</v>
      </c>
      <c r="I21" t="str">
        <f>tblProg[[#This Row],[Programme Title]]&amp;" - "&amp;tblProg[[#This Row],[Campus]]&amp;" - "&amp;tblProg[[#This Row],[Intake]]</f>
        <v>asdfasdfasdf - Taradale - Oct24</v>
      </c>
      <c r="J21" t="str">
        <f>tblProg[[#This Row],[FullProgCode]]&amp;"/1"</f>
        <v>asdf/HB/Oct24/1</v>
      </c>
      <c r="K21" t="str">
        <f>tblProg[[#This Row],[Base Code]]&amp;"/"&amp;tblProg[[#This Row],[Campus]]&amp;"/"&amp;tblProg[[#This Row],[Intake]]</f>
        <v>asdf/Taradale/Oct24</v>
      </c>
    </row>
    <row r="22" spans="1:11" x14ac:dyDescent="0.25">
      <c r="A22">
        <v>200024</v>
      </c>
      <c r="B22" t="s">
        <v>28</v>
      </c>
      <c r="C22" t="s">
        <v>30</v>
      </c>
      <c r="D22" t="s">
        <v>57</v>
      </c>
      <c r="E22" t="str">
        <f>INDEX(tblCampus[CampusCode], MATCH(tblProg[[#This Row],[Campus]], tblCampus[CampusName], 0))</f>
        <v>HB</v>
      </c>
      <c r="F22" s="14" t="s">
        <v>58</v>
      </c>
      <c r="G22" t="str">
        <f>tblProg[[#This Row],[Base Code]]&amp;"/"&amp;tblProg[[#This Row],[Pregion]]&amp;"/"&amp;tblProg[[#This Row],[Intake]]</f>
        <v>soct/HB/Nov24</v>
      </c>
      <c r="H22" t="s">
        <v>15</v>
      </c>
      <c r="I22" t="str">
        <f>tblProg[[#This Row],[Programme Title]]&amp;" - "&amp;tblProg[[#This Row],[Campus]]&amp;" - "&amp;tblProg[[#This Row],[Intake]]</f>
        <v>Test - Taradale - Nov24</v>
      </c>
      <c r="J22" t="str">
        <f>tblProg[[#This Row],[FullProgCode]]&amp;"/1"</f>
        <v>soct/HB/Nov24/1</v>
      </c>
      <c r="K22" t="str">
        <f>tblProg[[#This Row],[Base Code]]&amp;"/"&amp;tblProg[[#This Row],[Campus]]&amp;"/"&amp;tblProg[[#This Row],[Intake]]</f>
        <v>soct/Taradale/Nov24</v>
      </c>
    </row>
    <row r="23" spans="1:11" x14ac:dyDescent="0.25">
      <c r="A23">
        <v>200025</v>
      </c>
      <c r="B23" t="s">
        <v>28</v>
      </c>
      <c r="C23" t="s">
        <v>59</v>
      </c>
      <c r="D23" t="s">
        <v>57</v>
      </c>
      <c r="E23" t="str">
        <f>INDEX(tblCampus[CampusCode], MATCH(tblProg[[#This Row],[Campus]], tblCampus[CampusName], 0))</f>
        <v>HB</v>
      </c>
      <c r="F23" s="14" t="s">
        <v>55</v>
      </c>
      <c r="G23" t="str">
        <f>tblProg[[#This Row],[Base Code]]&amp;"/"&amp;tblProg[[#This Row],[Pregion]]&amp;"/"&amp;tblProg[[#This Row],[Intake]]</f>
        <v>soct/HB/Dec24</v>
      </c>
      <c r="H23" t="s">
        <v>15</v>
      </c>
      <c r="I23" t="str">
        <f>tblProg[[#This Row],[Programme Title]]&amp;" - "&amp;tblProg[[#This Row],[Campus]]&amp;" - "&amp;tblProg[[#This Row],[Intake]]</f>
        <v>zxcv - Taradale - Dec24</v>
      </c>
      <c r="J23" t="str">
        <f>tblProg[[#This Row],[FullProgCode]]&amp;"/1"</f>
        <v>soct/HB/Dec24/1</v>
      </c>
      <c r="K23" t="str">
        <f>tblProg[[#This Row],[Base Code]]&amp;"/"&amp;tblProg[[#This Row],[Campus]]&amp;"/"&amp;tblProg[[#This Row],[Intake]]</f>
        <v>soct/Taradale/Dec24</v>
      </c>
    </row>
    <row r="24" spans="1:11" x14ac:dyDescent="0.25">
      <c r="A24">
        <v>200026</v>
      </c>
      <c r="B24" t="s">
        <v>40</v>
      </c>
      <c r="C24" t="s">
        <v>46</v>
      </c>
      <c r="D24" t="s">
        <v>60</v>
      </c>
      <c r="E24" t="str">
        <f>INDEX(tblCampus[CampusCode], MATCH(tblProg[[#This Row],[Campus]], tblCampus[CampusName], 0))</f>
        <v>CHB</v>
      </c>
      <c r="F24" s="14" t="s">
        <v>43</v>
      </c>
      <c r="G24" t="str">
        <f>tblProg[[#This Row],[Base Code]]&amp;"/"&amp;tblProg[[#This Row],[Pregion]]&amp;"/"&amp;tblProg[[#This Row],[Intake]]</f>
        <v>rty/CHB/Jan</v>
      </c>
      <c r="H24" t="s">
        <v>48</v>
      </c>
      <c r="I24" t="str">
        <f>tblProg[[#This Row],[Programme Title]]&amp;" - "&amp;tblProg[[#This Row],[Campus]]&amp;" - "&amp;tblProg[[#This Row],[Intake]]</f>
        <v>qwer - Waipukurau - Jan</v>
      </c>
      <c r="J24" t="str">
        <f>tblProg[[#This Row],[FullProgCode]]&amp;"/1"</f>
        <v>rty/CHB/Jan/1</v>
      </c>
      <c r="K24" t="str">
        <f>tblProg[[#This Row],[Base Code]]&amp;"/"&amp;tblProg[[#This Row],[Campus]]&amp;"/"&amp;tblProg[[#This Row],[Intake]]</f>
        <v>rty/Waipukurau/Jan</v>
      </c>
    </row>
    <row r="25" spans="1:11" x14ac:dyDescent="0.25">
      <c r="A25">
        <v>200027</v>
      </c>
      <c r="B25" t="s">
        <v>40</v>
      </c>
      <c r="C25" t="s">
        <v>61</v>
      </c>
      <c r="D25" t="s">
        <v>60</v>
      </c>
      <c r="E25" t="str">
        <f>INDEX(tblCampus[CampusCode], MATCH(tblProg[[#This Row],[Campus]], tblCampus[CampusName], 0))</f>
        <v>CHB</v>
      </c>
      <c r="F25" s="14" t="s">
        <v>14</v>
      </c>
      <c r="G25" t="str">
        <f>tblProg[[#This Row],[Base Code]]&amp;"/"&amp;tblProg[[#This Row],[Pregion]]&amp;"/"&amp;tblProg[[#This Row],[Intake]]</f>
        <v>rty/CHB/Feb</v>
      </c>
      <c r="H25" t="s">
        <v>48</v>
      </c>
      <c r="I25" t="str">
        <f>tblProg[[#This Row],[Programme Title]]&amp;" - "&amp;tblProg[[#This Row],[Campus]]&amp;" - "&amp;tblProg[[#This Row],[Intake]]</f>
        <v>rewq - Waipukurau - Feb</v>
      </c>
      <c r="J25" t="str">
        <f>tblProg[[#This Row],[FullProgCode]]&amp;"/1"</f>
        <v>rty/CHB/Feb/1</v>
      </c>
      <c r="K25" t="str">
        <f>tblProg[[#This Row],[Base Code]]&amp;"/"&amp;tblProg[[#This Row],[Campus]]&amp;"/"&amp;tblProg[[#This Row],[Intake]]</f>
        <v>rty/Waipukurau/Feb</v>
      </c>
    </row>
    <row r="26" spans="1:11" x14ac:dyDescent="0.25">
      <c r="A26">
        <v>200028</v>
      </c>
      <c r="B26" t="s">
        <v>40</v>
      </c>
      <c r="C26" t="s">
        <v>62</v>
      </c>
      <c r="D26" t="s">
        <v>54</v>
      </c>
      <c r="E26" t="str">
        <f>INDEX(tblCampus[CampusCode], MATCH(tblProg[[#This Row],[Campus]], tblCampus[CampusName], 0))</f>
        <v>HB</v>
      </c>
      <c r="F26" s="14" t="s">
        <v>63</v>
      </c>
      <c r="G26" t="str">
        <f>tblProg[[#This Row],[Base Code]]&amp;"/"&amp;tblProg[[#This Row],[Pregion]]&amp;"/"&amp;tblProg[[#This Row],[Intake]]</f>
        <v>asdf/HB/Aug24</v>
      </c>
      <c r="H26" t="s">
        <v>15</v>
      </c>
      <c r="I26" t="str">
        <f>tblProg[[#This Row],[Programme Title]]&amp;" - "&amp;tblProg[[#This Row],[Campus]]&amp;" - "&amp;tblProg[[#This Row],[Intake]]</f>
        <v>ghghghghg - Taradale - Aug24</v>
      </c>
      <c r="J26" t="str">
        <f>tblProg[[#This Row],[FullProgCode]]&amp;"/1"</f>
        <v>asdf/HB/Aug24/1</v>
      </c>
      <c r="K26" t="str">
        <f>tblProg[[#This Row],[Base Code]]&amp;"/"&amp;tblProg[[#This Row],[Campus]]&amp;"/"&amp;tblProg[[#This Row],[Intake]]</f>
        <v>asdf/Taradale/Aug24</v>
      </c>
    </row>
    <row r="27" spans="1:11" x14ac:dyDescent="0.25">
      <c r="A27">
        <v>200029</v>
      </c>
      <c r="B27" t="s">
        <v>40</v>
      </c>
      <c r="C27" t="s">
        <v>64</v>
      </c>
      <c r="D27" t="s">
        <v>65</v>
      </c>
      <c r="E27" t="str">
        <f>INDEX(tblCampus[CampusCode], MATCH(tblProg[[#This Row],[Campus]], tblCampus[CampusName], 0))</f>
        <v>HB</v>
      </c>
      <c r="F27" s="14" t="s">
        <v>63</v>
      </c>
      <c r="G27" t="str">
        <f>tblProg[[#This Row],[Base Code]]&amp;"/"&amp;tblProg[[#This Row],[Pregion]]&amp;"/"&amp;tblProg[[#This Row],[Intake]]</f>
        <v>asdflkjh/HB/Aug24</v>
      </c>
      <c r="H27" t="s">
        <v>15</v>
      </c>
      <c r="I27" t="str">
        <f>tblProg[[#This Row],[Programme Title]]&amp;" - "&amp;tblProg[[#This Row],[Campus]]&amp;" - "&amp;tblProg[[#This Row],[Intake]]</f>
        <v>hjkl - Taradale - Aug24</v>
      </c>
      <c r="J27" t="str">
        <f>tblProg[[#This Row],[FullProgCode]]&amp;"/1"</f>
        <v>asdflkjh/HB/Aug24/1</v>
      </c>
      <c r="K27" t="str">
        <f>tblProg[[#This Row],[Base Code]]&amp;"/"&amp;tblProg[[#This Row],[Campus]]&amp;"/"&amp;tblProg[[#This Row],[Intake]]</f>
        <v>asdflkjh/Taradale/Aug24</v>
      </c>
    </row>
    <row r="28" spans="1:11" x14ac:dyDescent="0.25">
      <c r="A28">
        <v>200030</v>
      </c>
      <c r="B28" t="s">
        <v>40</v>
      </c>
      <c r="C28" t="s">
        <v>1396</v>
      </c>
      <c r="D28" t="s">
        <v>1397</v>
      </c>
      <c r="E28" t="str">
        <f>INDEX(tblCampus[CampusCode], MATCH(tblProg[[#This Row],[Campus]], tblCampus[CampusName], 0))</f>
        <v>HB</v>
      </c>
      <c r="F28" s="14" t="s">
        <v>55</v>
      </c>
      <c r="G28" t="str">
        <f>tblProg[[#This Row],[Base Code]]&amp;"/"&amp;tblProg[[#This Row],[Pregion]]&amp;"/"&amp;tblProg[[#This Row],[Intake]]</f>
        <v>vttw/HB/Dec24</v>
      </c>
      <c r="H28" t="s">
        <v>15</v>
      </c>
      <c r="I28" t="str">
        <f>tblProg[[#This Row],[Programme Title]]&amp;" - "&amp;tblProg[[#This Row],[Campus]]&amp;" - "&amp;tblProg[[#This Row],[Intake]]</f>
        <v>V2 Tests - Taradale - Dec24</v>
      </c>
      <c r="J28" t="str">
        <f>tblProg[[#This Row],[FullProgCode]]&amp;"/1"</f>
        <v>vttw/HB/Dec24/1</v>
      </c>
      <c r="K28" t="str">
        <f>tblProg[[#This Row],[Base Code]]&amp;"/"&amp;tblProg[[#This Row],[Campus]]&amp;"/"&amp;tblProg[[#This Row],[Intake]]</f>
        <v>vttw/Taradale/Dec24</v>
      </c>
    </row>
    <row r="29" spans="1:11" x14ac:dyDescent="0.25">
      <c r="A29">
        <v>200031</v>
      </c>
      <c r="B29" t="s">
        <v>40</v>
      </c>
      <c r="C29" t="s">
        <v>1399</v>
      </c>
      <c r="D29" t="s">
        <v>1398</v>
      </c>
      <c r="E29" t="str">
        <f>INDEX(tblCampus[CampusCode], MATCH(tblProg[[#This Row],[Campus]], tblCampus[CampusName], 0))</f>
        <v>HB</v>
      </c>
      <c r="F29" s="14" t="s">
        <v>1385</v>
      </c>
      <c r="G29" t="str">
        <f>tblProg[[#This Row],[Base Code]]&amp;"/"&amp;tblProg[[#This Row],[Pregion]]&amp;"/"&amp;tblProg[[#This Row],[Intake]]</f>
        <v>CPT/HB/Sept24</v>
      </c>
      <c r="H29" t="s">
        <v>15</v>
      </c>
      <c r="I29" t="str">
        <f>tblProg[[#This Row],[Programme Title]]&amp;" - "&amp;tblProg[[#This Row],[Campus]]&amp;" - "&amp;tblProg[[#This Row],[Intake]]</f>
        <v>Edit Prog Test 2 - Taradale - Sept24</v>
      </c>
      <c r="J29" t="str">
        <f>tblProg[[#This Row],[FullProgCode]]&amp;"/1"</f>
        <v>CPT/HB/Sept24/1</v>
      </c>
      <c r="K29" t="str">
        <f>tblProg[[#This Row],[Base Code]]&amp;"/"&amp;tblProg[[#This Row],[Campus]]&amp;"/"&amp;tblProg[[#This Row],[Intake]]</f>
        <v>CPT/Taradale/Sept24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6"/>
  <sheetViews>
    <sheetView zoomScaleNormal="100" workbookViewId="0">
      <selection activeCell="C121" sqref="C121"/>
    </sheetView>
  </sheetViews>
  <sheetFormatPr defaultColWidth="8.85546875" defaultRowHeight="15" x14ac:dyDescent="0.25"/>
  <cols>
    <col min="1" max="1" width="11.85546875" bestFit="1" customWidth="1"/>
    <col min="2" max="2" width="39.5703125" bestFit="1" customWidth="1"/>
    <col min="3" max="3" width="14.5703125" bestFit="1" customWidth="1"/>
    <col min="4" max="4" width="11" bestFit="1" customWidth="1"/>
    <col min="5" max="5" width="10.42578125" bestFit="1" customWidth="1"/>
    <col min="6" max="6" width="12.5703125" bestFit="1" customWidth="1"/>
    <col min="7" max="7" width="13.42578125" bestFit="1" customWidth="1"/>
    <col min="8" max="8" width="11.42578125" bestFit="1" customWidth="1"/>
    <col min="9" max="9" width="18.140625" bestFit="1" customWidth="1"/>
    <col min="10" max="10" width="11.42578125" bestFit="1" customWidth="1"/>
    <col min="11" max="11" width="14" bestFit="1" customWidth="1"/>
    <col min="12" max="12" width="60.42578125" bestFit="1" customWidth="1"/>
    <col min="13" max="14" width="15.42578125" bestFit="1" customWidth="1"/>
    <col min="15" max="15" width="27.42578125" bestFit="1" customWidth="1"/>
  </cols>
  <sheetData>
    <row r="1" spans="1:15" x14ac:dyDescent="0.25">
      <c r="A1" t="s">
        <v>66</v>
      </c>
      <c r="B1" t="s">
        <v>1400</v>
      </c>
      <c r="C1" t="s">
        <v>67</v>
      </c>
      <c r="D1" t="s">
        <v>68</v>
      </c>
      <c r="E1" t="s">
        <v>69</v>
      </c>
      <c r="F1" t="s">
        <v>70</v>
      </c>
      <c r="G1" t="s">
        <v>71</v>
      </c>
      <c r="H1" t="s">
        <v>72</v>
      </c>
      <c r="I1" t="s">
        <v>73</v>
      </c>
      <c r="J1" t="s">
        <v>74</v>
      </c>
      <c r="K1" t="s">
        <v>75</v>
      </c>
      <c r="L1" t="s">
        <v>76</v>
      </c>
      <c r="M1" t="s">
        <v>77</v>
      </c>
      <c r="N1" t="s">
        <v>78</v>
      </c>
      <c r="O1" t="s">
        <v>79</v>
      </c>
    </row>
    <row r="2" spans="1:15" x14ac:dyDescent="0.25">
      <c r="A2">
        <v>697</v>
      </c>
      <c r="B2" t="s">
        <v>80</v>
      </c>
      <c r="C2" t="s">
        <v>81</v>
      </c>
      <c r="D2" t="str">
        <f>INDEX(tblCampus[CampusCode], MATCH(tblCourse[[#This Row],[Ccampus]], tblCampus[CampusName], 0))</f>
        <v>HB</v>
      </c>
      <c r="E2" t="s">
        <v>14</v>
      </c>
      <c r="F2">
        <v>79</v>
      </c>
      <c r="G2" t="s">
        <v>71</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x14ac:dyDescent="0.25">
      <c r="A3">
        <v>698</v>
      </c>
      <c r="B3" t="s">
        <v>83</v>
      </c>
      <c r="C3" t="s">
        <v>84</v>
      </c>
      <c r="D3" t="str">
        <f>INDEX(tblCampus[CampusCode], MATCH(tblCourse[[#This Row],[Ccampus]], tblCampus[CampusName], 0))</f>
        <v>HB</v>
      </c>
      <c r="E3" t="s">
        <v>14</v>
      </c>
      <c r="F3">
        <v>79</v>
      </c>
      <c r="G3" t="s">
        <v>71</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x14ac:dyDescent="0.25">
      <c r="A4">
        <v>699</v>
      </c>
      <c r="B4" t="s">
        <v>85</v>
      </c>
      <c r="C4" t="s">
        <v>86</v>
      </c>
      <c r="D4" t="str">
        <f>INDEX(tblCampus[CampusCode], MATCH(tblCourse[[#This Row],[Ccampus]], tblCampus[CampusName], 0))</f>
        <v>HB</v>
      </c>
      <c r="E4" t="s">
        <v>87</v>
      </c>
      <c r="F4">
        <v>79</v>
      </c>
      <c r="G4" t="s">
        <v>71</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x14ac:dyDescent="0.25">
      <c r="A5">
        <v>700</v>
      </c>
      <c r="B5" t="s">
        <v>88</v>
      </c>
      <c r="C5" t="s">
        <v>89</v>
      </c>
      <c r="D5" t="str">
        <f>INDEX(tblCampus[CampusCode], MATCH(tblCourse[[#This Row],[Ccampus]], tblCampus[CampusName], 0))</f>
        <v>HB</v>
      </c>
      <c r="E5" t="s">
        <v>87</v>
      </c>
      <c r="F5">
        <v>79</v>
      </c>
      <c r="G5" t="s">
        <v>71</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x14ac:dyDescent="0.25">
      <c r="A6">
        <v>291</v>
      </c>
      <c r="B6" t="s">
        <v>90</v>
      </c>
      <c r="C6" t="s">
        <v>91</v>
      </c>
      <c r="D6" t="str">
        <f>INDEX(tblCampus[CampusCode], MATCH(tblCourse[[#This Row],[Ccampus]], tblCampus[CampusName], 0))</f>
        <v>HB</v>
      </c>
      <c r="E6" t="s">
        <v>14</v>
      </c>
      <c r="F6">
        <v>82</v>
      </c>
      <c r="G6" t="s">
        <v>71</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x14ac:dyDescent="0.25">
      <c r="A7">
        <v>293</v>
      </c>
      <c r="B7" t="s">
        <v>90</v>
      </c>
      <c r="C7" t="s">
        <v>91</v>
      </c>
      <c r="D7" t="str">
        <f>INDEX(tblCampus[CampusCode], MATCH(tblCourse[[#This Row],[Ccampus]], tblCampus[CampusName], 0))</f>
        <v>HB</v>
      </c>
      <c r="E7" t="s">
        <v>20</v>
      </c>
      <c r="F7">
        <v>82</v>
      </c>
      <c r="G7" t="s">
        <v>71</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x14ac:dyDescent="0.25">
      <c r="A8">
        <v>292</v>
      </c>
      <c r="B8" t="s">
        <v>90</v>
      </c>
      <c r="C8" t="s">
        <v>91</v>
      </c>
      <c r="D8" t="str">
        <f>INDEX(tblCampus[CampusCode], MATCH(tblCourse[[#This Row],[Ccampus]], tblCampus[CampusName], 0))</f>
        <v>TC</v>
      </c>
      <c r="E8" t="s">
        <v>14</v>
      </c>
      <c r="F8">
        <v>81</v>
      </c>
      <c r="G8" t="s">
        <v>71</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x14ac:dyDescent="0.25">
      <c r="A9">
        <v>294</v>
      </c>
      <c r="B9" t="s">
        <v>90</v>
      </c>
      <c r="C9" t="s">
        <v>91</v>
      </c>
      <c r="D9" t="str">
        <f>INDEX(tblCampus[CampusCode], MATCH(tblCourse[[#This Row],[Ccampus]], tblCampus[CampusName], 0))</f>
        <v>TC</v>
      </c>
      <c r="E9" t="s">
        <v>20</v>
      </c>
      <c r="F9">
        <v>81</v>
      </c>
      <c r="G9" t="s">
        <v>71</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x14ac:dyDescent="0.25">
      <c r="A10">
        <v>295</v>
      </c>
      <c r="B10" t="s">
        <v>93</v>
      </c>
      <c r="C10" t="s">
        <v>94</v>
      </c>
      <c r="D10" t="str">
        <f>INDEX(tblCampus[CampusCode], MATCH(tblCourse[[#This Row],[Ccampus]], tblCampus[CampusName], 0))</f>
        <v>HB</v>
      </c>
      <c r="E10" t="s">
        <v>14</v>
      </c>
      <c r="F10">
        <v>82</v>
      </c>
      <c r="G10" t="s">
        <v>71</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x14ac:dyDescent="0.25">
      <c r="A11">
        <v>296</v>
      </c>
      <c r="B11" t="s">
        <v>93</v>
      </c>
      <c r="C11" t="s">
        <v>94</v>
      </c>
      <c r="D11" t="str">
        <f>INDEX(tblCampus[CampusCode], MATCH(tblCourse[[#This Row],[Ccampus]], tblCampus[CampusName], 0))</f>
        <v>TC</v>
      </c>
      <c r="E11" t="s">
        <v>14</v>
      </c>
      <c r="F11">
        <v>81</v>
      </c>
      <c r="G11" t="s">
        <v>71</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x14ac:dyDescent="0.25">
      <c r="A12">
        <v>298</v>
      </c>
      <c r="B12" t="s">
        <v>95</v>
      </c>
      <c r="C12" t="s">
        <v>96</v>
      </c>
      <c r="D12" t="str">
        <f>INDEX(tblCampus[CampusCode], MATCH(tblCourse[[#This Row],[Ccampus]], tblCampus[CampusName], 0))</f>
        <v>HB</v>
      </c>
      <c r="E12" t="s">
        <v>14</v>
      </c>
      <c r="F12">
        <v>82</v>
      </c>
      <c r="G12" t="s">
        <v>71</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x14ac:dyDescent="0.25">
      <c r="A13">
        <v>300</v>
      </c>
      <c r="B13" t="s">
        <v>95</v>
      </c>
      <c r="C13" t="s">
        <v>96</v>
      </c>
      <c r="D13" t="str">
        <f>INDEX(tblCampus[CampusCode], MATCH(tblCourse[[#This Row],[Ccampus]], tblCampus[CampusName], 0))</f>
        <v>HB</v>
      </c>
      <c r="E13" t="s">
        <v>20</v>
      </c>
      <c r="F13">
        <v>82</v>
      </c>
      <c r="G13" t="s">
        <v>71</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x14ac:dyDescent="0.25">
      <c r="A14">
        <v>299</v>
      </c>
      <c r="B14" t="s">
        <v>95</v>
      </c>
      <c r="C14" t="s">
        <v>96</v>
      </c>
      <c r="D14" t="str">
        <f>INDEX(tblCampus[CampusCode], MATCH(tblCourse[[#This Row],[Ccampus]], tblCampus[CampusName], 0))</f>
        <v>TC</v>
      </c>
      <c r="E14" t="s">
        <v>14</v>
      </c>
      <c r="F14">
        <v>81</v>
      </c>
      <c r="G14" t="s">
        <v>71</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x14ac:dyDescent="0.25">
      <c r="A15">
        <v>301</v>
      </c>
      <c r="B15" t="s">
        <v>95</v>
      </c>
      <c r="C15" t="s">
        <v>96</v>
      </c>
      <c r="D15" t="str">
        <f>INDEX(tblCampus[CampusCode], MATCH(tblCourse[[#This Row],[Ccampus]], tblCampus[CampusName], 0))</f>
        <v>TC</v>
      </c>
      <c r="E15" t="s">
        <v>20</v>
      </c>
      <c r="F15">
        <v>81</v>
      </c>
      <c r="G15" t="s">
        <v>71</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x14ac:dyDescent="0.25">
      <c r="A16">
        <v>99997</v>
      </c>
      <c r="B16" t="s">
        <v>97</v>
      </c>
      <c r="C16" t="s">
        <v>98</v>
      </c>
      <c r="D16" t="str">
        <f>INDEX(tblCampus[CampusCode], MATCH(tblCourse[[#This Row],[Ccampus]], tblCampus[CampusName], 0))</f>
        <v>HB</v>
      </c>
      <c r="E16" t="s">
        <v>20</v>
      </c>
      <c r="F16">
        <v>82</v>
      </c>
      <c r="G16" t="s">
        <v>71</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x14ac:dyDescent="0.25">
      <c r="A17">
        <v>304</v>
      </c>
      <c r="B17" t="s">
        <v>97</v>
      </c>
      <c r="C17" t="s">
        <v>98</v>
      </c>
      <c r="D17" t="str">
        <f>INDEX(tblCampus[CampusCode], MATCH(tblCourse[[#This Row],[Ccampus]], tblCampus[CampusName], 0))</f>
        <v>TC</v>
      </c>
      <c r="E17" t="s">
        <v>20</v>
      </c>
      <c r="F17">
        <v>81</v>
      </c>
      <c r="G17" t="s">
        <v>71</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x14ac:dyDescent="0.25">
      <c r="A18">
        <v>100040</v>
      </c>
      <c r="B18" t="s">
        <v>99</v>
      </c>
      <c r="C18" t="s">
        <v>100</v>
      </c>
      <c r="D18" t="str">
        <f>INDEX(tblCampus[CampusCode], MATCH(tblCourse[[#This Row],[Ccampus]], tblCampus[CampusName], 0))</f>
        <v>HB</v>
      </c>
      <c r="E18" t="s">
        <v>14</v>
      </c>
      <c r="F18">
        <v>100001</v>
      </c>
      <c r="G18" t="s">
        <v>71</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x14ac:dyDescent="0.25">
      <c r="A19">
        <v>100011</v>
      </c>
      <c r="B19" t="s">
        <v>99</v>
      </c>
      <c r="C19" t="s">
        <v>100</v>
      </c>
      <c r="D19" t="str">
        <f>INDEX(tblCampus[CampusCode], MATCH(tblCourse[[#This Row],[Ccampus]], tblCampus[CampusName], 0))</f>
        <v>HB</v>
      </c>
      <c r="E19" t="s">
        <v>20</v>
      </c>
      <c r="F19">
        <v>100001</v>
      </c>
      <c r="G19" t="s">
        <v>71</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x14ac:dyDescent="0.25">
      <c r="A20">
        <v>100041</v>
      </c>
      <c r="B20" t="s">
        <v>99</v>
      </c>
      <c r="C20" t="s">
        <v>100</v>
      </c>
      <c r="D20" t="str">
        <f>INDEX(tblCampus[CampusCode], MATCH(tblCourse[[#This Row],[Ccampus]], tblCampus[CampusName], 0))</f>
        <v>TC</v>
      </c>
      <c r="E20" t="s">
        <v>14</v>
      </c>
      <c r="F20">
        <v>100002</v>
      </c>
      <c r="G20" t="s">
        <v>71</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x14ac:dyDescent="0.25">
      <c r="A21">
        <v>100012</v>
      </c>
      <c r="B21" t="s">
        <v>99</v>
      </c>
      <c r="C21" t="s">
        <v>100</v>
      </c>
      <c r="D21" t="str">
        <f>INDEX(tblCampus[CampusCode], MATCH(tblCourse[[#This Row],[Ccampus]], tblCampus[CampusName], 0))</f>
        <v>TC</v>
      </c>
      <c r="E21" t="s">
        <v>20</v>
      </c>
      <c r="F21">
        <v>100002</v>
      </c>
      <c r="G21" t="s">
        <v>71</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x14ac:dyDescent="0.25">
      <c r="A22">
        <v>100013</v>
      </c>
      <c r="B22" t="s">
        <v>101</v>
      </c>
      <c r="C22" t="s">
        <v>102</v>
      </c>
      <c r="D22" t="str">
        <f>INDEX(tblCampus[CampusCode], MATCH(tblCourse[[#This Row],[Ccampus]], tblCampus[CampusName], 0))</f>
        <v>HB</v>
      </c>
      <c r="E22" t="s">
        <v>14</v>
      </c>
      <c r="F22">
        <v>100001</v>
      </c>
      <c r="G22" t="s">
        <v>71</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x14ac:dyDescent="0.25">
      <c r="A23">
        <v>100015</v>
      </c>
      <c r="B23" t="s">
        <v>101</v>
      </c>
      <c r="C23" t="s">
        <v>102</v>
      </c>
      <c r="D23" t="str">
        <f>INDEX(tblCampus[CampusCode], MATCH(tblCourse[[#This Row],[Ccampus]], tblCampus[CampusName], 0))</f>
        <v>TC</v>
      </c>
      <c r="E23" t="s">
        <v>14</v>
      </c>
      <c r="F23">
        <v>100002</v>
      </c>
      <c r="G23" t="s">
        <v>71</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x14ac:dyDescent="0.25">
      <c r="A24">
        <v>100018</v>
      </c>
      <c r="B24" t="s">
        <v>103</v>
      </c>
      <c r="C24" t="s">
        <v>104</v>
      </c>
      <c r="D24" t="str">
        <f>INDEX(tblCampus[CampusCode], MATCH(tblCourse[[#This Row],[Ccampus]], tblCampus[CampusName], 0))</f>
        <v>HB</v>
      </c>
      <c r="E24" t="s">
        <v>14</v>
      </c>
      <c r="F24">
        <v>100001</v>
      </c>
      <c r="G24" t="s">
        <v>71</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x14ac:dyDescent="0.25">
      <c r="A25">
        <v>100019</v>
      </c>
      <c r="B25" t="s">
        <v>103</v>
      </c>
      <c r="C25" t="s">
        <v>104</v>
      </c>
      <c r="D25" t="str">
        <f>INDEX(tblCampus[CampusCode], MATCH(tblCourse[[#This Row],[Ccampus]], tblCampus[CampusName], 0))</f>
        <v>TC</v>
      </c>
      <c r="E25" t="s">
        <v>14</v>
      </c>
      <c r="F25">
        <v>100002</v>
      </c>
      <c r="G25" t="s">
        <v>71</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x14ac:dyDescent="0.25">
      <c r="A26">
        <v>100020</v>
      </c>
      <c r="B26" t="s">
        <v>105</v>
      </c>
      <c r="C26" t="s">
        <v>106</v>
      </c>
      <c r="D26" t="str">
        <f>INDEX(tblCampus[CampusCode], MATCH(tblCourse[[#This Row],[Ccampus]], tblCampus[CampusName], 0))</f>
        <v>HB</v>
      </c>
      <c r="E26" t="s">
        <v>14</v>
      </c>
      <c r="F26">
        <v>100001</v>
      </c>
      <c r="G26" t="s">
        <v>71</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x14ac:dyDescent="0.25">
      <c r="A27">
        <v>100021</v>
      </c>
      <c r="B27" t="s">
        <v>105</v>
      </c>
      <c r="C27" t="s">
        <v>106</v>
      </c>
      <c r="D27" t="str">
        <f>INDEX(tblCampus[CampusCode], MATCH(tblCourse[[#This Row],[Ccampus]], tblCampus[CampusName], 0))</f>
        <v>TC</v>
      </c>
      <c r="E27" t="s">
        <v>14</v>
      </c>
      <c r="F27">
        <v>100002</v>
      </c>
      <c r="G27" t="s">
        <v>71</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x14ac:dyDescent="0.25">
      <c r="A28">
        <v>100022</v>
      </c>
      <c r="B28" t="s">
        <v>107</v>
      </c>
      <c r="C28" t="s">
        <v>108</v>
      </c>
      <c r="D28" t="str">
        <f>INDEX(tblCampus[CampusCode], MATCH(tblCourse[[#This Row],[Ccampus]], tblCampus[CampusName], 0))</f>
        <v>HB</v>
      </c>
      <c r="E28" t="s">
        <v>20</v>
      </c>
      <c r="F28">
        <v>100001</v>
      </c>
      <c r="G28" t="s">
        <v>71</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x14ac:dyDescent="0.25">
      <c r="A29">
        <v>100023</v>
      </c>
      <c r="B29" t="s">
        <v>107</v>
      </c>
      <c r="C29" t="s">
        <v>108</v>
      </c>
      <c r="D29" t="str">
        <f>INDEX(tblCampus[CampusCode], MATCH(tblCourse[[#This Row],[Ccampus]], tblCampus[CampusName], 0))</f>
        <v>TC</v>
      </c>
      <c r="E29" t="s">
        <v>20</v>
      </c>
      <c r="F29">
        <v>100002</v>
      </c>
      <c r="G29" t="s">
        <v>71</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x14ac:dyDescent="0.25">
      <c r="A30">
        <v>100025</v>
      </c>
      <c r="B30" t="s">
        <v>109</v>
      </c>
      <c r="C30" t="s">
        <v>110</v>
      </c>
      <c r="D30" t="str">
        <f>INDEX(tblCampus[CampusCode], MATCH(tblCourse[[#This Row],[Ccampus]], tblCampus[CampusName], 0))</f>
        <v>HB</v>
      </c>
      <c r="E30" t="s">
        <v>20</v>
      </c>
      <c r="F30">
        <v>100001</v>
      </c>
      <c r="G30" t="s">
        <v>71</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x14ac:dyDescent="0.25">
      <c r="A31">
        <v>100026</v>
      </c>
      <c r="B31" t="s">
        <v>111</v>
      </c>
      <c r="C31" t="s">
        <v>110</v>
      </c>
      <c r="D31" t="str">
        <f>INDEX(tblCampus[CampusCode], MATCH(tblCourse[[#This Row],[Ccampus]], tblCampus[CampusName], 0))</f>
        <v>TC</v>
      </c>
      <c r="E31" t="s">
        <v>20</v>
      </c>
      <c r="F31">
        <v>100002</v>
      </c>
      <c r="G31" t="s">
        <v>71</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x14ac:dyDescent="0.25">
      <c r="A32">
        <v>100042</v>
      </c>
      <c r="B32" t="s">
        <v>112</v>
      </c>
      <c r="C32" t="s">
        <v>113</v>
      </c>
      <c r="D32" t="str">
        <f>INDEX(tblCampus[CampusCode], MATCH(tblCourse[[#This Row],[Ccampus]], tblCampus[CampusName], 0))</f>
        <v>HB</v>
      </c>
      <c r="E32" t="s">
        <v>14</v>
      </c>
      <c r="F32">
        <v>100001</v>
      </c>
      <c r="G32" t="s">
        <v>71</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x14ac:dyDescent="0.25">
      <c r="A33">
        <v>100059</v>
      </c>
      <c r="B33" t="s">
        <v>112</v>
      </c>
      <c r="C33" t="s">
        <v>113</v>
      </c>
      <c r="D33" t="str">
        <f>INDEX(tblCampus[CampusCode], MATCH(tblCourse[[#This Row],[Ccampus]], tblCampus[CampusName], 0))</f>
        <v>HB</v>
      </c>
      <c r="E33" t="s">
        <v>20</v>
      </c>
      <c r="F33">
        <v>100001</v>
      </c>
      <c r="G33" t="s">
        <v>71</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x14ac:dyDescent="0.25">
      <c r="A34">
        <v>100046</v>
      </c>
      <c r="B34" t="s">
        <v>112</v>
      </c>
      <c r="C34" t="s">
        <v>113</v>
      </c>
      <c r="D34" t="str">
        <f>INDEX(tblCampus[CampusCode], MATCH(tblCourse[[#This Row],[Ccampus]], tblCampus[CampusName], 0))</f>
        <v>TC</v>
      </c>
      <c r="E34" t="s">
        <v>14</v>
      </c>
      <c r="F34">
        <v>100002</v>
      </c>
      <c r="G34" t="s">
        <v>71</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x14ac:dyDescent="0.25">
      <c r="A35">
        <v>100043</v>
      </c>
      <c r="B35" t="s">
        <v>114</v>
      </c>
      <c r="C35" t="s">
        <v>115</v>
      </c>
      <c r="D35" t="str">
        <f>INDEX(tblCampus[CampusCode], MATCH(tblCourse[[#This Row],[Ccampus]], tblCampus[CampusName], 0))</f>
        <v>HB</v>
      </c>
      <c r="E35" t="s">
        <v>20</v>
      </c>
      <c r="F35">
        <v>100001</v>
      </c>
      <c r="G35" t="s">
        <v>71</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x14ac:dyDescent="0.25">
      <c r="A36">
        <v>100028</v>
      </c>
      <c r="B36" t="s">
        <v>116</v>
      </c>
      <c r="C36" t="s">
        <v>115</v>
      </c>
      <c r="D36" t="str">
        <f>INDEX(tblCampus[CampusCode], MATCH(tblCourse[[#This Row],[Ccampus]], tblCampus[CampusName], 0))</f>
        <v>TC</v>
      </c>
      <c r="E36" t="s">
        <v>20</v>
      </c>
      <c r="F36">
        <v>100002</v>
      </c>
      <c r="G36" t="s">
        <v>71</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x14ac:dyDescent="0.25">
      <c r="A37">
        <v>100044</v>
      </c>
      <c r="B37" t="s">
        <v>117</v>
      </c>
      <c r="C37" t="s">
        <v>118</v>
      </c>
      <c r="D37" t="str">
        <f>INDEX(tblCampus[CampusCode], MATCH(tblCourse[[#This Row],[Ccampus]], tblCampus[CampusName], 0))</f>
        <v>HB</v>
      </c>
      <c r="E37" t="s">
        <v>20</v>
      </c>
      <c r="F37">
        <v>100001</v>
      </c>
      <c r="G37" t="s">
        <v>71</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x14ac:dyDescent="0.25">
      <c r="A38">
        <v>100030</v>
      </c>
      <c r="B38" t="s">
        <v>117</v>
      </c>
      <c r="C38" t="s">
        <v>118</v>
      </c>
      <c r="D38" t="str">
        <f>INDEX(tblCampus[CampusCode], MATCH(tblCourse[[#This Row],[Ccampus]], tblCampus[CampusName], 0))</f>
        <v>TC</v>
      </c>
      <c r="E38" t="s">
        <v>20</v>
      </c>
      <c r="F38">
        <v>100002</v>
      </c>
      <c r="G38" t="s">
        <v>71</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x14ac:dyDescent="0.25">
      <c r="A39">
        <v>100045</v>
      </c>
      <c r="B39" t="s">
        <v>119</v>
      </c>
      <c r="C39" t="s">
        <v>120</v>
      </c>
      <c r="D39" t="str">
        <f>INDEX(tblCampus[CampusCode], MATCH(tblCourse[[#This Row],[Ccampus]], tblCampus[CampusName], 0))</f>
        <v>HB</v>
      </c>
      <c r="E39" t="s">
        <v>14</v>
      </c>
      <c r="F39">
        <v>100001</v>
      </c>
      <c r="G39" t="s">
        <v>71</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x14ac:dyDescent="0.25">
      <c r="A40">
        <v>100032</v>
      </c>
      <c r="B40" t="s">
        <v>119</v>
      </c>
      <c r="C40" t="s">
        <v>120</v>
      </c>
      <c r="D40" t="str">
        <f>INDEX(tblCampus[CampusCode], MATCH(tblCourse[[#This Row],[Ccampus]], tblCampus[CampusName], 0))</f>
        <v>TC</v>
      </c>
      <c r="E40" t="s">
        <v>14</v>
      </c>
      <c r="F40">
        <v>100002</v>
      </c>
      <c r="G40" t="s">
        <v>71</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x14ac:dyDescent="0.25">
      <c r="A41">
        <v>100047</v>
      </c>
      <c r="B41" t="s">
        <v>121</v>
      </c>
      <c r="C41" t="s">
        <v>122</v>
      </c>
      <c r="D41" t="str">
        <f>INDEX(tblCampus[CampusCode], MATCH(tblCourse[[#This Row],[Ccampus]], tblCampus[CampusName], 0))</f>
        <v>HB</v>
      </c>
      <c r="E41" t="s">
        <v>20</v>
      </c>
      <c r="F41">
        <v>100001</v>
      </c>
      <c r="G41" t="s">
        <v>71</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x14ac:dyDescent="0.25">
      <c r="A42">
        <v>100052</v>
      </c>
      <c r="B42" t="s">
        <v>121</v>
      </c>
      <c r="C42" t="s">
        <v>122</v>
      </c>
      <c r="D42" t="str">
        <f>INDEX(tblCampus[CampusCode], MATCH(tblCourse[[#This Row],[Ccampus]], tblCampus[CampusName], 0))</f>
        <v>TC</v>
      </c>
      <c r="E42" t="s">
        <v>20</v>
      </c>
      <c r="F42">
        <v>100002</v>
      </c>
      <c r="G42" t="s">
        <v>71</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x14ac:dyDescent="0.25">
      <c r="A43">
        <v>100048</v>
      </c>
      <c r="B43" t="s">
        <v>123</v>
      </c>
      <c r="C43" t="s">
        <v>124</v>
      </c>
      <c r="D43" t="str">
        <f>INDEX(tblCampus[CampusCode], MATCH(tblCourse[[#This Row],[Ccampus]], tblCampus[CampusName], 0))</f>
        <v>HB</v>
      </c>
      <c r="E43" t="s">
        <v>14</v>
      </c>
      <c r="F43">
        <v>100001</v>
      </c>
      <c r="G43" t="s">
        <v>71</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x14ac:dyDescent="0.25">
      <c r="A44">
        <v>100053</v>
      </c>
      <c r="B44" t="s">
        <v>123</v>
      </c>
      <c r="C44" t="s">
        <v>124</v>
      </c>
      <c r="D44" t="str">
        <f>INDEX(tblCampus[CampusCode], MATCH(tblCourse[[#This Row],[Ccampus]], tblCampus[CampusName], 0))</f>
        <v>TC</v>
      </c>
      <c r="E44" t="s">
        <v>14</v>
      </c>
      <c r="F44">
        <v>100002</v>
      </c>
      <c r="G44" t="s">
        <v>71</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x14ac:dyDescent="0.25">
      <c r="A45">
        <v>100049</v>
      </c>
      <c r="B45" t="s">
        <v>125</v>
      </c>
      <c r="C45" t="s">
        <v>126</v>
      </c>
      <c r="D45" t="str">
        <f>INDEX(tblCampus[CampusCode], MATCH(tblCourse[[#This Row],[Ccampus]], tblCampus[CampusName], 0))</f>
        <v>HB</v>
      </c>
      <c r="E45" t="s">
        <v>20</v>
      </c>
      <c r="F45">
        <v>100001</v>
      </c>
      <c r="G45" t="s">
        <v>71</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x14ac:dyDescent="0.25">
      <c r="A46">
        <v>100054</v>
      </c>
      <c r="B46" t="s">
        <v>125</v>
      </c>
      <c r="C46" t="s">
        <v>126</v>
      </c>
      <c r="D46" t="str">
        <f>INDEX(tblCampus[CampusCode], MATCH(tblCourse[[#This Row],[Ccampus]], tblCampus[CampusName], 0))</f>
        <v>TC</v>
      </c>
      <c r="E46" t="s">
        <v>20</v>
      </c>
      <c r="F46">
        <v>100002</v>
      </c>
      <c r="G46" t="s">
        <v>71</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x14ac:dyDescent="0.25">
      <c r="A47">
        <v>613</v>
      </c>
      <c r="B47" t="s">
        <v>127</v>
      </c>
      <c r="C47" t="s">
        <v>128</v>
      </c>
      <c r="D47" t="str">
        <f>INDEX(tblCampus[CampusCode], MATCH(tblCourse[[#This Row],[Ccampus]], tblCampus[CampusName], 0))</f>
        <v>HB</v>
      </c>
      <c r="E47" t="s">
        <v>14</v>
      </c>
      <c r="F47">
        <v>82</v>
      </c>
      <c r="G47" t="s">
        <v>71</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x14ac:dyDescent="0.25">
      <c r="A48">
        <v>614</v>
      </c>
      <c r="B48" t="s">
        <v>127</v>
      </c>
      <c r="C48" t="s">
        <v>128</v>
      </c>
      <c r="D48" t="str">
        <f>INDEX(tblCampus[CampusCode], MATCH(tblCourse[[#This Row],[Ccampus]], tblCampus[CampusName], 0))</f>
        <v>HB</v>
      </c>
      <c r="E48" t="s">
        <v>20</v>
      </c>
      <c r="F48">
        <v>82</v>
      </c>
      <c r="G48" t="s">
        <v>71</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x14ac:dyDescent="0.25">
      <c r="A49">
        <v>615</v>
      </c>
      <c r="B49" t="s">
        <v>127</v>
      </c>
      <c r="C49" t="s">
        <v>128</v>
      </c>
      <c r="D49" t="str">
        <f>INDEX(tblCampus[CampusCode], MATCH(tblCourse[[#This Row],[Ccampus]], tblCampus[CampusName], 0))</f>
        <v>TC</v>
      </c>
      <c r="E49" t="s">
        <v>20</v>
      </c>
      <c r="F49">
        <v>81</v>
      </c>
      <c r="G49" t="s">
        <v>71</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x14ac:dyDescent="0.25">
      <c r="A50">
        <v>617</v>
      </c>
      <c r="B50" t="s">
        <v>129</v>
      </c>
      <c r="C50" t="s">
        <v>130</v>
      </c>
      <c r="D50" t="str">
        <f>INDEX(tblCampus[CampusCode], MATCH(tblCourse[[#This Row],[Ccampus]], tblCampus[CampusName], 0))</f>
        <v>HB</v>
      </c>
      <c r="E50" t="s">
        <v>14</v>
      </c>
      <c r="F50">
        <v>82</v>
      </c>
      <c r="G50" t="s">
        <v>71</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x14ac:dyDescent="0.25">
      <c r="A51">
        <v>616</v>
      </c>
      <c r="B51" t="s">
        <v>129</v>
      </c>
      <c r="C51" t="s">
        <v>130</v>
      </c>
      <c r="D51" t="str">
        <f>INDEX(tblCampus[CampusCode], MATCH(tblCourse[[#This Row],[Ccampus]], tblCampus[CampusName], 0))</f>
        <v>HB</v>
      </c>
      <c r="E51" t="s">
        <v>20</v>
      </c>
      <c r="F51">
        <v>82</v>
      </c>
      <c r="G51" t="s">
        <v>71</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x14ac:dyDescent="0.25">
      <c r="A52">
        <v>568</v>
      </c>
      <c r="B52" t="s">
        <v>131</v>
      </c>
      <c r="C52" t="s">
        <v>130</v>
      </c>
      <c r="D52" t="str">
        <f>INDEX(tblCampus[CampusCode], MATCH(tblCourse[[#This Row],[Ccampus]], tblCampus[CampusName], 0))</f>
        <v>TC</v>
      </c>
      <c r="E52" t="s">
        <v>14</v>
      </c>
      <c r="F52">
        <v>81</v>
      </c>
      <c r="G52" t="s">
        <v>71</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x14ac:dyDescent="0.25">
      <c r="A53">
        <v>618</v>
      </c>
      <c r="B53" t="s">
        <v>132</v>
      </c>
      <c r="C53" t="s">
        <v>133</v>
      </c>
      <c r="D53" t="str">
        <f>INDEX(tblCampus[CampusCode], MATCH(tblCourse[[#This Row],[Ccampus]], tblCampus[CampusName], 0))</f>
        <v>HB</v>
      </c>
      <c r="E53" t="s">
        <v>14</v>
      </c>
      <c r="F53">
        <v>82</v>
      </c>
      <c r="G53" t="s">
        <v>71</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x14ac:dyDescent="0.25">
      <c r="A54">
        <v>620</v>
      </c>
      <c r="B54" t="s">
        <v>132</v>
      </c>
      <c r="C54" t="s">
        <v>133</v>
      </c>
      <c r="D54" t="str">
        <f>INDEX(tblCampus[CampusCode], MATCH(tblCourse[[#This Row],[Ccampus]], tblCampus[CampusName], 0))</f>
        <v>HB</v>
      </c>
      <c r="E54" t="s">
        <v>20</v>
      </c>
      <c r="F54">
        <v>82</v>
      </c>
      <c r="G54" t="s">
        <v>71</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x14ac:dyDescent="0.25">
      <c r="A55">
        <v>619</v>
      </c>
      <c r="B55" t="s">
        <v>132</v>
      </c>
      <c r="C55" t="s">
        <v>133</v>
      </c>
      <c r="D55" t="str">
        <f>INDEX(tblCampus[CampusCode], MATCH(tblCourse[[#This Row],[Ccampus]], tblCampus[CampusName], 0))</f>
        <v>TC</v>
      </c>
      <c r="E55" t="s">
        <v>14</v>
      </c>
      <c r="F55">
        <v>81</v>
      </c>
      <c r="G55" t="s">
        <v>71</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x14ac:dyDescent="0.25">
      <c r="A56">
        <v>621</v>
      </c>
      <c r="B56" t="s">
        <v>134</v>
      </c>
      <c r="C56" t="s">
        <v>135</v>
      </c>
      <c r="D56" t="str">
        <f>INDEX(tblCampus[CampusCode], MATCH(tblCourse[[#This Row],[Ccampus]], tblCampus[CampusName], 0))</f>
        <v>HB</v>
      </c>
      <c r="E56" t="s">
        <v>14</v>
      </c>
      <c r="F56">
        <v>82</v>
      </c>
      <c r="G56" t="s">
        <v>71</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x14ac:dyDescent="0.25">
      <c r="A57">
        <v>623</v>
      </c>
      <c r="B57" t="s">
        <v>134</v>
      </c>
      <c r="C57" t="s">
        <v>135</v>
      </c>
      <c r="D57" t="str">
        <f>INDEX(tblCampus[CampusCode], MATCH(tblCourse[[#This Row],[Ccampus]], tblCampus[CampusName], 0))</f>
        <v>HB</v>
      </c>
      <c r="E57" t="s">
        <v>20</v>
      </c>
      <c r="F57">
        <v>82</v>
      </c>
      <c r="G57" t="s">
        <v>71</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x14ac:dyDescent="0.25">
      <c r="A58">
        <v>622</v>
      </c>
      <c r="B58" t="s">
        <v>134</v>
      </c>
      <c r="C58" t="s">
        <v>135</v>
      </c>
      <c r="D58" t="str">
        <f>INDEX(tblCampus[CampusCode], MATCH(tblCourse[[#This Row],[Ccampus]], tblCampus[CampusName], 0))</f>
        <v>TC</v>
      </c>
      <c r="E58" t="s">
        <v>20</v>
      </c>
      <c r="F58">
        <v>81</v>
      </c>
      <c r="G58" t="s">
        <v>71</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x14ac:dyDescent="0.25">
      <c r="A59">
        <v>631</v>
      </c>
      <c r="B59" t="s">
        <v>136</v>
      </c>
      <c r="C59" t="s">
        <v>137</v>
      </c>
      <c r="D59" t="str">
        <f>INDEX(tblCampus[CampusCode], MATCH(tblCourse[[#This Row],[Ccampus]], tblCampus[CampusName], 0))</f>
        <v>HB</v>
      </c>
      <c r="E59" t="s">
        <v>14</v>
      </c>
      <c r="F59">
        <v>82</v>
      </c>
      <c r="G59" t="s">
        <v>71</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x14ac:dyDescent="0.25">
      <c r="A60">
        <v>99998</v>
      </c>
      <c r="B60" t="s">
        <v>136</v>
      </c>
      <c r="C60" t="s">
        <v>137</v>
      </c>
      <c r="D60" t="str">
        <f>INDEX(tblCampus[CampusCode], MATCH(tblCourse[[#This Row],[Ccampus]], tblCampus[CampusName], 0))</f>
        <v>HB</v>
      </c>
      <c r="E60" t="s">
        <v>20</v>
      </c>
      <c r="F60">
        <v>82</v>
      </c>
      <c r="G60" t="s">
        <v>71</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x14ac:dyDescent="0.25">
      <c r="A61">
        <v>632</v>
      </c>
      <c r="B61" t="s">
        <v>136</v>
      </c>
      <c r="C61" t="s">
        <v>137</v>
      </c>
      <c r="D61" t="str">
        <f>INDEX(tblCampus[CampusCode], MATCH(tblCourse[[#This Row],[Ccampus]], tblCampus[CampusName], 0))</f>
        <v>TC</v>
      </c>
      <c r="E61" t="s">
        <v>20</v>
      </c>
      <c r="F61">
        <v>81</v>
      </c>
      <c r="G61" t="s">
        <v>71</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x14ac:dyDescent="0.25">
      <c r="A62">
        <v>625</v>
      </c>
      <c r="B62" t="s">
        <v>138</v>
      </c>
      <c r="C62" t="s">
        <v>139</v>
      </c>
      <c r="D62" t="str">
        <f>INDEX(tblCampus[CampusCode], MATCH(tblCourse[[#This Row],[Ccampus]], tblCampus[CampusName], 0))</f>
        <v>HB</v>
      </c>
      <c r="E62" t="s">
        <v>14</v>
      </c>
      <c r="F62">
        <v>82</v>
      </c>
      <c r="G62" t="s">
        <v>71</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x14ac:dyDescent="0.25">
      <c r="A63">
        <v>99999</v>
      </c>
      <c r="B63" t="s">
        <v>138</v>
      </c>
      <c r="C63" t="s">
        <v>139</v>
      </c>
      <c r="D63" t="str">
        <f>INDEX(tblCampus[CampusCode], MATCH(tblCourse[[#This Row],[Ccampus]], tblCampus[CampusName], 0))</f>
        <v>HB</v>
      </c>
      <c r="E63" t="s">
        <v>20</v>
      </c>
      <c r="F63">
        <v>82</v>
      </c>
      <c r="G63" t="s">
        <v>71</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x14ac:dyDescent="0.25">
      <c r="A64">
        <v>626</v>
      </c>
      <c r="B64" t="s">
        <v>138</v>
      </c>
      <c r="C64" t="s">
        <v>139</v>
      </c>
      <c r="D64" t="str">
        <f>INDEX(tblCampus[CampusCode], MATCH(tblCourse[[#This Row],[Ccampus]], tblCampus[CampusName], 0))</f>
        <v>TC</v>
      </c>
      <c r="E64" t="s">
        <v>14</v>
      </c>
      <c r="F64">
        <v>81</v>
      </c>
      <c r="G64" t="s">
        <v>71</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x14ac:dyDescent="0.25">
      <c r="A65">
        <v>627</v>
      </c>
      <c r="B65" t="s">
        <v>140</v>
      </c>
      <c r="C65" t="s">
        <v>141</v>
      </c>
      <c r="D65" t="str">
        <f>INDEX(tblCampus[CampusCode], MATCH(tblCourse[[#This Row],[Ccampus]], tblCampus[CampusName], 0))</f>
        <v>HB</v>
      </c>
      <c r="E65" t="s">
        <v>14</v>
      </c>
      <c r="F65">
        <v>82</v>
      </c>
      <c r="G65" t="s">
        <v>71</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x14ac:dyDescent="0.25">
      <c r="A66">
        <v>100000</v>
      </c>
      <c r="B66" t="s">
        <v>140</v>
      </c>
      <c r="C66" t="s">
        <v>141</v>
      </c>
      <c r="D66" t="str">
        <f>INDEX(tblCampus[CampusCode], MATCH(tblCourse[[#This Row],[Ccampus]], tblCampus[CampusName], 0))</f>
        <v>HB</v>
      </c>
      <c r="E66" t="s">
        <v>20</v>
      </c>
      <c r="F66">
        <v>82</v>
      </c>
      <c r="G66" t="s">
        <v>71</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x14ac:dyDescent="0.25">
      <c r="A67">
        <v>628</v>
      </c>
      <c r="B67" t="s">
        <v>140</v>
      </c>
      <c r="C67" t="s">
        <v>141</v>
      </c>
      <c r="D67" t="str">
        <f>INDEX(tblCampus[CampusCode], MATCH(tblCourse[[#This Row],[Ccampus]], tblCampus[CampusName], 0))</f>
        <v>TC</v>
      </c>
      <c r="E67" t="s">
        <v>14</v>
      </c>
      <c r="F67">
        <v>81</v>
      </c>
      <c r="G67" t="s">
        <v>71</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x14ac:dyDescent="0.25">
      <c r="A68">
        <v>634</v>
      </c>
      <c r="B68" t="s">
        <v>142</v>
      </c>
      <c r="C68" t="s">
        <v>143</v>
      </c>
      <c r="D68" t="str">
        <f>INDEX(tblCampus[CampusCode], MATCH(tblCourse[[#This Row],[Ccampus]], tblCampus[CampusName], 0))</f>
        <v>HB</v>
      </c>
      <c r="E68" t="s">
        <v>14</v>
      </c>
      <c r="F68">
        <v>82</v>
      </c>
      <c r="G68" t="s">
        <v>71</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x14ac:dyDescent="0.25">
      <c r="A69">
        <v>100002</v>
      </c>
      <c r="B69" t="s">
        <v>142</v>
      </c>
      <c r="C69" t="s">
        <v>143</v>
      </c>
      <c r="D69" t="str">
        <f>INDEX(tblCampus[CampusCode], MATCH(tblCourse[[#This Row],[Ccampus]], tblCampus[CampusName], 0))</f>
        <v>HB</v>
      </c>
      <c r="E69" t="s">
        <v>20</v>
      </c>
      <c r="F69">
        <v>82</v>
      </c>
      <c r="G69" t="s">
        <v>71</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x14ac:dyDescent="0.25">
      <c r="A70">
        <v>635</v>
      </c>
      <c r="B70" t="s">
        <v>142</v>
      </c>
      <c r="C70" t="s">
        <v>143</v>
      </c>
      <c r="D70" t="str">
        <f>INDEX(tblCampus[CampusCode], MATCH(tblCourse[[#This Row],[Ccampus]], tblCampus[CampusName], 0))</f>
        <v>TC</v>
      </c>
      <c r="E70" t="s">
        <v>20</v>
      </c>
      <c r="F70">
        <v>81</v>
      </c>
      <c r="G70" t="s">
        <v>71</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x14ac:dyDescent="0.25">
      <c r="A71">
        <v>474</v>
      </c>
      <c r="B71" t="s">
        <v>144</v>
      </c>
      <c r="C71" t="s">
        <v>145</v>
      </c>
      <c r="D71" t="str">
        <f>INDEX(tblCampus[CampusCode], MATCH(tblCourse[[#This Row],[Ccampus]], tblCampus[CampusName], 0))</f>
        <v>HB</v>
      </c>
      <c r="E71" t="s">
        <v>14</v>
      </c>
      <c r="F71">
        <v>72</v>
      </c>
      <c r="G71" t="s">
        <v>71</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x14ac:dyDescent="0.25">
      <c r="A72">
        <v>475</v>
      </c>
      <c r="B72" t="s">
        <v>144</v>
      </c>
      <c r="C72" t="s">
        <v>145</v>
      </c>
      <c r="D72" t="str">
        <f>INDEX(tblCampus[CampusCode], MATCH(tblCourse[[#This Row],[Ccampus]], tblCampus[CampusName], 0))</f>
        <v>TC</v>
      </c>
      <c r="E72" t="s">
        <v>14</v>
      </c>
      <c r="F72">
        <v>73</v>
      </c>
      <c r="G72" t="s">
        <v>71</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x14ac:dyDescent="0.25">
      <c r="A73">
        <v>693</v>
      </c>
      <c r="B73" t="s">
        <v>140</v>
      </c>
      <c r="C73" t="s">
        <v>146</v>
      </c>
      <c r="D73" t="str">
        <f>INDEX(tblCampus[CampusCode], MATCH(tblCourse[[#This Row],[Ccampus]], tblCampus[CampusName], 0))</f>
        <v>HB</v>
      </c>
      <c r="E73" t="s">
        <v>20</v>
      </c>
      <c r="F73">
        <v>72</v>
      </c>
      <c r="G73" t="s">
        <v>71</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x14ac:dyDescent="0.25">
      <c r="A74">
        <v>696</v>
      </c>
      <c r="B74" t="s">
        <v>140</v>
      </c>
      <c r="C74" t="s">
        <v>146</v>
      </c>
      <c r="D74" t="str">
        <f>INDEX(tblCampus[CampusCode], MATCH(tblCourse[[#This Row],[Ccampus]], tblCampus[CampusName], 0))</f>
        <v>TC</v>
      </c>
      <c r="E74" t="s">
        <v>20</v>
      </c>
      <c r="F74">
        <v>73</v>
      </c>
      <c r="G74" t="s">
        <v>71</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x14ac:dyDescent="0.25">
      <c r="A75">
        <v>483</v>
      </c>
      <c r="B75" t="s">
        <v>147</v>
      </c>
      <c r="C75" t="s">
        <v>148</v>
      </c>
      <c r="D75" t="str">
        <f>INDEX(tblCampus[CampusCode], MATCH(tblCourse[[#This Row],[Ccampus]], tblCampus[CampusName], 0))</f>
        <v>HB</v>
      </c>
      <c r="E75" t="s">
        <v>14</v>
      </c>
      <c r="F75">
        <v>72</v>
      </c>
      <c r="G75" t="s">
        <v>71</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x14ac:dyDescent="0.25">
      <c r="A76">
        <v>100057</v>
      </c>
      <c r="B76" t="s">
        <v>147</v>
      </c>
      <c r="C76" t="s">
        <v>148</v>
      </c>
      <c r="D76" t="str">
        <f>INDEX(tblCampus[CampusCode], MATCH(tblCourse[[#This Row],[Ccampus]], tblCampus[CampusName], 0))</f>
        <v>TC</v>
      </c>
      <c r="E76" t="s">
        <v>14</v>
      </c>
      <c r="F76">
        <v>73</v>
      </c>
      <c r="G76" t="s">
        <v>71</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x14ac:dyDescent="0.25">
      <c r="A77">
        <v>490</v>
      </c>
      <c r="B77" t="s">
        <v>149</v>
      </c>
      <c r="C77" t="s">
        <v>150</v>
      </c>
      <c r="D77" t="str">
        <f>INDEX(tblCampus[CampusCode], MATCH(tblCourse[[#This Row],[Ccampus]], tblCampus[CampusName], 0))</f>
        <v>HB</v>
      </c>
      <c r="E77" t="s">
        <v>14</v>
      </c>
      <c r="F77">
        <v>72</v>
      </c>
      <c r="G77" t="s">
        <v>71</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x14ac:dyDescent="0.25">
      <c r="A78">
        <v>695</v>
      </c>
      <c r="B78" t="s">
        <v>149</v>
      </c>
      <c r="C78" t="s">
        <v>150</v>
      </c>
      <c r="D78" t="str">
        <f>INDEX(tblCampus[CampusCode], MATCH(tblCourse[[#This Row],[Ccampus]], tblCampus[CampusName], 0))</f>
        <v>TC</v>
      </c>
      <c r="E78" t="s">
        <v>14</v>
      </c>
      <c r="F78">
        <v>73</v>
      </c>
      <c r="G78" t="s">
        <v>71</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x14ac:dyDescent="0.25">
      <c r="A79">
        <v>492</v>
      </c>
      <c r="B79" t="s">
        <v>151</v>
      </c>
      <c r="C79" t="s">
        <v>152</v>
      </c>
      <c r="D79" t="str">
        <f>INDEX(tblCampus[CampusCode], MATCH(tblCourse[[#This Row],[Ccampus]], tblCampus[CampusName], 0))</f>
        <v>HB</v>
      </c>
      <c r="E79" t="s">
        <v>20</v>
      </c>
      <c r="F79">
        <v>72</v>
      </c>
      <c r="G79" t="s">
        <v>71</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x14ac:dyDescent="0.25">
      <c r="A80">
        <v>493</v>
      </c>
      <c r="B80" t="s">
        <v>151</v>
      </c>
      <c r="C80" t="s">
        <v>152</v>
      </c>
      <c r="D80" t="str">
        <f>INDEX(tblCampus[CampusCode], MATCH(tblCourse[[#This Row],[Ccampus]], tblCampus[CampusName], 0))</f>
        <v>TC</v>
      </c>
      <c r="E80" t="s">
        <v>20</v>
      </c>
      <c r="F80">
        <v>73</v>
      </c>
      <c r="G80" t="s">
        <v>71</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x14ac:dyDescent="0.25">
      <c r="A81">
        <v>496</v>
      </c>
      <c r="B81" t="s">
        <v>153</v>
      </c>
      <c r="C81" t="s">
        <v>154</v>
      </c>
      <c r="D81" t="str">
        <f>INDEX(tblCampus[CampusCode], MATCH(tblCourse[[#This Row],[Ccampus]], tblCampus[CampusName], 0))</f>
        <v>HB</v>
      </c>
      <c r="E81" t="s">
        <v>14</v>
      </c>
      <c r="F81">
        <v>72</v>
      </c>
      <c r="G81" t="s">
        <v>71</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x14ac:dyDescent="0.25">
      <c r="A82">
        <v>100009</v>
      </c>
      <c r="B82" t="s">
        <v>153</v>
      </c>
      <c r="C82" t="s">
        <v>154</v>
      </c>
      <c r="D82" t="str">
        <f>INDEX(tblCampus[CampusCode], MATCH(tblCourse[[#This Row],[Ccampus]], tblCampus[CampusName], 0))</f>
        <v>TC</v>
      </c>
      <c r="E82" t="s">
        <v>14</v>
      </c>
      <c r="F82">
        <v>73</v>
      </c>
      <c r="G82" t="s">
        <v>71</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x14ac:dyDescent="0.25">
      <c r="A83">
        <v>499</v>
      </c>
      <c r="B83" t="s">
        <v>155</v>
      </c>
      <c r="C83" t="s">
        <v>156</v>
      </c>
      <c r="D83" t="str">
        <f>INDEX(tblCampus[CampusCode], MATCH(tblCourse[[#This Row],[Ccampus]], tblCampus[CampusName], 0))</f>
        <v>HB</v>
      </c>
      <c r="E83" t="s">
        <v>20</v>
      </c>
      <c r="F83">
        <v>72</v>
      </c>
      <c r="G83" t="s">
        <v>71</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x14ac:dyDescent="0.25">
      <c r="A84">
        <v>500</v>
      </c>
      <c r="B84" t="s">
        <v>155</v>
      </c>
      <c r="C84" t="s">
        <v>156</v>
      </c>
      <c r="D84" t="str">
        <f>INDEX(tblCampus[CampusCode], MATCH(tblCourse[[#This Row],[Ccampus]], tblCampus[CampusName], 0))</f>
        <v>TC</v>
      </c>
      <c r="E84" t="s">
        <v>20</v>
      </c>
      <c r="F84">
        <v>73</v>
      </c>
      <c r="G84" t="s">
        <v>71</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x14ac:dyDescent="0.25">
      <c r="A85">
        <v>501</v>
      </c>
      <c r="B85" t="s">
        <v>157</v>
      </c>
      <c r="C85" t="s">
        <v>158</v>
      </c>
      <c r="D85" t="str">
        <f>INDEX(tblCampus[CampusCode], MATCH(tblCourse[[#This Row],[Ccampus]], tblCampus[CampusName], 0))</f>
        <v>HB</v>
      </c>
      <c r="E85" t="s">
        <v>14</v>
      </c>
      <c r="F85">
        <v>72</v>
      </c>
      <c r="G85" t="s">
        <v>71</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x14ac:dyDescent="0.25">
      <c r="A86">
        <v>502</v>
      </c>
      <c r="B86" t="s">
        <v>157</v>
      </c>
      <c r="C86" t="s">
        <v>158</v>
      </c>
      <c r="D86" t="str">
        <f>INDEX(tblCampus[CampusCode], MATCH(tblCourse[[#This Row],[Ccampus]], tblCampus[CampusName], 0))</f>
        <v>TC</v>
      </c>
      <c r="E86" t="s">
        <v>14</v>
      </c>
      <c r="F86">
        <v>73</v>
      </c>
      <c r="G86" t="s">
        <v>71</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x14ac:dyDescent="0.25">
      <c r="A87">
        <v>503</v>
      </c>
      <c r="B87" t="s">
        <v>159</v>
      </c>
      <c r="C87" t="s">
        <v>160</v>
      </c>
      <c r="D87" t="str">
        <f>INDEX(tblCampus[CampusCode], MATCH(tblCourse[[#This Row],[Ccampus]], tblCampus[CampusName], 0))</f>
        <v>HB</v>
      </c>
      <c r="E87" t="s">
        <v>14</v>
      </c>
      <c r="F87">
        <v>72</v>
      </c>
      <c r="G87" t="s">
        <v>71</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x14ac:dyDescent="0.25">
      <c r="A88">
        <v>504</v>
      </c>
      <c r="B88" t="s">
        <v>159</v>
      </c>
      <c r="C88" t="s">
        <v>160</v>
      </c>
      <c r="D88" t="str">
        <f>INDEX(tblCampus[CampusCode], MATCH(tblCourse[[#This Row],[Ccampus]], tblCampus[CampusName], 0))</f>
        <v>TC</v>
      </c>
      <c r="E88" t="s">
        <v>14</v>
      </c>
      <c r="F88">
        <v>73</v>
      </c>
      <c r="G88" t="s">
        <v>71</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x14ac:dyDescent="0.25">
      <c r="A89">
        <v>509</v>
      </c>
      <c r="B89" t="s">
        <v>161</v>
      </c>
      <c r="C89" t="s">
        <v>162</v>
      </c>
      <c r="D89" t="str">
        <f>INDEX(tblCampus[CampusCode], MATCH(tblCourse[[#This Row],[Ccampus]], tblCampus[CampusName], 0))</f>
        <v>HB</v>
      </c>
      <c r="E89" t="s">
        <v>14</v>
      </c>
      <c r="F89">
        <v>72</v>
      </c>
      <c r="G89" t="s">
        <v>71</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x14ac:dyDescent="0.25">
      <c r="A90">
        <v>508</v>
      </c>
      <c r="B90" t="s">
        <v>161</v>
      </c>
      <c r="C90" t="s">
        <v>162</v>
      </c>
      <c r="D90" t="str">
        <f>INDEX(tblCampus[CampusCode], MATCH(tblCourse[[#This Row],[Ccampus]], tblCampus[CampusName], 0))</f>
        <v>TC</v>
      </c>
      <c r="E90" t="s">
        <v>14</v>
      </c>
      <c r="F90">
        <v>73</v>
      </c>
      <c r="G90" t="s">
        <v>71</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x14ac:dyDescent="0.25">
      <c r="A91">
        <v>511</v>
      </c>
      <c r="B91" t="s">
        <v>163</v>
      </c>
      <c r="C91" t="s">
        <v>164</v>
      </c>
      <c r="D91" t="str">
        <f>INDEX(tblCampus[CampusCode], MATCH(tblCourse[[#This Row],[Ccampus]], tblCampus[CampusName], 0))</f>
        <v>HB</v>
      </c>
      <c r="E91" t="s">
        <v>20</v>
      </c>
      <c r="F91">
        <v>72</v>
      </c>
      <c r="G91" t="s">
        <v>71</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x14ac:dyDescent="0.25">
      <c r="A92">
        <v>512</v>
      </c>
      <c r="B92" t="s">
        <v>163</v>
      </c>
      <c r="C92" t="s">
        <v>164</v>
      </c>
      <c r="D92" t="str">
        <f>INDEX(tblCampus[CampusCode], MATCH(tblCourse[[#This Row],[Ccampus]], tblCampus[CampusName], 0))</f>
        <v>TC</v>
      </c>
      <c r="E92" t="s">
        <v>20</v>
      </c>
      <c r="F92">
        <v>73</v>
      </c>
      <c r="G92" t="s">
        <v>71</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x14ac:dyDescent="0.25">
      <c r="A93">
        <v>513</v>
      </c>
      <c r="B93" t="s">
        <v>165</v>
      </c>
      <c r="C93" t="s">
        <v>166</v>
      </c>
      <c r="D93" t="str">
        <f>INDEX(tblCampus[CampusCode], MATCH(tblCourse[[#This Row],[Ccampus]], tblCampus[CampusName], 0))</f>
        <v>HB</v>
      </c>
      <c r="E93" t="s">
        <v>14</v>
      </c>
      <c r="F93">
        <v>72</v>
      </c>
      <c r="G93" t="s">
        <v>71</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x14ac:dyDescent="0.25">
      <c r="A94">
        <v>100063</v>
      </c>
      <c r="B94" t="s">
        <v>165</v>
      </c>
      <c r="C94" t="s">
        <v>166</v>
      </c>
      <c r="D94" t="str">
        <f>INDEX(tblCampus[CampusCode], MATCH(tblCourse[[#This Row],[Ccampus]], tblCampus[CampusName], 0))</f>
        <v>HB</v>
      </c>
      <c r="E94" t="s">
        <v>20</v>
      </c>
      <c r="F94">
        <v>72</v>
      </c>
      <c r="G94" t="s">
        <v>71</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x14ac:dyDescent="0.25">
      <c r="A95">
        <v>514</v>
      </c>
      <c r="B95" t="s">
        <v>165</v>
      </c>
      <c r="C95" t="s">
        <v>166</v>
      </c>
      <c r="D95" t="str">
        <f>INDEX(tblCampus[CampusCode], MATCH(tblCourse[[#This Row],[Ccampus]], tblCampus[CampusName], 0))</f>
        <v>TC</v>
      </c>
      <c r="E95" t="s">
        <v>14</v>
      </c>
      <c r="F95">
        <v>73</v>
      </c>
      <c r="G95" t="s">
        <v>71</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x14ac:dyDescent="0.25">
      <c r="A96">
        <v>100064</v>
      </c>
      <c r="B96" t="s">
        <v>165</v>
      </c>
      <c r="C96" t="s">
        <v>166</v>
      </c>
      <c r="D96" t="str">
        <f>INDEX(tblCampus[CampusCode], MATCH(tblCourse[[#This Row],[Ccampus]], tblCampus[CampusName], 0))</f>
        <v>TC</v>
      </c>
      <c r="E96" t="s">
        <v>20</v>
      </c>
      <c r="F96">
        <v>73</v>
      </c>
      <c r="G96" t="s">
        <v>71</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x14ac:dyDescent="0.25">
      <c r="A97">
        <v>100010</v>
      </c>
      <c r="B97" t="s">
        <v>167</v>
      </c>
      <c r="C97" t="s">
        <v>168</v>
      </c>
      <c r="D97" t="str">
        <f>INDEX(tblCampus[CampusCode], MATCH(tblCourse[[#This Row],[Ccampus]], tblCampus[CampusName], 0))</f>
        <v>HB</v>
      </c>
      <c r="E97" t="s">
        <v>20</v>
      </c>
      <c r="F97">
        <v>72</v>
      </c>
      <c r="G97" t="s">
        <v>71</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x14ac:dyDescent="0.25">
      <c r="A98">
        <v>518</v>
      </c>
      <c r="B98" t="s">
        <v>167</v>
      </c>
      <c r="C98" t="s">
        <v>168</v>
      </c>
      <c r="D98" t="str">
        <f>INDEX(tblCampus[CampusCode], MATCH(tblCourse[[#This Row],[Ccampus]], tblCampus[CampusName], 0))</f>
        <v>TC</v>
      </c>
      <c r="E98" t="s">
        <v>20</v>
      </c>
      <c r="F98">
        <v>73</v>
      </c>
      <c r="G98" t="s">
        <v>71</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x14ac:dyDescent="0.25">
      <c r="A99">
        <v>532</v>
      </c>
      <c r="B99" t="s">
        <v>169</v>
      </c>
      <c r="C99" t="s">
        <v>170</v>
      </c>
      <c r="D99" t="str">
        <f>INDEX(tblCampus[CampusCode], MATCH(tblCourse[[#This Row],[Ccampus]], tblCampus[CampusName], 0))</f>
        <v>HB</v>
      </c>
      <c r="E99" t="s">
        <v>14</v>
      </c>
      <c r="F99">
        <v>72</v>
      </c>
      <c r="G99" t="s">
        <v>71</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x14ac:dyDescent="0.25">
      <c r="A100">
        <v>100060</v>
      </c>
      <c r="B100" t="s">
        <v>169</v>
      </c>
      <c r="C100" t="s">
        <v>170</v>
      </c>
      <c r="D100" t="str">
        <f>INDEX(tblCampus[CampusCode], MATCH(tblCourse[[#This Row],[Ccampus]], tblCampus[CampusName], 0))</f>
        <v>TC</v>
      </c>
      <c r="E100" t="s">
        <v>14</v>
      </c>
      <c r="F100">
        <v>73</v>
      </c>
      <c r="G100" t="s">
        <v>71</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x14ac:dyDescent="0.25">
      <c r="A101">
        <v>534</v>
      </c>
      <c r="B101" t="s">
        <v>171</v>
      </c>
      <c r="C101" t="s">
        <v>172</v>
      </c>
      <c r="D101" t="str">
        <f>INDEX(tblCampus[CampusCode], MATCH(tblCourse[[#This Row],[Ccampus]], tblCampus[CampusName], 0))</f>
        <v>HB</v>
      </c>
      <c r="E101" t="s">
        <v>14</v>
      </c>
      <c r="F101">
        <v>72</v>
      </c>
      <c r="G101" t="s">
        <v>71</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x14ac:dyDescent="0.25">
      <c r="A102">
        <v>100061</v>
      </c>
      <c r="B102" t="s">
        <v>171</v>
      </c>
      <c r="C102" t="s">
        <v>172</v>
      </c>
      <c r="D102" t="str">
        <f>INDEX(tblCampus[CampusCode], MATCH(tblCourse[[#This Row],[Ccampus]], tblCampus[CampusName], 0))</f>
        <v>TC</v>
      </c>
      <c r="E102" t="s">
        <v>14</v>
      </c>
      <c r="F102">
        <v>73</v>
      </c>
      <c r="G102" t="s">
        <v>71</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x14ac:dyDescent="0.25">
      <c r="A103">
        <v>535</v>
      </c>
      <c r="B103" t="s">
        <v>173</v>
      </c>
      <c r="C103" t="s">
        <v>174</v>
      </c>
      <c r="D103" t="str">
        <f>INDEX(tblCampus[CampusCode], MATCH(tblCourse[[#This Row],[Ccampus]], tblCampus[CampusName], 0))</f>
        <v>HB</v>
      </c>
      <c r="E103" t="s">
        <v>20</v>
      </c>
      <c r="F103">
        <v>72</v>
      </c>
      <c r="G103" t="s">
        <v>71</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x14ac:dyDescent="0.25">
      <c r="A104">
        <v>100062</v>
      </c>
      <c r="B104" t="s">
        <v>173</v>
      </c>
      <c r="C104" t="s">
        <v>174</v>
      </c>
      <c r="D104" t="str">
        <f>INDEX(tblCampus[CampusCode], MATCH(tblCourse[[#This Row],[Ccampus]], tblCampus[CampusName], 0))</f>
        <v>TC</v>
      </c>
      <c r="E104" t="s">
        <v>20</v>
      </c>
      <c r="F104">
        <v>73</v>
      </c>
      <c r="G104" t="s">
        <v>71</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x14ac:dyDescent="0.25">
      <c r="A105">
        <v>537</v>
      </c>
      <c r="B105" t="s">
        <v>175</v>
      </c>
      <c r="C105" t="s">
        <v>176</v>
      </c>
      <c r="D105" t="str">
        <f>INDEX(tblCampus[CampusCode], MATCH(tblCourse[[#This Row],[Ccampus]], tblCampus[CampusName], 0))</f>
        <v>HB</v>
      </c>
      <c r="E105" t="s">
        <v>20</v>
      </c>
      <c r="F105">
        <v>72</v>
      </c>
      <c r="G105" t="s">
        <v>71</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x14ac:dyDescent="0.25">
      <c r="A106">
        <v>539</v>
      </c>
      <c r="B106" t="s">
        <v>177</v>
      </c>
      <c r="C106" t="s">
        <v>178</v>
      </c>
      <c r="D106" t="str">
        <f>INDEX(tblCampus[CampusCode], MATCH(tblCourse[[#This Row],[Ccampus]], tblCampus[CampusName], 0))</f>
        <v>HB</v>
      </c>
      <c r="E106" t="s">
        <v>14</v>
      </c>
      <c r="F106">
        <v>72</v>
      </c>
      <c r="G106" t="s">
        <v>71</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x14ac:dyDescent="0.25">
      <c r="A107">
        <v>541</v>
      </c>
      <c r="B107" t="s">
        <v>179</v>
      </c>
      <c r="C107" t="s">
        <v>180</v>
      </c>
      <c r="D107" t="str">
        <f>INDEX(tblCampus[CampusCode], MATCH(tblCourse[[#This Row],[Ccampus]], tblCampus[CampusName], 0))</f>
        <v>HB</v>
      </c>
      <c r="E107" t="s">
        <v>20</v>
      </c>
      <c r="F107">
        <v>72</v>
      </c>
      <c r="G107" t="s">
        <v>71</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x14ac:dyDescent="0.25">
      <c r="A108">
        <v>100065</v>
      </c>
      <c r="B108" t="s">
        <v>26</v>
      </c>
      <c r="C108" t="s">
        <v>27</v>
      </c>
      <c r="D108" t="str">
        <f>INDEX(tblCampus[CampusCode], MATCH(tblCourse[[#This Row],[Ccampus]], tblCampus[CampusName], 0))</f>
        <v>HB</v>
      </c>
      <c r="E108" t="s">
        <v>14</v>
      </c>
      <c r="F108">
        <v>100003</v>
      </c>
      <c r="G108" t="s">
        <v>71</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x14ac:dyDescent="0.25">
      <c r="A109">
        <v>100039</v>
      </c>
      <c r="B109" t="s">
        <v>181</v>
      </c>
      <c r="C109" t="s">
        <v>27</v>
      </c>
      <c r="D109" t="str">
        <f>INDEX(tblCampus[CampusCode], MATCH(tblCourse[[#This Row],[Ccampus]], tblCampus[CampusName], 0))</f>
        <v>TC</v>
      </c>
      <c r="E109" t="s">
        <v>14</v>
      </c>
      <c r="F109">
        <v>100004</v>
      </c>
      <c r="G109" t="s">
        <v>71</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x14ac:dyDescent="0.25">
      <c r="A110">
        <v>200111</v>
      </c>
      <c r="B110" t="s">
        <v>182</v>
      </c>
      <c r="C110" t="s">
        <v>183</v>
      </c>
      <c r="D110" t="str">
        <f>INDEX(tblCampus[CampusCode], MATCH(tblCourse[[#This Row],[Ccampus]], tblCampus[CampusName], 0))</f>
        <v>HB</v>
      </c>
      <c r="E110" t="s">
        <v>14</v>
      </c>
      <c r="F110">
        <v>82</v>
      </c>
      <c r="G110" t="s">
        <v>184</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x14ac:dyDescent="0.25">
      <c r="A111">
        <v>200113</v>
      </c>
      <c r="B111" t="s">
        <v>185</v>
      </c>
      <c r="C111" t="s">
        <v>96</v>
      </c>
      <c r="D111" t="str">
        <f>INDEX(tblCampus[CampusCode], MATCH(tblCourse[[#This Row],[Ccampus]], tblCampus[CampusName], 0))</f>
        <v>TC</v>
      </c>
      <c r="E111" t="s">
        <v>14</v>
      </c>
      <c r="F111">
        <v>81</v>
      </c>
      <c r="G111" t="s">
        <v>184</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x14ac:dyDescent="0.25">
      <c r="A112">
        <v>200115</v>
      </c>
      <c r="B112" t="s">
        <v>186</v>
      </c>
      <c r="C112" t="s">
        <v>187</v>
      </c>
      <c r="D112" t="str">
        <f>INDEX(tblCampus[CampusCode], MATCH(tblCourse[[#This Row],[Ccampus]], tblCampus[CampusName], 0))</f>
        <v>HB</v>
      </c>
      <c r="E112" t="s">
        <v>14</v>
      </c>
      <c r="F112">
        <v>79</v>
      </c>
      <c r="G112" t="s">
        <v>184</v>
      </c>
      <c r="I112" t="str">
        <f>tblCourse[[#This Row],[CourseCode]]&amp;"/"&amp;tblCourse[[#This Row],[CRegion]]&amp;"/"&amp;tblCourse[[#This Row],[CIntake]]</f>
        <v>EX/HB/Feb</v>
      </c>
      <c r="K112" t="s">
        <v>15</v>
      </c>
      <c r="L112" t="str">
        <f>tblCourse[[#This Row],[CourseTitle]]&amp;"  -  "&amp;tblCourse[[#This Row],[Ccampus]]&amp;"  -  "&amp;tblCourse[[#This Row],[CIntake]]</f>
        <v>exceciec  -  Taradale  -  Feb</v>
      </c>
      <c r="M112" t="str">
        <f>tblCourse[[#This Row],[ProgFullCode]]&amp;"/1"</f>
        <v>CBASS/HB/Feb/1</v>
      </c>
      <c r="N112" t="str">
        <f>INDEX(Programmes!G:G,MATCH(tblCourse[[#This Row],[ProgNumb]],Programmes!A:A,))</f>
        <v>CBASS/HB/Feb</v>
      </c>
      <c r="O112" t="str">
        <f>tblCourse[[#This Row],[CourseCode]]&amp;"/"&amp;tblCourse[[#This Row],[Ccampus]]&amp;"/"&amp;tblCourse[[#This Row],[CIntake]]</f>
        <v>EX/Taradale/Feb</v>
      </c>
    </row>
    <row r="113" spans="1:15" x14ac:dyDescent="0.25">
      <c r="A113">
        <v>200117</v>
      </c>
      <c r="B113" t="s">
        <v>1402</v>
      </c>
      <c r="C113" t="s">
        <v>1401</v>
      </c>
      <c r="D113" t="str">
        <f>INDEX(tblCampus[CampusCode], MATCH(tblCourse[[#This Row],[Ccampus]], tblCampus[CampusName], 0))</f>
        <v>H</v>
      </c>
      <c r="E113" s="14" t="s">
        <v>31</v>
      </c>
      <c r="F113">
        <v>200031</v>
      </c>
      <c r="G113" t="s">
        <v>184</v>
      </c>
      <c r="H113" t="s">
        <v>40</v>
      </c>
      <c r="I113" t="str">
        <f>tblCourse[[#This Row],[CourseCode]]&amp;"/"&amp;tblCourse[[#This Row],[CRegion]]&amp;"/"&amp;tblCourse[[#This Row],[CIntake]]</f>
        <v>abc/H/1</v>
      </c>
      <c r="J113" t="b">
        <v>0</v>
      </c>
      <c r="K113" t="s">
        <v>1268</v>
      </c>
      <c r="L113" t="str">
        <f>tblCourse[[#This Row],[CourseTitle]]&amp;"  -  "&amp;tblCourse[[#This Row],[Ccampus]]&amp;"  -  "&amp;tblCourse[[#This Row],[CIntake]]</f>
        <v>First Course  -  Hastings  -  1</v>
      </c>
      <c r="M113" t="str">
        <f>tblCourse[[#This Row],[ProgFullCode]]&amp;"/1"</f>
        <v>CPT/HB/Sept24/1</v>
      </c>
      <c r="N113" t="str">
        <f>INDEX(Programmes!G:G,MATCH(tblCourse[[#This Row],[ProgNumb]],Programmes!A:A,))</f>
        <v>CPT/HB/Sept24</v>
      </c>
      <c r="O113" t="str">
        <f>tblCourse[[#This Row],[CourseCode]]&amp;"/"&amp;tblCourse[[#This Row],[Ccampus]]&amp;"/"&amp;tblCourse[[#This Row],[CIntake]]</f>
        <v>abc/Hastings/1</v>
      </c>
    </row>
    <row r="114" spans="1:15" x14ac:dyDescent="0.25">
      <c r="A114">
        <v>200118</v>
      </c>
      <c r="B114" t="s">
        <v>1596</v>
      </c>
      <c r="C114" t="s">
        <v>1595</v>
      </c>
      <c r="D114" t="str">
        <f>INDEX(tblCampus[CampusCode], MATCH(tblCourse[[#This Row],[Ccampus]], tblCampus[CampusName], 0))</f>
        <v>H</v>
      </c>
      <c r="E114" s="14" t="s">
        <v>31</v>
      </c>
      <c r="F114">
        <v>200031</v>
      </c>
      <c r="G114" t="s">
        <v>184</v>
      </c>
      <c r="H114" t="s">
        <v>40</v>
      </c>
      <c r="I114" t="str">
        <f>tblCourse[[#This Row],[CourseCode]]&amp;"/"&amp;tblCourse[[#This Row],[CRegion]]&amp;"/"&amp;tblCourse[[#This Row],[CIntake]]</f>
        <v>def/H/1</v>
      </c>
      <c r="J114" t="b">
        <v>0</v>
      </c>
      <c r="K114" t="s">
        <v>1268</v>
      </c>
      <c r="L114" t="str">
        <f>tblCourse[[#This Row],[CourseTitle]]&amp;"  -  "&amp;tblCourse[[#This Row],[Ccampus]]&amp;"  -  "&amp;tblCourse[[#This Row],[CIntake]]</f>
        <v>Test edit validation  -  Hastings  -  1</v>
      </c>
      <c r="M114" t="str">
        <f>tblCourse[[#This Row],[ProgFullCode]]&amp;"/1"</f>
        <v>CPT/HB/Sept24/1</v>
      </c>
      <c r="N114" t="str">
        <f>INDEX(Programmes!G:G,MATCH(tblCourse[[#This Row],[ProgNumb]],Programmes!A:A,))</f>
        <v>CPT/HB/Sept24</v>
      </c>
      <c r="O114" t="str">
        <f>tblCourse[[#This Row],[CourseCode]]&amp;"/"&amp;tblCourse[[#This Row],[Ccampus]]&amp;"/"&amp;tblCourse[[#This Row],[CIntake]]</f>
        <v>def/Hastings/1</v>
      </c>
    </row>
    <row r="115" spans="1:15" x14ac:dyDescent="0.25">
      <c r="A115">
        <v>200119</v>
      </c>
      <c r="B115" t="s">
        <v>1597</v>
      </c>
      <c r="C115" t="s">
        <v>47</v>
      </c>
      <c r="D115" t="str">
        <f>INDEX(tblCampus[CampusCode], MATCH(tblCourse[[#This Row],[Ccampus]], tblCampus[CampusName], 0))</f>
        <v>HB</v>
      </c>
      <c r="E115" s="14" t="s">
        <v>43</v>
      </c>
      <c r="F115">
        <v>200031</v>
      </c>
      <c r="G115" t="s">
        <v>184</v>
      </c>
      <c r="H115" t="s">
        <v>40</v>
      </c>
      <c r="I115" t="str">
        <f>tblCourse[[#This Row],[CourseCode]]&amp;"/"&amp;tblCourse[[#This Row],[CRegion]]&amp;"/"&amp;tblCourse[[#This Row],[CIntake]]</f>
        <v>qwe/HB/Jan</v>
      </c>
      <c r="J115" t="b">
        <v>0</v>
      </c>
      <c r="K115" t="s">
        <v>15</v>
      </c>
      <c r="L115" t="str">
        <f>tblCourse[[#This Row],[CourseTitle]]&amp;"  -  "&amp;tblCourse[[#This Row],[Ccampus]]&amp;"  -  "&amp;tblCourse[[#This Row],[CIntake]]</f>
        <v>Test list box refresh  -  Taradale  -  Jan</v>
      </c>
      <c r="M115" t="str">
        <f>tblCourse[[#This Row],[ProgFullCode]]&amp;"/1"</f>
        <v>CPT/HB/Sept24/1</v>
      </c>
      <c r="N115" t="str">
        <f>INDEX(Programmes!G:G,MATCH(tblCourse[[#This Row],[ProgNumb]],Programmes!A:A,))</f>
        <v>CPT/HB/Sept24</v>
      </c>
      <c r="O115" t="str">
        <f>tblCourse[[#This Row],[CourseCode]]&amp;"/"&amp;tblCourse[[#This Row],[Ccampus]]&amp;"/"&amp;tblCourse[[#This Row],[CIntake]]</f>
        <v>qwe/Taradale/Jan</v>
      </c>
    </row>
    <row r="116" spans="1:15" x14ac:dyDescent="0.25">
      <c r="A116">
        <v>200120</v>
      </c>
      <c r="B116" t="s">
        <v>2220</v>
      </c>
      <c r="C116" t="s">
        <v>2221</v>
      </c>
      <c r="D116" t="str">
        <f>INDEX(tblCampus[CampusCode], MATCH(tblCourse[[#This Row],[Ccampus]], tblCampus[CampusName], 0))</f>
        <v>HB</v>
      </c>
      <c r="E116" s="14" t="s">
        <v>43</v>
      </c>
      <c r="F116">
        <v>200015</v>
      </c>
      <c r="G116" t="s">
        <v>184</v>
      </c>
      <c r="H116" t="s">
        <v>40</v>
      </c>
      <c r="I116" t="str">
        <f>tblCourse[[#This Row],[CourseCode]]&amp;"/"&amp;tblCourse[[#This Row],[CRegion]]&amp;"/"&amp;tblCourse[[#This Row],[CIntake]]</f>
        <v>TESTAC/HB/Jan</v>
      </c>
      <c r="J116" t="b">
        <v>1</v>
      </c>
      <c r="K116" t="s">
        <v>15</v>
      </c>
      <c r="L116" t="str">
        <f>tblCourse[[#This Row],[CourseTitle]]&amp;"  -  "&amp;tblCourse[[#This Row],[Ccampus]]&amp;"  -  "&amp;tblCourse[[#This Row],[CIntake]]</f>
        <v>Test Check Activities  -  Taradale  -  Jan</v>
      </c>
      <c r="M116" t="str">
        <f>tblCourse[[#This Row],[ProgFullCode]]&amp;"/1"</f>
        <v>puiop/W/Jan/1</v>
      </c>
      <c r="N116" t="str">
        <f>INDEX(Programmes!G:G,MATCH(tblCourse[[#This Row],[ProgNumb]],Programmes!A:A,))</f>
        <v>puiop/W/Jan</v>
      </c>
      <c r="O116"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25"/>
  <sheetViews>
    <sheetView tabSelected="1" topLeftCell="BQ206" zoomScaleNormal="100" workbookViewId="0">
      <selection activeCell="BQ226" sqref="A226:XFD228"/>
    </sheetView>
  </sheetViews>
  <sheetFormatPr defaultRowHeight="15" x14ac:dyDescent="0.25"/>
  <cols>
    <col min="1" max="1" width="7.42578125" bestFit="1" customWidth="1"/>
    <col min="2" max="2" width="15.42578125" bestFit="1" customWidth="1"/>
    <col min="3" max="3" width="18.7109375" bestFit="1" customWidth="1"/>
    <col min="4" max="4" width="14.42578125" bestFit="1" customWidth="1"/>
    <col min="5" max="5" width="14.28515625" bestFit="1" customWidth="1"/>
    <col min="6" max="6" width="13.140625" bestFit="1" customWidth="1"/>
    <col min="7" max="7" width="15.42578125" bestFit="1" customWidth="1"/>
    <col min="8" max="8" width="10.42578125" bestFit="1" customWidth="1"/>
    <col min="9" max="9" width="143.5703125" bestFit="1" customWidth="1"/>
    <col min="10" max="10" width="12.42578125" bestFit="1" customWidth="1"/>
    <col min="11" max="11" width="13.28515625" bestFit="1" customWidth="1"/>
    <col min="12" max="12" width="26.28515625" bestFit="1" customWidth="1"/>
    <col min="13" max="13" width="19.5703125" bestFit="1" customWidth="1"/>
    <col min="14" max="14" width="12.42578125" bestFit="1" customWidth="1"/>
    <col min="15" max="15" width="11" bestFit="1" customWidth="1"/>
    <col min="16" max="16" width="12.140625" bestFit="1" customWidth="1"/>
    <col min="17" max="17" width="11.5703125" bestFit="1" customWidth="1"/>
    <col min="18" max="18" width="12.7109375" bestFit="1" customWidth="1"/>
    <col min="19" max="19" width="11" bestFit="1" customWidth="1"/>
    <col min="20" max="20" width="12.140625" bestFit="1" customWidth="1"/>
    <col min="21" max="21" width="12.42578125" bestFit="1" customWidth="1"/>
    <col min="22" max="22" width="13.42578125" bestFit="1" customWidth="1"/>
    <col min="23" max="23" width="9.42578125" bestFit="1" customWidth="1"/>
    <col min="24" max="24" width="10.5703125" bestFit="1" customWidth="1"/>
    <col min="25" max="25" width="10" bestFit="1" customWidth="1"/>
    <col min="26" max="26" width="11.140625" bestFit="1" customWidth="1"/>
    <col min="27" max="27" width="10.5703125" bestFit="1" customWidth="1"/>
    <col min="28" max="28" width="11.7109375" bestFit="1" customWidth="1"/>
    <col min="29" max="80" width="6.5703125" bestFit="1" customWidth="1"/>
    <col min="81" max="81" width="15.85546875" bestFit="1" customWidth="1"/>
    <col min="82" max="82" width="19.42578125" bestFit="1" customWidth="1"/>
    <col min="83" max="83" width="40.7109375" bestFit="1" customWidth="1"/>
    <col min="84" max="84" width="22.42578125" bestFit="1" customWidth="1"/>
    <col min="85" max="85" width="11.42578125" bestFit="1" customWidth="1"/>
    <col min="86" max="86" width="13.28515625" bestFit="1" customWidth="1"/>
    <col min="87" max="87" width="145.5703125" bestFit="1" customWidth="1"/>
    <col min="88" max="88" width="16.5703125" bestFit="1" customWidth="1"/>
    <col min="89" max="89" width="12.85546875" bestFit="1" customWidth="1"/>
    <col min="90" max="90" width="24.7109375" bestFit="1" customWidth="1"/>
  </cols>
  <sheetData>
    <row r="1" spans="1:90" x14ac:dyDescent="0.25">
      <c r="A1" t="s">
        <v>1403</v>
      </c>
      <c r="B1" t="s">
        <v>1404</v>
      </c>
      <c r="C1" t="s">
        <v>1405</v>
      </c>
      <c r="D1" t="s">
        <v>1406</v>
      </c>
      <c r="E1" t="s">
        <v>1407</v>
      </c>
      <c r="F1" t="s">
        <v>1408</v>
      </c>
      <c r="G1" t="s">
        <v>1409</v>
      </c>
      <c r="H1" t="s">
        <v>1244</v>
      </c>
      <c r="I1" t="s">
        <v>1410</v>
      </c>
      <c r="J1" t="s">
        <v>1237</v>
      </c>
      <c r="K1" t="s">
        <v>7</v>
      </c>
      <c r="L1" t="s">
        <v>1411</v>
      </c>
      <c r="M1" t="s">
        <v>1412</v>
      </c>
      <c r="N1" t="s">
        <v>1413</v>
      </c>
      <c r="O1" t="s">
        <v>1414</v>
      </c>
      <c r="P1" t="s">
        <v>1415</v>
      </c>
      <c r="Q1" t="s">
        <v>1416</v>
      </c>
      <c r="R1" t="s">
        <v>1417</v>
      </c>
      <c r="S1" t="s">
        <v>1418</v>
      </c>
      <c r="T1" t="s">
        <v>1419</v>
      </c>
      <c r="U1" t="s">
        <v>1420</v>
      </c>
      <c r="V1" t="s">
        <v>1421</v>
      </c>
      <c r="W1" t="s">
        <v>1422</v>
      </c>
      <c r="X1" t="s">
        <v>1423</v>
      </c>
      <c r="Y1" t="s">
        <v>1424</v>
      </c>
      <c r="Z1" t="s">
        <v>1425</v>
      </c>
      <c r="AA1" t="s">
        <v>1426</v>
      </c>
      <c r="AB1" t="s">
        <v>1427</v>
      </c>
      <c r="AC1" t="s">
        <v>1428</v>
      </c>
      <c r="AD1" t="s">
        <v>1429</v>
      </c>
      <c r="AE1" t="s">
        <v>1430</v>
      </c>
      <c r="AF1" t="s">
        <v>1431</v>
      </c>
      <c r="AG1" t="s">
        <v>1432</v>
      </c>
      <c r="AH1" t="s">
        <v>1433</v>
      </c>
      <c r="AI1" t="s">
        <v>1434</v>
      </c>
      <c r="AJ1" t="s">
        <v>1435</v>
      </c>
      <c r="AK1" t="s">
        <v>1436</v>
      </c>
      <c r="AL1" t="s">
        <v>1437</v>
      </c>
      <c r="AM1" t="s">
        <v>1438</v>
      </c>
      <c r="AN1" t="s">
        <v>1439</v>
      </c>
      <c r="AO1" t="s">
        <v>1440</v>
      </c>
      <c r="AP1" t="s">
        <v>1441</v>
      </c>
      <c r="AQ1" t="s">
        <v>1442</v>
      </c>
      <c r="AR1" t="s">
        <v>1443</v>
      </c>
      <c r="AS1" t="s">
        <v>1444</v>
      </c>
      <c r="AT1" t="s">
        <v>1445</v>
      </c>
      <c r="AU1" t="s">
        <v>1446</v>
      </c>
      <c r="AV1" t="s">
        <v>1447</v>
      </c>
      <c r="AW1" t="s">
        <v>1448</v>
      </c>
      <c r="AX1" t="s">
        <v>1449</v>
      </c>
      <c r="AY1" t="s">
        <v>1450</v>
      </c>
      <c r="AZ1" t="s">
        <v>1451</v>
      </c>
      <c r="BA1" t="s">
        <v>1452</v>
      </c>
      <c r="BB1" t="s">
        <v>1453</v>
      </c>
      <c r="BC1" t="s">
        <v>1454</v>
      </c>
      <c r="BD1" t="s">
        <v>1455</v>
      </c>
      <c r="BE1" t="s">
        <v>1456</v>
      </c>
      <c r="BF1" t="s">
        <v>1457</v>
      </c>
      <c r="BG1" t="s">
        <v>1458</v>
      </c>
      <c r="BH1" t="s">
        <v>1459</v>
      </c>
      <c r="BI1" t="s">
        <v>1460</v>
      </c>
      <c r="BJ1" t="s">
        <v>1461</v>
      </c>
      <c r="BK1" t="s">
        <v>1462</v>
      </c>
      <c r="BL1" t="s">
        <v>1463</v>
      </c>
      <c r="BM1" t="s">
        <v>1464</v>
      </c>
      <c r="BN1" t="s">
        <v>1465</v>
      </c>
      <c r="BO1" t="s">
        <v>1466</v>
      </c>
      <c r="BP1" t="s">
        <v>1467</v>
      </c>
      <c r="BQ1" t="s">
        <v>1468</v>
      </c>
      <c r="BR1" t="s">
        <v>1469</v>
      </c>
      <c r="BS1" t="s">
        <v>1470</v>
      </c>
      <c r="BT1" t="s">
        <v>1471</v>
      </c>
      <c r="BU1" t="s">
        <v>1472</v>
      </c>
      <c r="BV1" t="s">
        <v>1473</v>
      </c>
      <c r="BW1" t="s">
        <v>1474</v>
      </c>
      <c r="BX1" t="s">
        <v>1475</v>
      </c>
      <c r="BY1" t="s">
        <v>1476</v>
      </c>
      <c r="BZ1" t="s">
        <v>1477</v>
      </c>
      <c r="CA1" t="s">
        <v>1478</v>
      </c>
      <c r="CB1" t="s">
        <v>1479</v>
      </c>
      <c r="CC1" t="s">
        <v>1480</v>
      </c>
      <c r="CD1" t="s">
        <v>1481</v>
      </c>
      <c r="CE1" t="s">
        <v>1482</v>
      </c>
      <c r="CF1" t="s">
        <v>1483</v>
      </c>
      <c r="CG1" t="s">
        <v>1484</v>
      </c>
      <c r="CH1" t="s">
        <v>1485</v>
      </c>
      <c r="CI1" t="s">
        <v>1486</v>
      </c>
      <c r="CJ1" t="s">
        <v>2222</v>
      </c>
      <c r="CK1" t="s">
        <v>1487</v>
      </c>
      <c r="CL1" t="s">
        <v>1488</v>
      </c>
    </row>
    <row r="2" spans="1:90" x14ac:dyDescent="0.25">
      <c r="A2">
        <v>435</v>
      </c>
      <c r="B2">
        <v>697</v>
      </c>
      <c r="C2" t="s">
        <v>1326</v>
      </c>
      <c r="D2">
        <v>3</v>
      </c>
      <c r="E2" t="s">
        <v>1489</v>
      </c>
      <c r="F2">
        <v>8</v>
      </c>
      <c r="G2">
        <v>1</v>
      </c>
      <c r="H2">
        <v>3</v>
      </c>
      <c r="I2" t="s">
        <v>1598</v>
      </c>
      <c r="J2" t="s">
        <v>1252</v>
      </c>
      <c r="K2" t="s">
        <v>15</v>
      </c>
      <c r="L2" t="s">
        <v>1490</v>
      </c>
      <c r="M2" t="s">
        <v>1489</v>
      </c>
      <c r="N2" t="s">
        <v>1489</v>
      </c>
      <c r="O2" t="s">
        <v>1300</v>
      </c>
      <c r="P2" t="s">
        <v>1370</v>
      </c>
      <c r="Q2" t="s">
        <v>1300</v>
      </c>
      <c r="R2" t="s">
        <v>1370</v>
      </c>
      <c r="S2" t="s">
        <v>1300</v>
      </c>
      <c r="T2" t="s">
        <v>1370</v>
      </c>
      <c r="U2" t="s">
        <v>1300</v>
      </c>
      <c r="V2" t="s">
        <v>1370</v>
      </c>
      <c r="W2" t="s">
        <v>1255</v>
      </c>
      <c r="X2" t="s">
        <v>1255</v>
      </c>
      <c r="Y2" t="s">
        <v>1255</v>
      </c>
      <c r="Z2" t="s">
        <v>1255</v>
      </c>
      <c r="AA2" t="s">
        <v>1255</v>
      </c>
      <c r="AB2" t="s">
        <v>1255</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1251</v>
      </c>
      <c r="CD2" t="s">
        <v>1489</v>
      </c>
      <c r="CE2" t="s">
        <v>1491</v>
      </c>
      <c r="CF2" t="s">
        <v>1492</v>
      </c>
      <c r="CG2" t="b">
        <v>0</v>
      </c>
      <c r="CH2">
        <v>0</v>
      </c>
      <c r="CI2" t="s">
        <v>1489</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x14ac:dyDescent="0.25">
      <c r="A3">
        <v>437</v>
      </c>
      <c r="B3">
        <v>697</v>
      </c>
      <c r="C3" t="s">
        <v>1271</v>
      </c>
      <c r="D3">
        <v>1</v>
      </c>
      <c r="E3" t="s">
        <v>1489</v>
      </c>
      <c r="F3">
        <v>8</v>
      </c>
      <c r="G3">
        <v>1</v>
      </c>
      <c r="H3">
        <v>3</v>
      </c>
      <c r="I3" t="s">
        <v>205</v>
      </c>
      <c r="J3" t="s">
        <v>1252</v>
      </c>
      <c r="K3" t="s">
        <v>15</v>
      </c>
      <c r="L3" t="s">
        <v>1490</v>
      </c>
      <c r="M3" t="s">
        <v>1489</v>
      </c>
      <c r="N3" t="s">
        <v>1489</v>
      </c>
      <c r="O3" t="s">
        <v>1300</v>
      </c>
      <c r="P3" t="s">
        <v>1370</v>
      </c>
      <c r="Q3" t="s">
        <v>1300</v>
      </c>
      <c r="R3" t="s">
        <v>1370</v>
      </c>
      <c r="S3" t="s">
        <v>1300</v>
      </c>
      <c r="T3" t="s">
        <v>1370</v>
      </c>
      <c r="U3" t="s">
        <v>1300</v>
      </c>
      <c r="V3" t="s">
        <v>1370</v>
      </c>
      <c r="W3" t="s">
        <v>1255</v>
      </c>
      <c r="X3" t="s">
        <v>1255</v>
      </c>
      <c r="Y3" t="s">
        <v>1255</v>
      </c>
      <c r="Z3" t="s">
        <v>1255</v>
      </c>
      <c r="AA3" t="s">
        <v>1255</v>
      </c>
      <c r="AB3" t="s">
        <v>1255</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1251</v>
      </c>
      <c r="CD3" t="s">
        <v>1489</v>
      </c>
      <c r="CE3" t="s">
        <v>1491</v>
      </c>
      <c r="CF3" t="s">
        <v>1492</v>
      </c>
      <c r="CG3" t="b">
        <v>0</v>
      </c>
      <c r="CH3">
        <v>0</v>
      </c>
      <c r="CI3" t="s">
        <v>1489</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x14ac:dyDescent="0.25">
      <c r="A4">
        <v>436</v>
      </c>
      <c r="B4">
        <v>697</v>
      </c>
      <c r="C4" t="s">
        <v>1271</v>
      </c>
      <c r="D4">
        <v>2</v>
      </c>
      <c r="E4" t="s">
        <v>1489</v>
      </c>
      <c r="F4">
        <v>8</v>
      </c>
      <c r="G4">
        <v>1</v>
      </c>
      <c r="H4">
        <v>2</v>
      </c>
      <c r="I4" t="s">
        <v>205</v>
      </c>
      <c r="J4" t="s">
        <v>1252</v>
      </c>
      <c r="K4" t="s">
        <v>15</v>
      </c>
      <c r="L4" t="s">
        <v>1490</v>
      </c>
      <c r="M4" t="s">
        <v>1489</v>
      </c>
      <c r="N4" t="s">
        <v>1489</v>
      </c>
      <c r="O4" t="s">
        <v>1300</v>
      </c>
      <c r="P4" t="s">
        <v>1370</v>
      </c>
      <c r="Q4" t="s">
        <v>1300</v>
      </c>
      <c r="R4" t="s">
        <v>1370</v>
      </c>
      <c r="S4" t="s">
        <v>1300</v>
      </c>
      <c r="T4" t="s">
        <v>1370</v>
      </c>
      <c r="U4" t="s">
        <v>1300</v>
      </c>
      <c r="V4" t="s">
        <v>1370</v>
      </c>
      <c r="W4" t="s">
        <v>1255</v>
      </c>
      <c r="X4" t="s">
        <v>1255</v>
      </c>
      <c r="Y4" t="s">
        <v>1255</v>
      </c>
      <c r="Z4" t="s">
        <v>1255</v>
      </c>
      <c r="AA4" t="s">
        <v>1255</v>
      </c>
      <c r="AB4" t="s">
        <v>1255</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1251</v>
      </c>
      <c r="CD4" t="s">
        <v>1489</v>
      </c>
      <c r="CE4" t="s">
        <v>1491</v>
      </c>
      <c r="CF4" t="s">
        <v>1492</v>
      </c>
      <c r="CG4" t="b">
        <v>0</v>
      </c>
      <c r="CH4">
        <v>0</v>
      </c>
      <c r="CI4" t="s">
        <v>1489</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x14ac:dyDescent="0.25">
      <c r="A5">
        <v>438</v>
      </c>
      <c r="B5">
        <v>698</v>
      </c>
      <c r="C5" t="s">
        <v>1271</v>
      </c>
      <c r="D5">
        <v>1</v>
      </c>
      <c r="E5" t="s">
        <v>1489</v>
      </c>
      <c r="F5">
        <v>8</v>
      </c>
      <c r="G5">
        <v>1</v>
      </c>
      <c r="H5">
        <v>3</v>
      </c>
      <c r="I5" t="s">
        <v>953</v>
      </c>
      <c r="J5" t="s">
        <v>1252</v>
      </c>
      <c r="K5" t="s">
        <v>15</v>
      </c>
      <c r="L5" t="s">
        <v>1490</v>
      </c>
      <c r="M5" t="s">
        <v>1489</v>
      </c>
      <c r="N5" t="s">
        <v>1489</v>
      </c>
      <c r="O5" t="s">
        <v>1300</v>
      </c>
      <c r="P5" t="s">
        <v>1370</v>
      </c>
      <c r="Q5" t="s">
        <v>1300</v>
      </c>
      <c r="R5" t="s">
        <v>1370</v>
      </c>
      <c r="S5" t="s">
        <v>1300</v>
      </c>
      <c r="T5" t="s">
        <v>1370</v>
      </c>
      <c r="U5" t="s">
        <v>1300</v>
      </c>
      <c r="V5" t="s">
        <v>1370</v>
      </c>
      <c r="W5" t="s">
        <v>1255</v>
      </c>
      <c r="X5" t="s">
        <v>1255</v>
      </c>
      <c r="Y5" t="s">
        <v>1255</v>
      </c>
      <c r="Z5" t="s">
        <v>1255</v>
      </c>
      <c r="AA5" t="s">
        <v>1255</v>
      </c>
      <c r="AB5" t="s">
        <v>1255</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1251</v>
      </c>
      <c r="CD5" t="s">
        <v>1489</v>
      </c>
      <c r="CE5" t="s">
        <v>1491</v>
      </c>
      <c r="CF5" t="s">
        <v>1492</v>
      </c>
      <c r="CG5" t="b">
        <v>0</v>
      </c>
      <c r="CH5">
        <v>0</v>
      </c>
      <c r="CI5" t="s">
        <v>1489</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x14ac:dyDescent="0.25">
      <c r="A6">
        <v>439</v>
      </c>
      <c r="B6">
        <v>698</v>
      </c>
      <c r="C6" t="s">
        <v>1271</v>
      </c>
      <c r="D6">
        <v>2</v>
      </c>
      <c r="E6" t="s">
        <v>1489</v>
      </c>
      <c r="F6">
        <v>8</v>
      </c>
      <c r="G6">
        <v>1</v>
      </c>
      <c r="H6">
        <v>2</v>
      </c>
      <c r="I6" t="s">
        <v>953</v>
      </c>
      <c r="J6" t="s">
        <v>1252</v>
      </c>
      <c r="K6" t="s">
        <v>15</v>
      </c>
      <c r="L6" t="s">
        <v>1490</v>
      </c>
      <c r="M6" t="s">
        <v>1489</v>
      </c>
      <c r="N6" t="s">
        <v>1489</v>
      </c>
      <c r="O6" t="s">
        <v>1300</v>
      </c>
      <c r="P6" t="s">
        <v>1370</v>
      </c>
      <c r="Q6" t="s">
        <v>1300</v>
      </c>
      <c r="R6" t="s">
        <v>1370</v>
      </c>
      <c r="S6" t="s">
        <v>1300</v>
      </c>
      <c r="T6" t="s">
        <v>1370</v>
      </c>
      <c r="U6" t="s">
        <v>1300</v>
      </c>
      <c r="V6" t="s">
        <v>1370</v>
      </c>
      <c r="W6" t="s">
        <v>1255</v>
      </c>
      <c r="X6" t="s">
        <v>1255</v>
      </c>
      <c r="Y6" t="s">
        <v>1255</v>
      </c>
      <c r="Z6" t="s">
        <v>1255</v>
      </c>
      <c r="AA6" t="s">
        <v>1255</v>
      </c>
      <c r="AB6" t="s">
        <v>1255</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1251</v>
      </c>
      <c r="CD6" t="s">
        <v>1489</v>
      </c>
      <c r="CE6" t="s">
        <v>1491</v>
      </c>
      <c r="CF6" t="s">
        <v>1492</v>
      </c>
      <c r="CG6" t="b">
        <v>0</v>
      </c>
      <c r="CH6">
        <v>0</v>
      </c>
      <c r="CI6" t="s">
        <v>1489</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x14ac:dyDescent="0.25">
      <c r="A7">
        <v>440</v>
      </c>
      <c r="B7">
        <v>699</v>
      </c>
      <c r="C7" t="s">
        <v>1326</v>
      </c>
      <c r="D7">
        <v>3</v>
      </c>
      <c r="E7" t="s">
        <v>1489</v>
      </c>
      <c r="F7">
        <v>8</v>
      </c>
      <c r="G7">
        <v>1</v>
      </c>
      <c r="H7">
        <v>2</v>
      </c>
      <c r="I7" t="s">
        <v>205</v>
      </c>
      <c r="J7" t="s">
        <v>1252</v>
      </c>
      <c r="K7" t="s">
        <v>15</v>
      </c>
      <c r="L7" t="s">
        <v>1490</v>
      </c>
      <c r="M7" t="s">
        <v>1489</v>
      </c>
      <c r="N7" t="s">
        <v>1489</v>
      </c>
      <c r="O7" t="s">
        <v>1300</v>
      </c>
      <c r="P7" t="s">
        <v>1370</v>
      </c>
      <c r="Q7" t="s">
        <v>1300</v>
      </c>
      <c r="R7" t="s">
        <v>1370</v>
      </c>
      <c r="S7" t="s">
        <v>1300</v>
      </c>
      <c r="T7" t="s">
        <v>1370</v>
      </c>
      <c r="U7" t="s">
        <v>1300</v>
      </c>
      <c r="V7" t="s">
        <v>1370</v>
      </c>
      <c r="W7" t="s">
        <v>1255</v>
      </c>
      <c r="X7" t="s">
        <v>1255</v>
      </c>
      <c r="Y7" t="s">
        <v>1255</v>
      </c>
      <c r="Z7" t="s">
        <v>1255</v>
      </c>
      <c r="AA7" t="s">
        <v>1255</v>
      </c>
      <c r="AB7" t="s">
        <v>1255</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1251</v>
      </c>
      <c r="CD7" t="s">
        <v>1489</v>
      </c>
      <c r="CE7" t="s">
        <v>1493</v>
      </c>
      <c r="CF7" t="s">
        <v>1492</v>
      </c>
      <c r="CG7" t="b">
        <v>0</v>
      </c>
      <c r="CH7">
        <v>0</v>
      </c>
      <c r="CI7" t="s">
        <v>1489</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x14ac:dyDescent="0.25">
      <c r="A8">
        <v>442</v>
      </c>
      <c r="B8">
        <v>699</v>
      </c>
      <c r="C8" t="s">
        <v>1271</v>
      </c>
      <c r="D8">
        <v>1</v>
      </c>
      <c r="E8" t="s">
        <v>1489</v>
      </c>
      <c r="F8">
        <v>8</v>
      </c>
      <c r="G8">
        <v>1</v>
      </c>
      <c r="H8">
        <v>3</v>
      </c>
      <c r="I8" t="s">
        <v>205</v>
      </c>
      <c r="J8" t="s">
        <v>1252</v>
      </c>
      <c r="K8" t="s">
        <v>15</v>
      </c>
      <c r="L8" t="s">
        <v>1490</v>
      </c>
      <c r="M8" t="s">
        <v>1489</v>
      </c>
      <c r="N8" t="s">
        <v>1489</v>
      </c>
      <c r="O8" t="s">
        <v>1300</v>
      </c>
      <c r="P8" t="s">
        <v>1370</v>
      </c>
      <c r="Q8" t="s">
        <v>1300</v>
      </c>
      <c r="R8" t="s">
        <v>1370</v>
      </c>
      <c r="S8" t="s">
        <v>1300</v>
      </c>
      <c r="T8" t="s">
        <v>1370</v>
      </c>
      <c r="U8" t="s">
        <v>1300</v>
      </c>
      <c r="V8" t="s">
        <v>1370</v>
      </c>
      <c r="W8" t="s">
        <v>1255</v>
      </c>
      <c r="X8" t="s">
        <v>1255</v>
      </c>
      <c r="Y8" t="s">
        <v>1255</v>
      </c>
      <c r="Z8" t="s">
        <v>1255</v>
      </c>
      <c r="AA8" t="s">
        <v>1255</v>
      </c>
      <c r="AB8" t="s">
        <v>1255</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1251</v>
      </c>
      <c r="CD8" t="s">
        <v>1489</v>
      </c>
      <c r="CE8" t="s">
        <v>1493</v>
      </c>
      <c r="CF8" t="s">
        <v>1492</v>
      </c>
      <c r="CG8" t="b">
        <v>0</v>
      </c>
      <c r="CH8">
        <v>0</v>
      </c>
      <c r="CI8" t="s">
        <v>1489</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x14ac:dyDescent="0.25">
      <c r="A9">
        <v>441</v>
      </c>
      <c r="B9">
        <v>699</v>
      </c>
      <c r="C9" t="s">
        <v>1271</v>
      </c>
      <c r="D9">
        <v>2</v>
      </c>
      <c r="E9" t="s">
        <v>1489</v>
      </c>
      <c r="F9">
        <v>8</v>
      </c>
      <c r="G9">
        <v>1</v>
      </c>
      <c r="H9">
        <v>2</v>
      </c>
      <c r="I9" t="s">
        <v>205</v>
      </c>
      <c r="J9" t="s">
        <v>1252</v>
      </c>
      <c r="K9" t="s">
        <v>15</v>
      </c>
      <c r="L9" t="s">
        <v>1490</v>
      </c>
      <c r="M9" t="s">
        <v>1489</v>
      </c>
      <c r="N9" t="s">
        <v>1489</v>
      </c>
      <c r="O9" t="s">
        <v>1300</v>
      </c>
      <c r="P9" t="s">
        <v>1370</v>
      </c>
      <c r="Q9" t="s">
        <v>1300</v>
      </c>
      <c r="R9" t="s">
        <v>1370</v>
      </c>
      <c r="S9" t="s">
        <v>1300</v>
      </c>
      <c r="T9" t="s">
        <v>1370</v>
      </c>
      <c r="U9" t="s">
        <v>1300</v>
      </c>
      <c r="V9" t="s">
        <v>1370</v>
      </c>
      <c r="W9" t="s">
        <v>1255</v>
      </c>
      <c r="X9" t="s">
        <v>1255</v>
      </c>
      <c r="Y9" t="s">
        <v>1255</v>
      </c>
      <c r="Z9" t="s">
        <v>1255</v>
      </c>
      <c r="AA9" t="s">
        <v>1255</v>
      </c>
      <c r="AB9" t="s">
        <v>1255</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1251</v>
      </c>
      <c r="CD9" t="s">
        <v>1489</v>
      </c>
      <c r="CE9" t="s">
        <v>1493</v>
      </c>
      <c r="CF9" t="s">
        <v>1492</v>
      </c>
      <c r="CG9" t="b">
        <v>0</v>
      </c>
      <c r="CH9">
        <v>0</v>
      </c>
      <c r="CI9" t="s">
        <v>1489</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x14ac:dyDescent="0.25">
      <c r="A10">
        <v>444</v>
      </c>
      <c r="B10">
        <v>700</v>
      </c>
      <c r="C10" t="s">
        <v>1271</v>
      </c>
      <c r="D10">
        <v>1</v>
      </c>
      <c r="E10" t="s">
        <v>1489</v>
      </c>
      <c r="F10">
        <v>8</v>
      </c>
      <c r="G10">
        <v>1</v>
      </c>
      <c r="H10">
        <v>3</v>
      </c>
      <c r="I10" t="s">
        <v>953</v>
      </c>
      <c r="J10" t="s">
        <v>1252</v>
      </c>
      <c r="K10" t="s">
        <v>15</v>
      </c>
      <c r="L10" t="s">
        <v>1490</v>
      </c>
      <c r="M10" t="s">
        <v>1489</v>
      </c>
      <c r="N10" t="s">
        <v>1489</v>
      </c>
      <c r="O10" t="s">
        <v>1300</v>
      </c>
      <c r="P10" t="s">
        <v>1370</v>
      </c>
      <c r="Q10" t="s">
        <v>1300</v>
      </c>
      <c r="R10" t="s">
        <v>1370</v>
      </c>
      <c r="S10" t="s">
        <v>1300</v>
      </c>
      <c r="T10" t="s">
        <v>1370</v>
      </c>
      <c r="U10" t="s">
        <v>1300</v>
      </c>
      <c r="V10" t="s">
        <v>1370</v>
      </c>
      <c r="W10" t="s">
        <v>1255</v>
      </c>
      <c r="X10" t="s">
        <v>1255</v>
      </c>
      <c r="Y10" t="s">
        <v>1255</v>
      </c>
      <c r="Z10" t="s">
        <v>1255</v>
      </c>
      <c r="AA10" t="s">
        <v>1255</v>
      </c>
      <c r="AB10" t="s">
        <v>1255</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1251</v>
      </c>
      <c r="CD10" t="s">
        <v>1489</v>
      </c>
      <c r="CE10" t="s">
        <v>1493</v>
      </c>
      <c r="CF10" t="s">
        <v>1492</v>
      </c>
      <c r="CG10" t="b">
        <v>0</v>
      </c>
      <c r="CH10">
        <v>0</v>
      </c>
      <c r="CI10" t="s">
        <v>1489</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x14ac:dyDescent="0.25">
      <c r="A11">
        <v>443</v>
      </c>
      <c r="B11">
        <v>700</v>
      </c>
      <c r="C11" t="s">
        <v>1271</v>
      </c>
      <c r="D11">
        <v>2</v>
      </c>
      <c r="E11" t="s">
        <v>1489</v>
      </c>
      <c r="F11">
        <v>8</v>
      </c>
      <c r="G11">
        <v>1</v>
      </c>
      <c r="H11">
        <v>2</v>
      </c>
      <c r="I11" t="s">
        <v>953</v>
      </c>
      <c r="J11" t="s">
        <v>1252</v>
      </c>
      <c r="K11" t="s">
        <v>15</v>
      </c>
      <c r="L11" t="s">
        <v>1490</v>
      </c>
      <c r="M11" t="s">
        <v>1489</v>
      </c>
      <c r="N11" t="s">
        <v>1489</v>
      </c>
      <c r="O11" t="s">
        <v>1300</v>
      </c>
      <c r="P11" t="s">
        <v>1370</v>
      </c>
      <c r="Q11" t="s">
        <v>1300</v>
      </c>
      <c r="R11" t="s">
        <v>1370</v>
      </c>
      <c r="S11" t="s">
        <v>1300</v>
      </c>
      <c r="T11" t="s">
        <v>1370</v>
      </c>
      <c r="U11" t="s">
        <v>1300</v>
      </c>
      <c r="V11" t="s">
        <v>1370</v>
      </c>
      <c r="W11" t="s">
        <v>1255</v>
      </c>
      <c r="X11" t="s">
        <v>1255</v>
      </c>
      <c r="Y11" t="s">
        <v>1255</v>
      </c>
      <c r="Z11" t="s">
        <v>1255</v>
      </c>
      <c r="AA11" t="s">
        <v>1255</v>
      </c>
      <c r="AB11" t="s">
        <v>1255</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1251</v>
      </c>
      <c r="CD11" t="s">
        <v>1489</v>
      </c>
      <c r="CE11" t="s">
        <v>1493</v>
      </c>
      <c r="CF11" t="s">
        <v>1492</v>
      </c>
      <c r="CG11" t="b">
        <v>0</v>
      </c>
      <c r="CH11">
        <v>0</v>
      </c>
      <c r="CI11" t="s">
        <v>1489</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x14ac:dyDescent="0.25">
      <c r="A12">
        <v>297</v>
      </c>
      <c r="B12">
        <v>291</v>
      </c>
      <c r="C12" t="s">
        <v>1248</v>
      </c>
      <c r="D12">
        <v>1</v>
      </c>
      <c r="E12" t="s">
        <v>1489</v>
      </c>
      <c r="F12">
        <v>20</v>
      </c>
      <c r="G12">
        <v>1</v>
      </c>
      <c r="H12">
        <v>2</v>
      </c>
      <c r="I12" t="s">
        <v>776</v>
      </c>
      <c r="J12" t="s">
        <v>1295</v>
      </c>
      <c r="K12" t="s">
        <v>15</v>
      </c>
      <c r="L12" t="s">
        <v>1494</v>
      </c>
      <c r="M12" t="s">
        <v>1489</v>
      </c>
      <c r="N12" t="s">
        <v>1489</v>
      </c>
      <c r="O12" t="s">
        <v>1283</v>
      </c>
      <c r="P12" t="s">
        <v>1377</v>
      </c>
      <c r="Q12" t="s">
        <v>1283</v>
      </c>
      <c r="R12" t="s">
        <v>1377</v>
      </c>
      <c r="S12" t="s">
        <v>1283</v>
      </c>
      <c r="T12" t="s">
        <v>1377</v>
      </c>
      <c r="U12" t="s">
        <v>1283</v>
      </c>
      <c r="V12" t="s">
        <v>1377</v>
      </c>
      <c r="W12" t="s">
        <v>1283</v>
      </c>
      <c r="X12" t="s">
        <v>1370</v>
      </c>
      <c r="Y12" t="s">
        <v>1255</v>
      </c>
      <c r="Z12" t="s">
        <v>1255</v>
      </c>
      <c r="AA12" t="s">
        <v>1255</v>
      </c>
      <c r="AB12" t="s">
        <v>1255</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1495</v>
      </c>
      <c r="CD12" t="s">
        <v>1489</v>
      </c>
      <c r="CE12" t="s">
        <v>1496</v>
      </c>
      <c r="CF12" t="s">
        <v>1492</v>
      </c>
      <c r="CG12" t="b">
        <v>0</v>
      </c>
      <c r="CH12">
        <v>0</v>
      </c>
      <c r="CI12" t="s">
        <v>1497</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x14ac:dyDescent="0.25">
      <c r="A13">
        <v>298</v>
      </c>
      <c r="B13">
        <v>291</v>
      </c>
      <c r="C13" t="s">
        <v>1248</v>
      </c>
      <c r="D13">
        <v>2</v>
      </c>
      <c r="E13" t="s">
        <v>1489</v>
      </c>
      <c r="F13">
        <v>20</v>
      </c>
      <c r="G13">
        <v>1</v>
      </c>
      <c r="H13">
        <v>2</v>
      </c>
      <c r="I13" t="s">
        <v>776</v>
      </c>
      <c r="J13" t="s">
        <v>1295</v>
      </c>
      <c r="K13" t="s">
        <v>15</v>
      </c>
      <c r="L13" t="s">
        <v>1494</v>
      </c>
      <c r="M13" t="s">
        <v>1489</v>
      </c>
      <c r="N13" t="s">
        <v>1489</v>
      </c>
      <c r="O13" t="s">
        <v>1283</v>
      </c>
      <c r="P13" t="s">
        <v>1377</v>
      </c>
      <c r="Q13" t="s">
        <v>1283</v>
      </c>
      <c r="R13" t="s">
        <v>1377</v>
      </c>
      <c r="S13" t="s">
        <v>1283</v>
      </c>
      <c r="T13" t="s">
        <v>1377</v>
      </c>
      <c r="U13" t="s">
        <v>1283</v>
      </c>
      <c r="V13" t="s">
        <v>1377</v>
      </c>
      <c r="W13" t="s">
        <v>1283</v>
      </c>
      <c r="X13" t="s">
        <v>1370</v>
      </c>
      <c r="Y13" t="s">
        <v>1255</v>
      </c>
      <c r="Z13" t="s">
        <v>1255</v>
      </c>
      <c r="AA13" t="s">
        <v>1255</v>
      </c>
      <c r="AB13" t="s">
        <v>1255</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1495</v>
      </c>
      <c r="CD13" t="s">
        <v>1489</v>
      </c>
      <c r="CE13" t="s">
        <v>1496</v>
      </c>
      <c r="CF13" t="s">
        <v>1492</v>
      </c>
      <c r="CG13" t="b">
        <v>0</v>
      </c>
      <c r="CH13">
        <v>0</v>
      </c>
      <c r="CI13" t="s">
        <v>1497</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x14ac:dyDescent="0.25">
      <c r="A14">
        <v>302</v>
      </c>
      <c r="B14">
        <v>293</v>
      </c>
      <c r="C14" t="s">
        <v>1248</v>
      </c>
      <c r="D14">
        <v>1</v>
      </c>
      <c r="E14" t="s">
        <v>1489</v>
      </c>
      <c r="F14">
        <v>20</v>
      </c>
      <c r="G14">
        <v>1</v>
      </c>
      <c r="H14">
        <v>2</v>
      </c>
      <c r="I14" t="s">
        <v>776</v>
      </c>
      <c r="J14" t="s">
        <v>1295</v>
      </c>
      <c r="K14" t="s">
        <v>15</v>
      </c>
      <c r="L14" t="s">
        <v>1494</v>
      </c>
      <c r="M14" t="s">
        <v>1489</v>
      </c>
      <c r="N14" t="s">
        <v>1489</v>
      </c>
      <c r="O14" t="s">
        <v>1283</v>
      </c>
      <c r="P14" t="s">
        <v>1377</v>
      </c>
      <c r="Q14" t="s">
        <v>1283</v>
      </c>
      <c r="R14" t="s">
        <v>1377</v>
      </c>
      <c r="S14" t="s">
        <v>1283</v>
      </c>
      <c r="T14" t="s">
        <v>1377</v>
      </c>
      <c r="U14" t="s">
        <v>1283</v>
      </c>
      <c r="V14" t="s">
        <v>1377</v>
      </c>
      <c r="W14" t="s">
        <v>1283</v>
      </c>
      <c r="X14" t="s">
        <v>1370</v>
      </c>
      <c r="Y14" t="s">
        <v>1255</v>
      </c>
      <c r="Z14" t="s">
        <v>1255</v>
      </c>
      <c r="AA14" t="s">
        <v>1255</v>
      </c>
      <c r="AB14" t="s">
        <v>1255</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1495</v>
      </c>
      <c r="CD14" t="s">
        <v>1489</v>
      </c>
      <c r="CE14" t="s">
        <v>1498</v>
      </c>
      <c r="CF14" t="s">
        <v>1492</v>
      </c>
      <c r="CG14" t="b">
        <v>0</v>
      </c>
      <c r="CH14">
        <v>0</v>
      </c>
      <c r="CI14" t="s">
        <v>1497</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x14ac:dyDescent="0.25">
      <c r="A15">
        <v>301</v>
      </c>
      <c r="B15">
        <v>293</v>
      </c>
      <c r="C15" t="s">
        <v>1248</v>
      </c>
      <c r="D15">
        <v>2</v>
      </c>
      <c r="E15" t="s">
        <v>1489</v>
      </c>
      <c r="F15">
        <v>20</v>
      </c>
      <c r="G15">
        <v>1</v>
      </c>
      <c r="H15">
        <v>2</v>
      </c>
      <c r="I15" t="s">
        <v>776</v>
      </c>
      <c r="J15" t="s">
        <v>1295</v>
      </c>
      <c r="K15" t="s">
        <v>15</v>
      </c>
      <c r="L15" t="s">
        <v>1494</v>
      </c>
      <c r="M15" t="s">
        <v>1489</v>
      </c>
      <c r="N15" t="s">
        <v>1489</v>
      </c>
      <c r="O15" t="s">
        <v>1283</v>
      </c>
      <c r="P15" t="s">
        <v>1377</v>
      </c>
      <c r="Q15" t="s">
        <v>1283</v>
      </c>
      <c r="R15" t="s">
        <v>1377</v>
      </c>
      <c r="S15" t="s">
        <v>1283</v>
      </c>
      <c r="T15" t="s">
        <v>1377</v>
      </c>
      <c r="U15" t="s">
        <v>1283</v>
      </c>
      <c r="V15" t="s">
        <v>1377</v>
      </c>
      <c r="W15" t="s">
        <v>1283</v>
      </c>
      <c r="X15" t="s">
        <v>1370</v>
      </c>
      <c r="Y15" t="s">
        <v>1255</v>
      </c>
      <c r="Z15" t="s">
        <v>1255</v>
      </c>
      <c r="AA15" t="s">
        <v>1255</v>
      </c>
      <c r="AB15" t="s">
        <v>1255</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1495</v>
      </c>
      <c r="CD15" t="s">
        <v>1489</v>
      </c>
      <c r="CE15" t="s">
        <v>1498</v>
      </c>
      <c r="CF15" t="s">
        <v>1492</v>
      </c>
      <c r="CG15" t="b">
        <v>0</v>
      </c>
      <c r="CH15">
        <v>0</v>
      </c>
      <c r="CI15" t="s">
        <v>1497</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x14ac:dyDescent="0.25">
      <c r="A16">
        <v>300</v>
      </c>
      <c r="B16">
        <v>292</v>
      </c>
      <c r="C16" t="s">
        <v>1248</v>
      </c>
      <c r="D16">
        <v>1</v>
      </c>
      <c r="E16" t="s">
        <v>1489</v>
      </c>
      <c r="F16">
        <v>8</v>
      </c>
      <c r="G16">
        <v>1</v>
      </c>
      <c r="H16">
        <v>2</v>
      </c>
      <c r="I16" t="s">
        <v>632</v>
      </c>
      <c r="J16" t="s">
        <v>1295</v>
      </c>
      <c r="K16" t="s">
        <v>16</v>
      </c>
      <c r="L16" t="s">
        <v>1499</v>
      </c>
      <c r="M16" t="s">
        <v>1489</v>
      </c>
      <c r="N16" t="s">
        <v>1489</v>
      </c>
      <c r="O16" t="s">
        <v>1300</v>
      </c>
      <c r="P16" t="s">
        <v>1377</v>
      </c>
      <c r="Q16" t="s">
        <v>1300</v>
      </c>
      <c r="R16" t="s">
        <v>1377</v>
      </c>
      <c r="S16" t="s">
        <v>1300</v>
      </c>
      <c r="T16" t="s">
        <v>1377</v>
      </c>
      <c r="U16" t="s">
        <v>1300</v>
      </c>
      <c r="V16" t="s">
        <v>1377</v>
      </c>
      <c r="W16" t="s">
        <v>1300</v>
      </c>
      <c r="X16" t="s">
        <v>1370</v>
      </c>
      <c r="Y16" t="s">
        <v>1255</v>
      </c>
      <c r="Z16" t="s">
        <v>1255</v>
      </c>
      <c r="AA16" t="s">
        <v>1255</v>
      </c>
      <c r="AB16" t="s">
        <v>1255</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1495</v>
      </c>
      <c r="CD16" t="s">
        <v>1489</v>
      </c>
      <c r="CE16" t="s">
        <v>1496</v>
      </c>
      <c r="CF16" t="s">
        <v>1492</v>
      </c>
      <c r="CG16" t="b">
        <v>0</v>
      </c>
      <c r="CH16">
        <v>0</v>
      </c>
      <c r="CI16" t="s">
        <v>1497</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x14ac:dyDescent="0.25">
      <c r="A17">
        <v>299</v>
      </c>
      <c r="B17">
        <v>292</v>
      </c>
      <c r="C17" t="s">
        <v>1248</v>
      </c>
      <c r="D17">
        <v>2</v>
      </c>
      <c r="E17" t="s">
        <v>1489</v>
      </c>
      <c r="F17">
        <v>8</v>
      </c>
      <c r="G17">
        <v>1</v>
      </c>
      <c r="H17">
        <v>2</v>
      </c>
      <c r="I17" t="s">
        <v>632</v>
      </c>
      <c r="J17" t="s">
        <v>1295</v>
      </c>
      <c r="K17" t="s">
        <v>16</v>
      </c>
      <c r="L17" t="s">
        <v>1499</v>
      </c>
      <c r="M17" t="s">
        <v>1489</v>
      </c>
      <c r="N17" t="s">
        <v>1489</v>
      </c>
      <c r="O17" t="s">
        <v>1300</v>
      </c>
      <c r="P17" t="s">
        <v>1377</v>
      </c>
      <c r="Q17" t="s">
        <v>1300</v>
      </c>
      <c r="R17" t="s">
        <v>1377</v>
      </c>
      <c r="S17" t="s">
        <v>1300</v>
      </c>
      <c r="T17" t="s">
        <v>1377</v>
      </c>
      <c r="U17" t="s">
        <v>1300</v>
      </c>
      <c r="V17" t="s">
        <v>1377</v>
      </c>
      <c r="W17" t="s">
        <v>1300</v>
      </c>
      <c r="X17" t="s">
        <v>1370</v>
      </c>
      <c r="Y17" t="s">
        <v>1255</v>
      </c>
      <c r="Z17" t="s">
        <v>1255</v>
      </c>
      <c r="AA17" t="s">
        <v>1255</v>
      </c>
      <c r="AB17" t="s">
        <v>1255</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1495</v>
      </c>
      <c r="CD17" t="s">
        <v>1489</v>
      </c>
      <c r="CE17" t="s">
        <v>1496</v>
      </c>
      <c r="CF17" t="s">
        <v>1492</v>
      </c>
      <c r="CG17" t="b">
        <v>0</v>
      </c>
      <c r="CH17">
        <v>0</v>
      </c>
      <c r="CI17" t="s">
        <v>1497</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x14ac:dyDescent="0.25">
      <c r="A18">
        <v>304</v>
      </c>
      <c r="B18">
        <v>294</v>
      </c>
      <c r="C18" t="s">
        <v>1248</v>
      </c>
      <c r="D18">
        <v>1</v>
      </c>
      <c r="E18" t="s">
        <v>1489</v>
      </c>
      <c r="F18">
        <v>8</v>
      </c>
      <c r="G18">
        <v>1</v>
      </c>
      <c r="H18">
        <v>2</v>
      </c>
      <c r="I18" t="s">
        <v>632</v>
      </c>
      <c r="J18" t="s">
        <v>1295</v>
      </c>
      <c r="K18" t="s">
        <v>16</v>
      </c>
      <c r="L18" t="s">
        <v>1499</v>
      </c>
      <c r="M18" t="s">
        <v>1489</v>
      </c>
      <c r="N18" t="s">
        <v>1489</v>
      </c>
      <c r="O18" t="s">
        <v>1300</v>
      </c>
      <c r="P18" t="s">
        <v>1377</v>
      </c>
      <c r="Q18" t="s">
        <v>1300</v>
      </c>
      <c r="R18" t="s">
        <v>1377</v>
      </c>
      <c r="S18" t="s">
        <v>1300</v>
      </c>
      <c r="T18" t="s">
        <v>1377</v>
      </c>
      <c r="U18" t="s">
        <v>1300</v>
      </c>
      <c r="V18" t="s">
        <v>1377</v>
      </c>
      <c r="W18" t="s">
        <v>1300</v>
      </c>
      <c r="X18" t="s">
        <v>1370</v>
      </c>
      <c r="Y18" t="s">
        <v>1255</v>
      </c>
      <c r="Z18" t="s">
        <v>1255</v>
      </c>
      <c r="AA18" t="s">
        <v>1255</v>
      </c>
      <c r="AB18" t="s">
        <v>1255</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1251</v>
      </c>
      <c r="CD18" t="s">
        <v>1489</v>
      </c>
      <c r="CE18" t="s">
        <v>1498</v>
      </c>
      <c r="CF18" t="s">
        <v>1492</v>
      </c>
      <c r="CG18" t="b">
        <v>0</v>
      </c>
      <c r="CH18">
        <v>0</v>
      </c>
      <c r="CI18" t="s">
        <v>1500</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x14ac:dyDescent="0.25">
      <c r="A19">
        <v>303</v>
      </c>
      <c r="B19">
        <v>294</v>
      </c>
      <c r="C19" t="s">
        <v>1248</v>
      </c>
      <c r="D19">
        <v>2</v>
      </c>
      <c r="E19" t="s">
        <v>1489</v>
      </c>
      <c r="F19">
        <v>8</v>
      </c>
      <c r="G19">
        <v>1</v>
      </c>
      <c r="H19">
        <v>2</v>
      </c>
      <c r="I19" t="s">
        <v>632</v>
      </c>
      <c r="J19" t="s">
        <v>1295</v>
      </c>
      <c r="K19" t="s">
        <v>16</v>
      </c>
      <c r="L19" t="s">
        <v>1499</v>
      </c>
      <c r="M19" t="s">
        <v>1489</v>
      </c>
      <c r="N19" t="s">
        <v>1489</v>
      </c>
      <c r="O19" t="s">
        <v>1300</v>
      </c>
      <c r="P19" t="s">
        <v>1377</v>
      </c>
      <c r="Q19" t="s">
        <v>1300</v>
      </c>
      <c r="R19" t="s">
        <v>1377</v>
      </c>
      <c r="S19" t="s">
        <v>1300</v>
      </c>
      <c r="T19" t="s">
        <v>1377</v>
      </c>
      <c r="U19" t="s">
        <v>1300</v>
      </c>
      <c r="V19" t="s">
        <v>1377</v>
      </c>
      <c r="W19" t="s">
        <v>1300</v>
      </c>
      <c r="X19" t="s">
        <v>1370</v>
      </c>
      <c r="Y19" t="s">
        <v>1255</v>
      </c>
      <c r="Z19" t="s">
        <v>1255</v>
      </c>
      <c r="AA19" t="s">
        <v>1255</v>
      </c>
      <c r="AB19" t="s">
        <v>1255</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1251</v>
      </c>
      <c r="CD19" t="s">
        <v>1489</v>
      </c>
      <c r="CE19" t="s">
        <v>1498</v>
      </c>
      <c r="CF19" t="s">
        <v>1492</v>
      </c>
      <c r="CG19" t="b">
        <v>0</v>
      </c>
      <c r="CH19">
        <v>0</v>
      </c>
      <c r="CI19" t="s">
        <v>1497</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x14ac:dyDescent="0.25">
      <c r="A20">
        <v>305</v>
      </c>
      <c r="B20">
        <v>295</v>
      </c>
      <c r="C20" t="s">
        <v>1248</v>
      </c>
      <c r="D20">
        <v>1</v>
      </c>
      <c r="E20" t="s">
        <v>1489</v>
      </c>
      <c r="F20">
        <v>20</v>
      </c>
      <c r="G20">
        <v>1</v>
      </c>
      <c r="H20">
        <v>2</v>
      </c>
      <c r="I20" t="s">
        <v>810</v>
      </c>
      <c r="J20" t="s">
        <v>1295</v>
      </c>
      <c r="K20" t="s">
        <v>15</v>
      </c>
      <c r="L20" t="s">
        <v>1494</v>
      </c>
      <c r="M20" t="s">
        <v>1489</v>
      </c>
      <c r="N20" t="s">
        <v>1489</v>
      </c>
      <c r="O20" t="s">
        <v>1283</v>
      </c>
      <c r="P20" t="s">
        <v>1377</v>
      </c>
      <c r="Q20" t="s">
        <v>1283</v>
      </c>
      <c r="R20" t="s">
        <v>1377</v>
      </c>
      <c r="S20" t="s">
        <v>1283</v>
      </c>
      <c r="T20" t="s">
        <v>1377</v>
      </c>
      <c r="U20" t="s">
        <v>1283</v>
      </c>
      <c r="V20" t="s">
        <v>1377</v>
      </c>
      <c r="W20" t="s">
        <v>1283</v>
      </c>
      <c r="X20" t="s">
        <v>1370</v>
      </c>
      <c r="Y20" t="s">
        <v>1255</v>
      </c>
      <c r="Z20" t="s">
        <v>1255</v>
      </c>
      <c r="AA20" t="s">
        <v>1255</v>
      </c>
      <c r="AB20" t="s">
        <v>1255</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1495</v>
      </c>
      <c r="CD20" t="s">
        <v>1489</v>
      </c>
      <c r="CE20" t="s">
        <v>1492</v>
      </c>
      <c r="CF20" t="s">
        <v>1492</v>
      </c>
      <c r="CG20" t="b">
        <v>0</v>
      </c>
      <c r="CH20">
        <v>0</v>
      </c>
      <c r="CI20" t="s">
        <v>1501</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x14ac:dyDescent="0.25">
      <c r="A21">
        <v>307</v>
      </c>
      <c r="B21">
        <v>295</v>
      </c>
      <c r="C21" t="s">
        <v>1248</v>
      </c>
      <c r="D21">
        <v>2</v>
      </c>
      <c r="E21" t="s">
        <v>1489</v>
      </c>
      <c r="F21">
        <v>20</v>
      </c>
      <c r="G21">
        <v>1</v>
      </c>
      <c r="H21">
        <v>2</v>
      </c>
      <c r="I21" t="s">
        <v>810</v>
      </c>
      <c r="J21" t="s">
        <v>1295</v>
      </c>
      <c r="K21" t="s">
        <v>15</v>
      </c>
      <c r="L21" t="s">
        <v>1494</v>
      </c>
      <c r="M21" t="s">
        <v>1489</v>
      </c>
      <c r="N21" t="s">
        <v>1489</v>
      </c>
      <c r="O21" t="s">
        <v>1283</v>
      </c>
      <c r="P21" t="s">
        <v>1377</v>
      </c>
      <c r="Q21" t="s">
        <v>1283</v>
      </c>
      <c r="R21" t="s">
        <v>1377</v>
      </c>
      <c r="S21" t="s">
        <v>1283</v>
      </c>
      <c r="T21" t="s">
        <v>1377</v>
      </c>
      <c r="U21" t="s">
        <v>1283</v>
      </c>
      <c r="V21" t="s">
        <v>1377</v>
      </c>
      <c r="W21" t="s">
        <v>1283</v>
      </c>
      <c r="X21" t="s">
        <v>1370</v>
      </c>
      <c r="Y21" t="s">
        <v>1255</v>
      </c>
      <c r="Z21" t="s">
        <v>1255</v>
      </c>
      <c r="AA21" t="s">
        <v>1255</v>
      </c>
      <c r="AB21" t="s">
        <v>1255</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1495</v>
      </c>
      <c r="CD21" t="s">
        <v>1489</v>
      </c>
      <c r="CE21" t="s">
        <v>1492</v>
      </c>
      <c r="CF21" t="s">
        <v>1492</v>
      </c>
      <c r="CG21" t="b">
        <v>0</v>
      </c>
      <c r="CH21">
        <v>0</v>
      </c>
      <c r="CI21" t="s">
        <v>1502</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x14ac:dyDescent="0.25">
      <c r="A22">
        <v>308</v>
      </c>
      <c r="B22">
        <v>295</v>
      </c>
      <c r="C22" t="s">
        <v>1271</v>
      </c>
      <c r="D22">
        <v>1</v>
      </c>
      <c r="E22" t="s">
        <v>1489</v>
      </c>
      <c r="F22">
        <v>20</v>
      </c>
      <c r="G22">
        <v>1</v>
      </c>
      <c r="H22">
        <v>2</v>
      </c>
      <c r="I22" t="s">
        <v>810</v>
      </c>
      <c r="J22" t="s">
        <v>1252</v>
      </c>
      <c r="K22" t="s">
        <v>15</v>
      </c>
      <c r="L22" t="s">
        <v>1494</v>
      </c>
      <c r="M22" t="s">
        <v>1489</v>
      </c>
      <c r="N22" t="s">
        <v>1489</v>
      </c>
      <c r="O22" t="s">
        <v>1283</v>
      </c>
      <c r="P22" t="s">
        <v>1377</v>
      </c>
      <c r="Q22" t="s">
        <v>1283</v>
      </c>
      <c r="R22" t="s">
        <v>1377</v>
      </c>
      <c r="S22" t="s">
        <v>1283</v>
      </c>
      <c r="T22" t="s">
        <v>1377</v>
      </c>
      <c r="U22" t="s">
        <v>1283</v>
      </c>
      <c r="V22" t="s">
        <v>1377</v>
      </c>
      <c r="W22" t="s">
        <v>1283</v>
      </c>
      <c r="X22" t="s">
        <v>1370</v>
      </c>
      <c r="Y22" t="s">
        <v>1255</v>
      </c>
      <c r="Z22" t="s">
        <v>1255</v>
      </c>
      <c r="AA22" t="s">
        <v>1255</v>
      </c>
      <c r="AB22" t="s">
        <v>1255</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1495</v>
      </c>
      <c r="CD22" t="s">
        <v>1489</v>
      </c>
      <c r="CE22" t="s">
        <v>1492</v>
      </c>
      <c r="CF22" t="s">
        <v>1492</v>
      </c>
      <c r="CG22" t="b">
        <v>0</v>
      </c>
      <c r="CH22">
        <v>0</v>
      </c>
      <c r="CI22" t="s">
        <v>1503</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x14ac:dyDescent="0.25">
      <c r="A23">
        <v>306</v>
      </c>
      <c r="B23">
        <v>295</v>
      </c>
      <c r="C23" t="s">
        <v>1271</v>
      </c>
      <c r="D23">
        <v>2</v>
      </c>
      <c r="E23" t="s">
        <v>1489</v>
      </c>
      <c r="F23">
        <v>20</v>
      </c>
      <c r="G23">
        <v>1</v>
      </c>
      <c r="H23">
        <v>2</v>
      </c>
      <c r="I23" t="s">
        <v>810</v>
      </c>
      <c r="J23" t="s">
        <v>1252</v>
      </c>
      <c r="K23" t="s">
        <v>15</v>
      </c>
      <c r="L23" t="s">
        <v>1494</v>
      </c>
      <c r="M23" t="s">
        <v>1489</v>
      </c>
      <c r="N23" t="s">
        <v>1489</v>
      </c>
      <c r="O23" t="s">
        <v>1283</v>
      </c>
      <c r="P23" t="s">
        <v>1377</v>
      </c>
      <c r="Q23" t="s">
        <v>1283</v>
      </c>
      <c r="R23" t="s">
        <v>1377</v>
      </c>
      <c r="S23" t="s">
        <v>1283</v>
      </c>
      <c r="T23" t="s">
        <v>1377</v>
      </c>
      <c r="U23" t="s">
        <v>1283</v>
      </c>
      <c r="V23" t="s">
        <v>1377</v>
      </c>
      <c r="W23" t="s">
        <v>1283</v>
      </c>
      <c r="X23" t="s">
        <v>1370</v>
      </c>
      <c r="Y23" t="s">
        <v>1255</v>
      </c>
      <c r="Z23" t="s">
        <v>1255</v>
      </c>
      <c r="AA23" t="s">
        <v>1255</v>
      </c>
      <c r="AB23" t="s">
        <v>1255</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1495</v>
      </c>
      <c r="CD23" t="s">
        <v>1489</v>
      </c>
      <c r="CE23" t="s">
        <v>1492</v>
      </c>
      <c r="CF23" t="s">
        <v>1492</v>
      </c>
      <c r="CG23" t="b">
        <v>0</v>
      </c>
      <c r="CH23">
        <v>0</v>
      </c>
      <c r="CI23" t="s">
        <v>1503</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x14ac:dyDescent="0.25">
      <c r="A24">
        <v>312</v>
      </c>
      <c r="B24">
        <v>296</v>
      </c>
      <c r="C24" t="s">
        <v>1248</v>
      </c>
      <c r="D24">
        <v>1</v>
      </c>
      <c r="E24" t="s">
        <v>1489</v>
      </c>
      <c r="F24">
        <v>13</v>
      </c>
      <c r="G24">
        <v>1</v>
      </c>
      <c r="H24">
        <v>2</v>
      </c>
      <c r="I24" t="s">
        <v>632</v>
      </c>
      <c r="J24" t="s">
        <v>1295</v>
      </c>
      <c r="K24" t="s">
        <v>16</v>
      </c>
      <c r="L24" t="s">
        <v>1499</v>
      </c>
      <c r="M24" t="s">
        <v>1489</v>
      </c>
      <c r="N24" t="s">
        <v>1489</v>
      </c>
      <c r="O24" t="s">
        <v>1300</v>
      </c>
      <c r="P24" t="s">
        <v>1377</v>
      </c>
      <c r="Q24" t="s">
        <v>1300</v>
      </c>
      <c r="R24" t="s">
        <v>1377</v>
      </c>
      <c r="S24" t="s">
        <v>1300</v>
      </c>
      <c r="T24" t="s">
        <v>1377</v>
      </c>
      <c r="U24" t="s">
        <v>1300</v>
      </c>
      <c r="V24" t="s">
        <v>1377</v>
      </c>
      <c r="W24" t="s">
        <v>1300</v>
      </c>
      <c r="X24" t="s">
        <v>1370</v>
      </c>
      <c r="Y24" t="s">
        <v>1255</v>
      </c>
      <c r="Z24" t="s">
        <v>1255</v>
      </c>
      <c r="AA24" t="s">
        <v>1255</v>
      </c>
      <c r="AB24" t="s">
        <v>1255</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1495</v>
      </c>
      <c r="CD24" t="s">
        <v>1489</v>
      </c>
      <c r="CE24" t="s">
        <v>1492</v>
      </c>
      <c r="CF24" t="s">
        <v>1492</v>
      </c>
      <c r="CG24" t="b">
        <v>0</v>
      </c>
      <c r="CH24">
        <v>0</v>
      </c>
      <c r="CI24" t="s">
        <v>1504</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x14ac:dyDescent="0.25">
      <c r="A25">
        <v>310</v>
      </c>
      <c r="B25">
        <v>296</v>
      </c>
      <c r="C25" t="s">
        <v>1248</v>
      </c>
      <c r="D25">
        <v>2</v>
      </c>
      <c r="E25" t="s">
        <v>1489</v>
      </c>
      <c r="F25">
        <v>13</v>
      </c>
      <c r="G25">
        <v>1</v>
      </c>
      <c r="H25">
        <v>2</v>
      </c>
      <c r="I25" t="s">
        <v>632</v>
      </c>
      <c r="J25" t="s">
        <v>1295</v>
      </c>
      <c r="K25" t="s">
        <v>16</v>
      </c>
      <c r="L25" t="s">
        <v>1499</v>
      </c>
      <c r="M25" t="s">
        <v>1489</v>
      </c>
      <c r="N25" t="s">
        <v>1489</v>
      </c>
      <c r="O25" t="s">
        <v>1300</v>
      </c>
      <c r="P25" t="s">
        <v>1377</v>
      </c>
      <c r="Q25" t="s">
        <v>1300</v>
      </c>
      <c r="R25" t="s">
        <v>1377</v>
      </c>
      <c r="S25" t="s">
        <v>1300</v>
      </c>
      <c r="T25" t="s">
        <v>1377</v>
      </c>
      <c r="U25" t="s">
        <v>1300</v>
      </c>
      <c r="V25" t="s">
        <v>1377</v>
      </c>
      <c r="W25" t="s">
        <v>1300</v>
      </c>
      <c r="X25" t="s">
        <v>1370</v>
      </c>
      <c r="Y25" t="s">
        <v>1255</v>
      </c>
      <c r="Z25" t="s">
        <v>1255</v>
      </c>
      <c r="AA25" t="s">
        <v>1255</v>
      </c>
      <c r="AB25" t="s">
        <v>1255</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1495</v>
      </c>
      <c r="CD25" t="s">
        <v>1489</v>
      </c>
      <c r="CE25" t="s">
        <v>1492</v>
      </c>
      <c r="CF25" t="s">
        <v>1492</v>
      </c>
      <c r="CG25" t="b">
        <v>0</v>
      </c>
      <c r="CH25">
        <v>0</v>
      </c>
      <c r="CI25" t="s">
        <v>1504</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x14ac:dyDescent="0.25">
      <c r="A26">
        <v>311</v>
      </c>
      <c r="B26">
        <v>296</v>
      </c>
      <c r="C26" t="s">
        <v>1271</v>
      </c>
      <c r="D26">
        <v>1</v>
      </c>
      <c r="E26" t="s">
        <v>1489</v>
      </c>
      <c r="F26">
        <v>13</v>
      </c>
      <c r="G26">
        <v>1</v>
      </c>
      <c r="H26">
        <v>2</v>
      </c>
      <c r="I26" t="s">
        <v>632</v>
      </c>
      <c r="J26" t="s">
        <v>1252</v>
      </c>
      <c r="K26" t="s">
        <v>16</v>
      </c>
      <c r="L26" t="s">
        <v>1499</v>
      </c>
      <c r="M26" t="s">
        <v>1489</v>
      </c>
      <c r="N26" t="s">
        <v>1489</v>
      </c>
      <c r="O26" t="s">
        <v>1300</v>
      </c>
      <c r="P26" t="s">
        <v>1377</v>
      </c>
      <c r="Q26" t="s">
        <v>1300</v>
      </c>
      <c r="R26" t="s">
        <v>1377</v>
      </c>
      <c r="S26" t="s">
        <v>1300</v>
      </c>
      <c r="T26" t="s">
        <v>1377</v>
      </c>
      <c r="U26" t="s">
        <v>1300</v>
      </c>
      <c r="V26" t="s">
        <v>1377</v>
      </c>
      <c r="W26" t="s">
        <v>1300</v>
      </c>
      <c r="X26" t="s">
        <v>1370</v>
      </c>
      <c r="Y26" t="s">
        <v>1255</v>
      </c>
      <c r="Z26" t="s">
        <v>1255</v>
      </c>
      <c r="AA26" t="s">
        <v>1255</v>
      </c>
      <c r="AB26" t="s">
        <v>1255</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1495</v>
      </c>
      <c r="CD26" t="s">
        <v>1489</v>
      </c>
      <c r="CE26" t="s">
        <v>1492</v>
      </c>
      <c r="CF26" t="s">
        <v>1492</v>
      </c>
      <c r="CG26" t="b">
        <v>0</v>
      </c>
      <c r="CH26">
        <v>0</v>
      </c>
      <c r="CI26" t="s">
        <v>1505</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x14ac:dyDescent="0.25">
      <c r="A27">
        <v>309</v>
      </c>
      <c r="B27">
        <v>296</v>
      </c>
      <c r="C27" t="s">
        <v>1271</v>
      </c>
      <c r="D27">
        <v>2</v>
      </c>
      <c r="E27" t="s">
        <v>1489</v>
      </c>
      <c r="F27">
        <v>13</v>
      </c>
      <c r="G27">
        <v>1</v>
      </c>
      <c r="H27">
        <v>2</v>
      </c>
      <c r="I27" t="s">
        <v>632</v>
      </c>
      <c r="J27" t="s">
        <v>1252</v>
      </c>
      <c r="K27" t="s">
        <v>16</v>
      </c>
      <c r="L27" t="s">
        <v>1499</v>
      </c>
      <c r="M27" t="s">
        <v>1489</v>
      </c>
      <c r="N27" t="s">
        <v>1489</v>
      </c>
      <c r="O27" t="s">
        <v>1300</v>
      </c>
      <c r="P27" t="s">
        <v>1377</v>
      </c>
      <c r="Q27" t="s">
        <v>1300</v>
      </c>
      <c r="R27" t="s">
        <v>1377</v>
      </c>
      <c r="S27" t="s">
        <v>1300</v>
      </c>
      <c r="T27" t="s">
        <v>1377</v>
      </c>
      <c r="U27" t="s">
        <v>1300</v>
      </c>
      <c r="V27" t="s">
        <v>1377</v>
      </c>
      <c r="W27" t="s">
        <v>1300</v>
      </c>
      <c r="X27" t="s">
        <v>1370</v>
      </c>
      <c r="Y27" t="s">
        <v>1255</v>
      </c>
      <c r="Z27" t="s">
        <v>1255</v>
      </c>
      <c r="AA27" t="s">
        <v>1255</v>
      </c>
      <c r="AB27" t="s">
        <v>1255</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1495</v>
      </c>
      <c r="CD27" t="s">
        <v>1489</v>
      </c>
      <c r="CE27" t="s">
        <v>1492</v>
      </c>
      <c r="CF27" t="s">
        <v>1492</v>
      </c>
      <c r="CG27" t="b">
        <v>0</v>
      </c>
      <c r="CH27">
        <v>0</v>
      </c>
      <c r="CI27" t="s">
        <v>1506</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x14ac:dyDescent="0.25">
      <c r="A28">
        <v>314</v>
      </c>
      <c r="B28">
        <v>298</v>
      </c>
      <c r="C28" t="s">
        <v>1248</v>
      </c>
      <c r="D28">
        <v>1</v>
      </c>
      <c r="E28" t="s">
        <v>1489</v>
      </c>
      <c r="F28">
        <v>20</v>
      </c>
      <c r="G28">
        <v>1</v>
      </c>
      <c r="H28">
        <v>4</v>
      </c>
      <c r="I28" t="s">
        <v>810</v>
      </c>
      <c r="J28" t="s">
        <v>1295</v>
      </c>
      <c r="K28" t="s">
        <v>15</v>
      </c>
      <c r="L28" t="s">
        <v>1494</v>
      </c>
      <c r="M28" t="s">
        <v>1489</v>
      </c>
      <c r="N28" t="s">
        <v>1489</v>
      </c>
      <c r="O28" t="s">
        <v>1283</v>
      </c>
      <c r="P28" t="s">
        <v>1377</v>
      </c>
      <c r="Q28" t="s">
        <v>1283</v>
      </c>
      <c r="R28" t="s">
        <v>1377</v>
      </c>
      <c r="S28" t="s">
        <v>1283</v>
      </c>
      <c r="T28" t="s">
        <v>1377</v>
      </c>
      <c r="U28" t="s">
        <v>1283</v>
      </c>
      <c r="V28" t="s">
        <v>1377</v>
      </c>
      <c r="W28" t="s">
        <v>1283</v>
      </c>
      <c r="X28" t="s">
        <v>1370</v>
      </c>
      <c r="Y28" t="s">
        <v>1255</v>
      </c>
      <c r="Z28" t="s">
        <v>1255</v>
      </c>
      <c r="AA28" t="s">
        <v>1255</v>
      </c>
      <c r="AB28" t="s">
        <v>1255</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1495</v>
      </c>
      <c r="CD28" t="s">
        <v>1489</v>
      </c>
      <c r="CE28" t="s">
        <v>1492</v>
      </c>
      <c r="CF28" t="s">
        <v>1492</v>
      </c>
      <c r="CG28" t="b">
        <v>0</v>
      </c>
      <c r="CH28">
        <v>0</v>
      </c>
      <c r="CI28" t="s">
        <v>1507</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x14ac:dyDescent="0.25">
      <c r="A29">
        <v>313</v>
      </c>
      <c r="B29">
        <v>298</v>
      </c>
      <c r="C29" t="s">
        <v>1271</v>
      </c>
      <c r="D29">
        <v>2</v>
      </c>
      <c r="E29" t="s">
        <v>1489</v>
      </c>
      <c r="F29">
        <v>20</v>
      </c>
      <c r="G29">
        <v>1</v>
      </c>
      <c r="H29">
        <v>4</v>
      </c>
      <c r="I29" t="s">
        <v>810</v>
      </c>
      <c r="J29" t="s">
        <v>1252</v>
      </c>
      <c r="K29" t="s">
        <v>15</v>
      </c>
      <c r="L29" t="s">
        <v>1494</v>
      </c>
      <c r="M29" t="s">
        <v>1489</v>
      </c>
      <c r="N29" t="s">
        <v>1489</v>
      </c>
      <c r="O29" t="s">
        <v>1283</v>
      </c>
      <c r="P29" t="s">
        <v>1377</v>
      </c>
      <c r="Q29" t="s">
        <v>1283</v>
      </c>
      <c r="R29" t="s">
        <v>1377</v>
      </c>
      <c r="S29" t="s">
        <v>1283</v>
      </c>
      <c r="T29" t="s">
        <v>1377</v>
      </c>
      <c r="U29" t="s">
        <v>1283</v>
      </c>
      <c r="V29" t="s">
        <v>1377</v>
      </c>
      <c r="W29" t="s">
        <v>1283</v>
      </c>
      <c r="X29" t="s">
        <v>1370</v>
      </c>
      <c r="Y29" t="s">
        <v>1255</v>
      </c>
      <c r="Z29" t="s">
        <v>1255</v>
      </c>
      <c r="AA29" t="s">
        <v>1255</v>
      </c>
      <c r="AB29" t="s">
        <v>1255</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1495</v>
      </c>
      <c r="CD29" t="s">
        <v>1489</v>
      </c>
      <c r="CE29" t="s">
        <v>1492</v>
      </c>
      <c r="CF29" t="s">
        <v>1492</v>
      </c>
      <c r="CG29" t="b">
        <v>0</v>
      </c>
      <c r="CH29">
        <v>0</v>
      </c>
      <c r="CI29" t="s">
        <v>1508</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x14ac:dyDescent="0.25">
      <c r="A30">
        <v>318</v>
      </c>
      <c r="B30">
        <v>300</v>
      </c>
      <c r="C30" t="s">
        <v>1248</v>
      </c>
      <c r="D30">
        <v>1</v>
      </c>
      <c r="E30" t="s">
        <v>1489</v>
      </c>
      <c r="F30">
        <v>20</v>
      </c>
      <c r="G30">
        <v>1</v>
      </c>
      <c r="H30">
        <v>4</v>
      </c>
      <c r="I30" t="s">
        <v>810</v>
      </c>
      <c r="J30" t="s">
        <v>1295</v>
      </c>
      <c r="K30" t="s">
        <v>15</v>
      </c>
      <c r="L30" t="s">
        <v>1494</v>
      </c>
      <c r="M30" t="s">
        <v>1489</v>
      </c>
      <c r="N30" t="s">
        <v>1489</v>
      </c>
      <c r="O30" t="s">
        <v>1283</v>
      </c>
      <c r="P30" t="s">
        <v>1377</v>
      </c>
      <c r="Q30" t="s">
        <v>1283</v>
      </c>
      <c r="R30" t="s">
        <v>1377</v>
      </c>
      <c r="S30" t="s">
        <v>1283</v>
      </c>
      <c r="T30" t="s">
        <v>1377</v>
      </c>
      <c r="U30" t="s">
        <v>1283</v>
      </c>
      <c r="V30" t="s">
        <v>1377</v>
      </c>
      <c r="W30" t="s">
        <v>1283</v>
      </c>
      <c r="X30" t="s">
        <v>1370</v>
      </c>
      <c r="Y30" t="s">
        <v>1255</v>
      </c>
      <c r="Z30" t="s">
        <v>1255</v>
      </c>
      <c r="AA30" t="s">
        <v>1255</v>
      </c>
      <c r="AB30" t="s">
        <v>1255</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1495</v>
      </c>
      <c r="CD30" t="s">
        <v>1489</v>
      </c>
      <c r="CE30" t="s">
        <v>1492</v>
      </c>
      <c r="CF30" t="s">
        <v>1492</v>
      </c>
      <c r="CG30" t="b">
        <v>0</v>
      </c>
      <c r="CH30">
        <v>0</v>
      </c>
      <c r="CI30" t="s">
        <v>1508</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x14ac:dyDescent="0.25">
      <c r="A31">
        <v>317</v>
      </c>
      <c r="B31">
        <v>300</v>
      </c>
      <c r="C31" t="s">
        <v>1271</v>
      </c>
      <c r="D31">
        <v>1</v>
      </c>
      <c r="E31" t="s">
        <v>1489</v>
      </c>
      <c r="F31">
        <v>20</v>
      </c>
      <c r="G31">
        <v>1</v>
      </c>
      <c r="H31">
        <v>4</v>
      </c>
      <c r="I31" t="s">
        <v>810</v>
      </c>
      <c r="J31" t="s">
        <v>1252</v>
      </c>
      <c r="K31" t="s">
        <v>15</v>
      </c>
      <c r="L31" t="s">
        <v>1494</v>
      </c>
      <c r="M31" t="s">
        <v>1489</v>
      </c>
      <c r="N31" t="s">
        <v>1489</v>
      </c>
      <c r="O31" t="s">
        <v>1283</v>
      </c>
      <c r="P31" t="s">
        <v>1377</v>
      </c>
      <c r="Q31" t="s">
        <v>1283</v>
      </c>
      <c r="R31" t="s">
        <v>1377</v>
      </c>
      <c r="S31" t="s">
        <v>1283</v>
      </c>
      <c r="T31" t="s">
        <v>1377</v>
      </c>
      <c r="U31" t="s">
        <v>1283</v>
      </c>
      <c r="V31" t="s">
        <v>1377</v>
      </c>
      <c r="W31" t="s">
        <v>1283</v>
      </c>
      <c r="X31" t="s">
        <v>1370</v>
      </c>
      <c r="Y31" t="s">
        <v>1255</v>
      </c>
      <c r="Z31" t="s">
        <v>1255</v>
      </c>
      <c r="AA31" t="s">
        <v>1255</v>
      </c>
      <c r="AB31" t="s">
        <v>1255</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1495</v>
      </c>
      <c r="CD31" t="s">
        <v>1489</v>
      </c>
      <c r="CE31" t="s">
        <v>1492</v>
      </c>
      <c r="CF31" t="s">
        <v>1492</v>
      </c>
      <c r="CG31" t="b">
        <v>0</v>
      </c>
      <c r="CH31">
        <v>0</v>
      </c>
      <c r="CI31" t="s">
        <v>1509</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x14ac:dyDescent="0.25">
      <c r="A32">
        <v>316</v>
      </c>
      <c r="B32">
        <v>299</v>
      </c>
      <c r="C32" t="s">
        <v>1248</v>
      </c>
      <c r="D32">
        <v>1</v>
      </c>
      <c r="E32" t="s">
        <v>1489</v>
      </c>
      <c r="F32">
        <v>8</v>
      </c>
      <c r="G32">
        <v>1</v>
      </c>
      <c r="H32">
        <v>4</v>
      </c>
      <c r="I32" t="s">
        <v>632</v>
      </c>
      <c r="J32" t="s">
        <v>1295</v>
      </c>
      <c r="K32" t="s">
        <v>16</v>
      </c>
      <c r="L32" t="s">
        <v>1499</v>
      </c>
      <c r="M32" t="s">
        <v>1489</v>
      </c>
      <c r="N32" t="s">
        <v>1489</v>
      </c>
      <c r="O32" t="s">
        <v>1300</v>
      </c>
      <c r="P32" t="s">
        <v>1377</v>
      </c>
      <c r="Q32" t="s">
        <v>1300</v>
      </c>
      <c r="R32" t="s">
        <v>1377</v>
      </c>
      <c r="S32" t="s">
        <v>1300</v>
      </c>
      <c r="T32" t="s">
        <v>1377</v>
      </c>
      <c r="U32" t="s">
        <v>1300</v>
      </c>
      <c r="V32" t="s">
        <v>1377</v>
      </c>
      <c r="W32" t="s">
        <v>1300</v>
      </c>
      <c r="X32" t="s">
        <v>1370</v>
      </c>
      <c r="Y32" t="s">
        <v>1255</v>
      </c>
      <c r="Z32" t="s">
        <v>1255</v>
      </c>
      <c r="AA32" t="s">
        <v>1255</v>
      </c>
      <c r="AB32" t="s">
        <v>1255</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1495</v>
      </c>
      <c r="CD32" t="s">
        <v>1489</v>
      </c>
      <c r="CE32" t="s">
        <v>1492</v>
      </c>
      <c r="CF32" t="s">
        <v>1492</v>
      </c>
      <c r="CG32" t="b">
        <v>0</v>
      </c>
      <c r="CH32">
        <v>0</v>
      </c>
      <c r="CI32" t="s">
        <v>1510</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x14ac:dyDescent="0.25">
      <c r="A33">
        <v>315</v>
      </c>
      <c r="B33">
        <v>299</v>
      </c>
      <c r="C33" t="s">
        <v>1271</v>
      </c>
      <c r="D33">
        <v>1</v>
      </c>
      <c r="E33" t="s">
        <v>1489</v>
      </c>
      <c r="F33">
        <v>8</v>
      </c>
      <c r="G33">
        <v>1</v>
      </c>
      <c r="H33">
        <v>4</v>
      </c>
      <c r="I33" t="s">
        <v>632</v>
      </c>
      <c r="J33" t="s">
        <v>1252</v>
      </c>
      <c r="K33" t="s">
        <v>16</v>
      </c>
      <c r="L33" t="s">
        <v>1499</v>
      </c>
      <c r="M33" t="s">
        <v>1489</v>
      </c>
      <c r="N33" t="s">
        <v>1489</v>
      </c>
      <c r="O33" t="s">
        <v>1300</v>
      </c>
      <c r="P33" t="s">
        <v>1377</v>
      </c>
      <c r="Q33" t="s">
        <v>1300</v>
      </c>
      <c r="R33" t="s">
        <v>1377</v>
      </c>
      <c r="S33" t="s">
        <v>1300</v>
      </c>
      <c r="T33" t="s">
        <v>1377</v>
      </c>
      <c r="U33" t="s">
        <v>1300</v>
      </c>
      <c r="V33" t="s">
        <v>1377</v>
      </c>
      <c r="W33" t="s">
        <v>1300</v>
      </c>
      <c r="X33" t="s">
        <v>1370</v>
      </c>
      <c r="Y33" t="s">
        <v>1255</v>
      </c>
      <c r="Z33" t="s">
        <v>1255</v>
      </c>
      <c r="AA33" t="s">
        <v>1255</v>
      </c>
      <c r="AB33" t="s">
        <v>1255</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1495</v>
      </c>
      <c r="CD33" t="s">
        <v>1489</v>
      </c>
      <c r="CE33" t="s">
        <v>1492</v>
      </c>
      <c r="CF33" t="s">
        <v>1492</v>
      </c>
      <c r="CG33" t="b">
        <v>0</v>
      </c>
      <c r="CH33">
        <v>0</v>
      </c>
      <c r="CI33" t="s">
        <v>1511</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x14ac:dyDescent="0.25">
      <c r="A34">
        <v>320</v>
      </c>
      <c r="B34">
        <v>301</v>
      </c>
      <c r="C34" t="s">
        <v>1248</v>
      </c>
      <c r="D34">
        <v>1</v>
      </c>
      <c r="E34" t="s">
        <v>1489</v>
      </c>
      <c r="F34">
        <v>8</v>
      </c>
      <c r="G34">
        <v>1</v>
      </c>
      <c r="H34">
        <v>4</v>
      </c>
      <c r="I34" t="s">
        <v>632</v>
      </c>
      <c r="J34" t="s">
        <v>1295</v>
      </c>
      <c r="K34" t="s">
        <v>16</v>
      </c>
      <c r="L34" t="s">
        <v>1499</v>
      </c>
      <c r="M34" t="s">
        <v>1489</v>
      </c>
      <c r="N34" t="s">
        <v>1489</v>
      </c>
      <c r="O34" t="s">
        <v>1300</v>
      </c>
      <c r="P34" t="s">
        <v>1377</v>
      </c>
      <c r="Q34" t="s">
        <v>1300</v>
      </c>
      <c r="R34" t="s">
        <v>1377</v>
      </c>
      <c r="S34" t="s">
        <v>1300</v>
      </c>
      <c r="T34" t="s">
        <v>1377</v>
      </c>
      <c r="U34" t="s">
        <v>1300</v>
      </c>
      <c r="V34" t="s">
        <v>1377</v>
      </c>
      <c r="W34" t="s">
        <v>1300</v>
      </c>
      <c r="X34" t="s">
        <v>1370</v>
      </c>
      <c r="Y34" t="s">
        <v>1255</v>
      </c>
      <c r="Z34" t="s">
        <v>1255</v>
      </c>
      <c r="AA34" t="s">
        <v>1255</v>
      </c>
      <c r="AB34" t="s">
        <v>1255</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1495</v>
      </c>
      <c r="CD34" t="s">
        <v>1489</v>
      </c>
      <c r="CE34" t="s">
        <v>1492</v>
      </c>
      <c r="CF34" t="s">
        <v>1492</v>
      </c>
      <c r="CG34" t="b">
        <v>0</v>
      </c>
      <c r="CH34">
        <v>0</v>
      </c>
      <c r="CI34" t="s">
        <v>1512</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x14ac:dyDescent="0.25">
      <c r="A35">
        <v>319</v>
      </c>
      <c r="B35">
        <v>301</v>
      </c>
      <c r="C35" t="s">
        <v>1271</v>
      </c>
      <c r="D35">
        <v>1</v>
      </c>
      <c r="E35" t="s">
        <v>1489</v>
      </c>
      <c r="F35">
        <v>8</v>
      </c>
      <c r="G35">
        <v>1</v>
      </c>
      <c r="H35">
        <v>4</v>
      </c>
      <c r="I35" t="s">
        <v>632</v>
      </c>
      <c r="J35" t="s">
        <v>1252</v>
      </c>
      <c r="K35" t="s">
        <v>16</v>
      </c>
      <c r="L35" t="s">
        <v>1499</v>
      </c>
      <c r="M35" t="s">
        <v>1489</v>
      </c>
      <c r="N35" t="s">
        <v>1489</v>
      </c>
      <c r="O35" t="s">
        <v>1300</v>
      </c>
      <c r="P35" t="s">
        <v>1377</v>
      </c>
      <c r="Q35" t="s">
        <v>1300</v>
      </c>
      <c r="R35" t="s">
        <v>1377</v>
      </c>
      <c r="S35" t="s">
        <v>1300</v>
      </c>
      <c r="T35" t="s">
        <v>1377</v>
      </c>
      <c r="U35" t="s">
        <v>1300</v>
      </c>
      <c r="V35" t="s">
        <v>1377</v>
      </c>
      <c r="W35" t="s">
        <v>1300</v>
      </c>
      <c r="X35" t="s">
        <v>1370</v>
      </c>
      <c r="Y35" t="s">
        <v>1255</v>
      </c>
      <c r="Z35" t="s">
        <v>1255</v>
      </c>
      <c r="AA35" t="s">
        <v>1255</v>
      </c>
      <c r="AB35" t="s">
        <v>1255</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1495</v>
      </c>
      <c r="CD35" t="s">
        <v>1489</v>
      </c>
      <c r="CE35" t="s">
        <v>1492</v>
      </c>
      <c r="CF35" t="s">
        <v>1492</v>
      </c>
      <c r="CG35" t="b">
        <v>0</v>
      </c>
      <c r="CH35">
        <v>0</v>
      </c>
      <c r="CI35" t="s">
        <v>1513</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x14ac:dyDescent="0.25">
      <c r="A36">
        <v>459</v>
      </c>
      <c r="B36">
        <v>99997</v>
      </c>
      <c r="C36" t="s">
        <v>1248</v>
      </c>
      <c r="D36">
        <v>1</v>
      </c>
      <c r="E36" t="s">
        <v>1489</v>
      </c>
      <c r="F36">
        <v>20</v>
      </c>
      <c r="G36">
        <v>1</v>
      </c>
      <c r="H36">
        <v>4</v>
      </c>
      <c r="I36" t="s">
        <v>810</v>
      </c>
      <c r="J36" t="s">
        <v>1295</v>
      </c>
      <c r="K36" t="s">
        <v>15</v>
      </c>
      <c r="L36" t="s">
        <v>1494</v>
      </c>
      <c r="M36" t="s">
        <v>1489</v>
      </c>
      <c r="N36" t="s">
        <v>1489</v>
      </c>
      <c r="O36" t="s">
        <v>1283</v>
      </c>
      <c r="P36" t="s">
        <v>1377</v>
      </c>
      <c r="Q36" t="s">
        <v>1283</v>
      </c>
      <c r="R36" t="s">
        <v>1377</v>
      </c>
      <c r="S36" t="s">
        <v>1283</v>
      </c>
      <c r="T36" t="s">
        <v>1377</v>
      </c>
      <c r="U36" t="s">
        <v>1283</v>
      </c>
      <c r="V36" t="s">
        <v>1377</v>
      </c>
      <c r="W36" t="s">
        <v>1283</v>
      </c>
      <c r="X36" t="s">
        <v>1370</v>
      </c>
      <c r="Y36" t="s">
        <v>1255</v>
      </c>
      <c r="Z36" t="s">
        <v>1255</v>
      </c>
      <c r="AA36" t="s">
        <v>1255</v>
      </c>
      <c r="AB36" t="s">
        <v>1255</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1251</v>
      </c>
      <c r="CD36" t="s">
        <v>1489</v>
      </c>
      <c r="CE36" t="s">
        <v>1492</v>
      </c>
      <c r="CF36" t="s">
        <v>1492</v>
      </c>
      <c r="CG36" t="b">
        <v>0</v>
      </c>
      <c r="CH36">
        <v>0</v>
      </c>
      <c r="CI36" t="s">
        <v>1514</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x14ac:dyDescent="0.25">
      <c r="A37">
        <v>460</v>
      </c>
      <c r="B37">
        <v>99997</v>
      </c>
      <c r="C37" t="s">
        <v>1271</v>
      </c>
      <c r="D37">
        <v>1</v>
      </c>
      <c r="E37" t="s">
        <v>1489</v>
      </c>
      <c r="F37">
        <v>20</v>
      </c>
      <c r="G37">
        <v>1</v>
      </c>
      <c r="H37">
        <v>4</v>
      </c>
      <c r="I37" t="s">
        <v>810</v>
      </c>
      <c r="J37" t="s">
        <v>1252</v>
      </c>
      <c r="K37" t="s">
        <v>15</v>
      </c>
      <c r="L37" t="s">
        <v>1490</v>
      </c>
      <c r="M37" t="s">
        <v>1489</v>
      </c>
      <c r="N37" t="s">
        <v>1489</v>
      </c>
      <c r="O37" t="s">
        <v>1283</v>
      </c>
      <c r="P37" t="s">
        <v>1377</v>
      </c>
      <c r="Q37" t="s">
        <v>1283</v>
      </c>
      <c r="R37" t="s">
        <v>1377</v>
      </c>
      <c r="S37" t="s">
        <v>1283</v>
      </c>
      <c r="T37" t="s">
        <v>1377</v>
      </c>
      <c r="U37" t="s">
        <v>1283</v>
      </c>
      <c r="V37" t="s">
        <v>1377</v>
      </c>
      <c r="W37" t="s">
        <v>1283</v>
      </c>
      <c r="X37" t="s">
        <v>1370</v>
      </c>
      <c r="Y37" t="s">
        <v>1255</v>
      </c>
      <c r="Z37" t="s">
        <v>1255</v>
      </c>
      <c r="AA37" t="s">
        <v>1255</v>
      </c>
      <c r="AB37" t="s">
        <v>1255</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1251</v>
      </c>
      <c r="CD37" t="s">
        <v>1489</v>
      </c>
      <c r="CE37" t="s">
        <v>1492</v>
      </c>
      <c r="CF37" t="s">
        <v>1492</v>
      </c>
      <c r="CG37" t="b">
        <v>0</v>
      </c>
      <c r="CH37">
        <v>0</v>
      </c>
      <c r="CI37" t="s">
        <v>1515</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x14ac:dyDescent="0.25">
      <c r="A38">
        <v>324</v>
      </c>
      <c r="B38">
        <v>304</v>
      </c>
      <c r="C38" t="s">
        <v>1248</v>
      </c>
      <c r="D38">
        <v>1</v>
      </c>
      <c r="E38" t="s">
        <v>1489</v>
      </c>
      <c r="F38">
        <v>13</v>
      </c>
      <c r="G38">
        <v>1</v>
      </c>
      <c r="H38">
        <v>4</v>
      </c>
      <c r="I38" t="s">
        <v>632</v>
      </c>
      <c r="J38" t="s">
        <v>1295</v>
      </c>
      <c r="K38" t="s">
        <v>16</v>
      </c>
      <c r="L38" t="s">
        <v>1499</v>
      </c>
      <c r="M38" t="s">
        <v>1489</v>
      </c>
      <c r="N38" t="s">
        <v>1489</v>
      </c>
      <c r="O38" t="s">
        <v>1300</v>
      </c>
      <c r="P38" t="s">
        <v>1377</v>
      </c>
      <c r="Q38" t="s">
        <v>1300</v>
      </c>
      <c r="R38" t="s">
        <v>1377</v>
      </c>
      <c r="S38" t="s">
        <v>1300</v>
      </c>
      <c r="T38" t="s">
        <v>1377</v>
      </c>
      <c r="U38" t="s">
        <v>1300</v>
      </c>
      <c r="V38" t="s">
        <v>1377</v>
      </c>
      <c r="W38" t="s">
        <v>1300</v>
      </c>
      <c r="X38" t="s">
        <v>1370</v>
      </c>
      <c r="Y38" t="s">
        <v>1255</v>
      </c>
      <c r="Z38" t="s">
        <v>1255</v>
      </c>
      <c r="AA38" t="s">
        <v>1255</v>
      </c>
      <c r="AB38" t="s">
        <v>1255</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1495</v>
      </c>
      <c r="CD38" t="s">
        <v>1489</v>
      </c>
      <c r="CE38" t="s">
        <v>1492</v>
      </c>
      <c r="CF38" t="s">
        <v>1492</v>
      </c>
      <c r="CG38" t="b">
        <v>0</v>
      </c>
      <c r="CH38">
        <v>0</v>
      </c>
      <c r="CI38" t="s">
        <v>1516</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x14ac:dyDescent="0.25">
      <c r="A39">
        <v>323</v>
      </c>
      <c r="B39">
        <v>304</v>
      </c>
      <c r="C39" t="s">
        <v>1271</v>
      </c>
      <c r="D39">
        <v>1</v>
      </c>
      <c r="E39" t="s">
        <v>1489</v>
      </c>
      <c r="F39">
        <v>13</v>
      </c>
      <c r="G39">
        <v>1</v>
      </c>
      <c r="H39">
        <v>4</v>
      </c>
      <c r="I39" t="s">
        <v>632</v>
      </c>
      <c r="J39" t="s">
        <v>1252</v>
      </c>
      <c r="K39" t="s">
        <v>16</v>
      </c>
      <c r="L39" t="s">
        <v>1499</v>
      </c>
      <c r="M39" t="s">
        <v>1489</v>
      </c>
      <c r="N39" t="s">
        <v>1489</v>
      </c>
      <c r="O39" t="s">
        <v>1300</v>
      </c>
      <c r="P39" t="s">
        <v>1377</v>
      </c>
      <c r="Q39" t="s">
        <v>1300</v>
      </c>
      <c r="R39" t="s">
        <v>1377</v>
      </c>
      <c r="S39" t="s">
        <v>1300</v>
      </c>
      <c r="T39" t="s">
        <v>1377</v>
      </c>
      <c r="U39" t="s">
        <v>1300</v>
      </c>
      <c r="V39" t="s">
        <v>1377</v>
      </c>
      <c r="W39" t="s">
        <v>1300</v>
      </c>
      <c r="X39" t="s">
        <v>1370</v>
      </c>
      <c r="Y39" t="s">
        <v>1255</v>
      </c>
      <c r="Z39" t="s">
        <v>1255</v>
      </c>
      <c r="AA39" t="s">
        <v>1255</v>
      </c>
      <c r="AB39" t="s">
        <v>1255</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1495</v>
      </c>
      <c r="CD39" t="s">
        <v>1489</v>
      </c>
      <c r="CE39" t="s">
        <v>1492</v>
      </c>
      <c r="CF39" t="s">
        <v>1492</v>
      </c>
      <c r="CG39" t="b">
        <v>0</v>
      </c>
      <c r="CH39">
        <v>0</v>
      </c>
      <c r="CI39" t="s">
        <v>1517</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x14ac:dyDescent="0.25">
      <c r="A40">
        <v>531</v>
      </c>
      <c r="B40">
        <v>100040</v>
      </c>
      <c r="C40" t="s">
        <v>1248</v>
      </c>
      <c r="D40">
        <v>1</v>
      </c>
      <c r="E40" t="s">
        <v>1489</v>
      </c>
      <c r="F40">
        <v>23</v>
      </c>
      <c r="G40">
        <v>1</v>
      </c>
      <c r="H40">
        <v>2</v>
      </c>
      <c r="I40" t="s">
        <v>387</v>
      </c>
      <c r="J40" t="s">
        <v>1295</v>
      </c>
      <c r="K40" t="s">
        <v>15</v>
      </c>
      <c r="L40" t="s">
        <v>1518</v>
      </c>
      <c r="M40" t="s">
        <v>1519</v>
      </c>
      <c r="N40" t="s">
        <v>1489</v>
      </c>
      <c r="O40" t="s">
        <v>1283</v>
      </c>
      <c r="P40" t="s">
        <v>1381</v>
      </c>
      <c r="Q40" t="s">
        <v>1283</v>
      </c>
      <c r="R40" t="s">
        <v>1381</v>
      </c>
      <c r="S40" t="s">
        <v>1283</v>
      </c>
      <c r="T40" t="s">
        <v>1381</v>
      </c>
      <c r="U40" t="s">
        <v>1283</v>
      </c>
      <c r="V40" t="s">
        <v>1381</v>
      </c>
      <c r="W40" t="s">
        <v>1283</v>
      </c>
      <c r="X40" t="s">
        <v>1370</v>
      </c>
      <c r="Y40" t="s">
        <v>1255</v>
      </c>
      <c r="Z40" t="s">
        <v>1255</v>
      </c>
      <c r="AA40" t="s">
        <v>1255</v>
      </c>
      <c r="AB40" t="s">
        <v>1255</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1251</v>
      </c>
      <c r="CD40" t="s">
        <v>1489</v>
      </c>
      <c r="CE40" t="s">
        <v>1496</v>
      </c>
      <c r="CF40" t="s">
        <v>1492</v>
      </c>
      <c r="CG40" t="b">
        <v>1</v>
      </c>
      <c r="CH40">
        <v>0</v>
      </c>
      <c r="CI40" t="s">
        <v>1520</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x14ac:dyDescent="0.25">
      <c r="A41">
        <v>532</v>
      </c>
      <c r="B41">
        <v>100040</v>
      </c>
      <c r="C41" t="s">
        <v>1248</v>
      </c>
      <c r="D41">
        <v>2</v>
      </c>
      <c r="E41" t="s">
        <v>1489</v>
      </c>
      <c r="F41">
        <v>23</v>
      </c>
      <c r="G41">
        <v>1</v>
      </c>
      <c r="H41">
        <v>2</v>
      </c>
      <c r="I41" t="s">
        <v>387</v>
      </c>
      <c r="J41" t="s">
        <v>1295</v>
      </c>
      <c r="K41" t="s">
        <v>15</v>
      </c>
      <c r="L41" t="s">
        <v>1518</v>
      </c>
      <c r="M41" t="s">
        <v>1519</v>
      </c>
      <c r="N41" t="s">
        <v>1489</v>
      </c>
      <c r="O41" t="s">
        <v>1283</v>
      </c>
      <c r="P41" t="s">
        <v>1381</v>
      </c>
      <c r="Q41" t="s">
        <v>1283</v>
      </c>
      <c r="R41" t="s">
        <v>1381</v>
      </c>
      <c r="S41" t="s">
        <v>1283</v>
      </c>
      <c r="T41" t="s">
        <v>1381</v>
      </c>
      <c r="U41" t="s">
        <v>1283</v>
      </c>
      <c r="V41" t="s">
        <v>1381</v>
      </c>
      <c r="W41" t="s">
        <v>1283</v>
      </c>
      <c r="X41" t="s">
        <v>1370</v>
      </c>
      <c r="Y41" t="s">
        <v>1255</v>
      </c>
      <c r="Z41" t="s">
        <v>1255</v>
      </c>
      <c r="AA41" t="s">
        <v>1255</v>
      </c>
      <c r="AB41" t="s">
        <v>1255</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1251</v>
      </c>
      <c r="CD41" t="s">
        <v>1489</v>
      </c>
      <c r="CE41" t="s">
        <v>1496</v>
      </c>
      <c r="CF41" t="s">
        <v>1492</v>
      </c>
      <c r="CG41" t="b">
        <v>1</v>
      </c>
      <c r="CH41">
        <v>0</v>
      </c>
      <c r="CI41" t="s">
        <v>1520</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x14ac:dyDescent="0.25">
      <c r="A42">
        <v>479</v>
      </c>
      <c r="B42">
        <v>100011</v>
      </c>
      <c r="C42" t="s">
        <v>1248</v>
      </c>
      <c r="D42">
        <v>1</v>
      </c>
      <c r="E42" t="s">
        <v>1489</v>
      </c>
      <c r="F42">
        <v>15</v>
      </c>
      <c r="G42">
        <v>1</v>
      </c>
      <c r="H42">
        <v>2</v>
      </c>
      <c r="I42" t="s">
        <v>387</v>
      </c>
      <c r="J42" t="s">
        <v>1295</v>
      </c>
      <c r="K42" t="s">
        <v>15</v>
      </c>
      <c r="L42" t="s">
        <v>1518</v>
      </c>
      <c r="M42" t="s">
        <v>1519</v>
      </c>
      <c r="N42" t="s">
        <v>1489</v>
      </c>
      <c r="O42" t="s">
        <v>1283</v>
      </c>
      <c r="P42" t="s">
        <v>1381</v>
      </c>
      <c r="Q42" t="s">
        <v>1283</v>
      </c>
      <c r="R42" t="s">
        <v>1381</v>
      </c>
      <c r="S42" t="s">
        <v>1283</v>
      </c>
      <c r="T42" t="s">
        <v>1381</v>
      </c>
      <c r="U42" t="s">
        <v>1283</v>
      </c>
      <c r="V42" t="s">
        <v>1381</v>
      </c>
      <c r="W42" t="s">
        <v>1283</v>
      </c>
      <c r="X42" t="s">
        <v>1370</v>
      </c>
      <c r="Y42" t="s">
        <v>1255</v>
      </c>
      <c r="Z42" t="s">
        <v>1255</v>
      </c>
      <c r="AA42" t="s">
        <v>1255</v>
      </c>
      <c r="AB42" t="s">
        <v>1255</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1251</v>
      </c>
      <c r="CD42" t="s">
        <v>1489</v>
      </c>
      <c r="CE42" t="s">
        <v>1498</v>
      </c>
      <c r="CF42" t="s">
        <v>1492</v>
      </c>
      <c r="CG42" t="b">
        <v>1</v>
      </c>
      <c r="CH42">
        <v>0</v>
      </c>
      <c r="CI42" t="s">
        <v>1521</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x14ac:dyDescent="0.25">
      <c r="A43">
        <v>480</v>
      </c>
      <c r="B43">
        <v>100011</v>
      </c>
      <c r="C43" t="s">
        <v>1248</v>
      </c>
      <c r="D43">
        <v>2</v>
      </c>
      <c r="E43" t="s">
        <v>1489</v>
      </c>
      <c r="F43">
        <v>15</v>
      </c>
      <c r="G43">
        <v>1</v>
      </c>
      <c r="H43">
        <v>2</v>
      </c>
      <c r="I43" t="s">
        <v>387</v>
      </c>
      <c r="J43" t="s">
        <v>1295</v>
      </c>
      <c r="K43" t="s">
        <v>15</v>
      </c>
      <c r="L43" t="s">
        <v>1518</v>
      </c>
      <c r="M43" t="s">
        <v>1519</v>
      </c>
      <c r="N43" t="s">
        <v>1489</v>
      </c>
      <c r="O43" t="s">
        <v>1283</v>
      </c>
      <c r="P43" t="s">
        <v>1381</v>
      </c>
      <c r="Q43" t="s">
        <v>1283</v>
      </c>
      <c r="R43" t="s">
        <v>1381</v>
      </c>
      <c r="S43" t="s">
        <v>1283</v>
      </c>
      <c r="T43" t="s">
        <v>1381</v>
      </c>
      <c r="U43" t="s">
        <v>1283</v>
      </c>
      <c r="V43" t="s">
        <v>1381</v>
      </c>
      <c r="W43" t="s">
        <v>1283</v>
      </c>
      <c r="X43" t="s">
        <v>1370</v>
      </c>
      <c r="Y43" t="s">
        <v>1255</v>
      </c>
      <c r="Z43" t="s">
        <v>1255</v>
      </c>
      <c r="AA43" t="s">
        <v>1255</v>
      </c>
      <c r="AB43" t="s">
        <v>1255</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1251</v>
      </c>
      <c r="CD43" t="s">
        <v>1489</v>
      </c>
      <c r="CE43" t="s">
        <v>1498</v>
      </c>
      <c r="CF43" t="s">
        <v>1492</v>
      </c>
      <c r="CG43" t="b">
        <v>1</v>
      </c>
      <c r="CH43">
        <v>0</v>
      </c>
      <c r="CI43" t="s">
        <v>1521</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x14ac:dyDescent="0.25">
      <c r="A44">
        <v>533</v>
      </c>
      <c r="B44">
        <v>100041</v>
      </c>
      <c r="C44" t="s">
        <v>1248</v>
      </c>
      <c r="D44">
        <v>1</v>
      </c>
      <c r="E44" t="s">
        <v>1489</v>
      </c>
      <c r="F44">
        <v>10</v>
      </c>
      <c r="G44">
        <v>1</v>
      </c>
      <c r="H44">
        <v>2</v>
      </c>
      <c r="I44" t="s">
        <v>1489</v>
      </c>
      <c r="J44" t="s">
        <v>1295</v>
      </c>
      <c r="K44" t="s">
        <v>16</v>
      </c>
      <c r="L44" t="s">
        <v>1489</v>
      </c>
      <c r="M44" t="s">
        <v>1519</v>
      </c>
      <c r="N44" t="s">
        <v>1489</v>
      </c>
      <c r="O44" t="s">
        <v>1283</v>
      </c>
      <c r="P44" t="s">
        <v>1381</v>
      </c>
      <c r="Q44" t="s">
        <v>1283</v>
      </c>
      <c r="R44" t="s">
        <v>1381</v>
      </c>
      <c r="S44" t="s">
        <v>1283</v>
      </c>
      <c r="T44" t="s">
        <v>1381</v>
      </c>
      <c r="U44" t="s">
        <v>1283</v>
      </c>
      <c r="V44" t="s">
        <v>1381</v>
      </c>
      <c r="W44" t="s">
        <v>1283</v>
      </c>
      <c r="X44" t="s">
        <v>1370</v>
      </c>
      <c r="Y44" t="s">
        <v>1255</v>
      </c>
      <c r="Z44" t="s">
        <v>1255</v>
      </c>
      <c r="AA44" t="s">
        <v>1255</v>
      </c>
      <c r="AB44" t="s">
        <v>1255</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1251</v>
      </c>
      <c r="CD44" t="s">
        <v>1489</v>
      </c>
      <c r="CE44" t="s">
        <v>1496</v>
      </c>
      <c r="CF44" t="s">
        <v>1492</v>
      </c>
      <c r="CG44" t="b">
        <v>1</v>
      </c>
      <c r="CH44">
        <v>0</v>
      </c>
      <c r="CI44" t="s">
        <v>1522</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x14ac:dyDescent="0.25">
      <c r="A45">
        <v>534</v>
      </c>
      <c r="B45">
        <v>100041</v>
      </c>
      <c r="C45" t="s">
        <v>1248</v>
      </c>
      <c r="D45">
        <v>2</v>
      </c>
      <c r="E45" t="s">
        <v>1489</v>
      </c>
      <c r="F45">
        <v>10</v>
      </c>
      <c r="G45">
        <v>1</v>
      </c>
      <c r="H45">
        <v>2</v>
      </c>
      <c r="I45" t="s">
        <v>1489</v>
      </c>
      <c r="J45" t="s">
        <v>1295</v>
      </c>
      <c r="K45" t="s">
        <v>16</v>
      </c>
      <c r="L45" t="s">
        <v>1489</v>
      </c>
      <c r="M45" t="s">
        <v>1519</v>
      </c>
      <c r="N45" t="s">
        <v>1489</v>
      </c>
      <c r="O45" t="s">
        <v>1283</v>
      </c>
      <c r="P45" t="s">
        <v>1381</v>
      </c>
      <c r="Q45" t="s">
        <v>1283</v>
      </c>
      <c r="R45" t="s">
        <v>1381</v>
      </c>
      <c r="S45" t="s">
        <v>1283</v>
      </c>
      <c r="T45" t="s">
        <v>1381</v>
      </c>
      <c r="U45" t="s">
        <v>1283</v>
      </c>
      <c r="V45" t="s">
        <v>1381</v>
      </c>
      <c r="W45" t="s">
        <v>1283</v>
      </c>
      <c r="X45" t="s">
        <v>1370</v>
      </c>
      <c r="Y45" t="s">
        <v>1255</v>
      </c>
      <c r="Z45" t="s">
        <v>1255</v>
      </c>
      <c r="AA45" t="s">
        <v>1255</v>
      </c>
      <c r="AB45" t="s">
        <v>1255</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1251</v>
      </c>
      <c r="CD45" t="s">
        <v>1489</v>
      </c>
      <c r="CE45" t="s">
        <v>1496</v>
      </c>
      <c r="CF45" t="s">
        <v>1492</v>
      </c>
      <c r="CG45" t="b">
        <v>1</v>
      </c>
      <c r="CH45">
        <v>0</v>
      </c>
      <c r="CI45" t="s">
        <v>1523</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x14ac:dyDescent="0.25">
      <c r="A46">
        <v>481</v>
      </c>
      <c r="B46">
        <v>100012</v>
      </c>
      <c r="C46" t="s">
        <v>1248</v>
      </c>
      <c r="D46">
        <v>1</v>
      </c>
      <c r="E46" t="s">
        <v>1489</v>
      </c>
      <c r="F46">
        <v>10</v>
      </c>
      <c r="G46">
        <v>1</v>
      </c>
      <c r="H46">
        <v>2</v>
      </c>
      <c r="I46" t="s">
        <v>1489</v>
      </c>
      <c r="J46" t="s">
        <v>1295</v>
      </c>
      <c r="K46" t="s">
        <v>16</v>
      </c>
      <c r="L46" t="s">
        <v>1489</v>
      </c>
      <c r="M46" t="s">
        <v>1519</v>
      </c>
      <c r="N46" t="s">
        <v>1489</v>
      </c>
      <c r="O46" t="s">
        <v>1283</v>
      </c>
      <c r="P46" t="s">
        <v>1381</v>
      </c>
      <c r="Q46" t="s">
        <v>1283</v>
      </c>
      <c r="R46" t="s">
        <v>1381</v>
      </c>
      <c r="S46" t="s">
        <v>1283</v>
      </c>
      <c r="T46" t="s">
        <v>1381</v>
      </c>
      <c r="U46" t="s">
        <v>1283</v>
      </c>
      <c r="V46" t="s">
        <v>1381</v>
      </c>
      <c r="W46" t="s">
        <v>1283</v>
      </c>
      <c r="X46" t="s">
        <v>1370</v>
      </c>
      <c r="Y46" t="s">
        <v>1255</v>
      </c>
      <c r="Z46" t="s">
        <v>1255</v>
      </c>
      <c r="AA46" t="s">
        <v>1255</v>
      </c>
      <c r="AB46" t="s">
        <v>1255</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1251</v>
      </c>
      <c r="CD46" t="s">
        <v>1489</v>
      </c>
      <c r="CE46" t="s">
        <v>1498</v>
      </c>
      <c r="CF46" t="s">
        <v>1492</v>
      </c>
      <c r="CG46" t="b">
        <v>1</v>
      </c>
      <c r="CH46">
        <v>0</v>
      </c>
      <c r="CI46" t="s">
        <v>1523</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x14ac:dyDescent="0.25">
      <c r="A47">
        <v>482</v>
      </c>
      <c r="B47">
        <v>100012</v>
      </c>
      <c r="C47" t="s">
        <v>1248</v>
      </c>
      <c r="D47">
        <v>2</v>
      </c>
      <c r="E47" t="s">
        <v>1489</v>
      </c>
      <c r="F47">
        <v>10</v>
      </c>
      <c r="G47">
        <v>1</v>
      </c>
      <c r="H47">
        <v>2</v>
      </c>
      <c r="I47" t="s">
        <v>1489</v>
      </c>
      <c r="J47" t="s">
        <v>1295</v>
      </c>
      <c r="K47" t="s">
        <v>16</v>
      </c>
      <c r="L47" t="s">
        <v>1494</v>
      </c>
      <c r="M47" t="s">
        <v>1519</v>
      </c>
      <c r="N47" t="s">
        <v>1489</v>
      </c>
      <c r="O47" t="s">
        <v>1283</v>
      </c>
      <c r="P47" t="s">
        <v>1381</v>
      </c>
      <c r="Q47" t="s">
        <v>1283</v>
      </c>
      <c r="R47" t="s">
        <v>1381</v>
      </c>
      <c r="S47" t="s">
        <v>1283</v>
      </c>
      <c r="T47" t="s">
        <v>1381</v>
      </c>
      <c r="U47" t="s">
        <v>1283</v>
      </c>
      <c r="V47" t="s">
        <v>1381</v>
      </c>
      <c r="W47" t="s">
        <v>1283</v>
      </c>
      <c r="X47" t="s">
        <v>1381</v>
      </c>
      <c r="Y47" t="s">
        <v>1255</v>
      </c>
      <c r="Z47" t="s">
        <v>1255</v>
      </c>
      <c r="AA47" t="s">
        <v>1255</v>
      </c>
      <c r="AB47" t="s">
        <v>1255</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1251</v>
      </c>
      <c r="CD47" t="s">
        <v>1489</v>
      </c>
      <c r="CE47" t="s">
        <v>1498</v>
      </c>
      <c r="CF47" t="s">
        <v>1492</v>
      </c>
      <c r="CG47" t="b">
        <v>1</v>
      </c>
      <c r="CH47">
        <v>0</v>
      </c>
      <c r="CI47" t="s">
        <v>1523</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x14ac:dyDescent="0.25">
      <c r="A48">
        <v>483</v>
      </c>
      <c r="B48">
        <v>100013</v>
      </c>
      <c r="C48" t="s">
        <v>1248</v>
      </c>
      <c r="D48">
        <v>1</v>
      </c>
      <c r="E48" t="s">
        <v>1489</v>
      </c>
      <c r="F48">
        <v>33</v>
      </c>
      <c r="G48">
        <v>1</v>
      </c>
      <c r="H48">
        <v>2</v>
      </c>
      <c r="I48" t="s">
        <v>284</v>
      </c>
      <c r="J48" t="s">
        <v>1295</v>
      </c>
      <c r="K48" t="s">
        <v>15</v>
      </c>
      <c r="L48" t="s">
        <v>1518</v>
      </c>
      <c r="M48" t="s">
        <v>1489</v>
      </c>
      <c r="N48" t="s">
        <v>1489</v>
      </c>
      <c r="O48" t="s">
        <v>1283</v>
      </c>
      <c r="P48" t="s">
        <v>1381</v>
      </c>
      <c r="Q48" t="s">
        <v>1283</v>
      </c>
      <c r="R48" t="s">
        <v>1381</v>
      </c>
      <c r="S48" t="s">
        <v>1283</v>
      </c>
      <c r="T48" t="s">
        <v>1381</v>
      </c>
      <c r="U48" t="s">
        <v>1283</v>
      </c>
      <c r="V48" t="s">
        <v>1381</v>
      </c>
      <c r="W48" t="s">
        <v>1283</v>
      </c>
      <c r="X48" t="s">
        <v>1370</v>
      </c>
      <c r="Y48" t="s">
        <v>1255</v>
      </c>
      <c r="Z48" t="s">
        <v>1255</v>
      </c>
      <c r="AA48" t="s">
        <v>1255</v>
      </c>
      <c r="AB48" t="s">
        <v>1255</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1251</v>
      </c>
      <c r="CD48" t="s">
        <v>1489</v>
      </c>
      <c r="CE48" t="s">
        <v>1496</v>
      </c>
      <c r="CF48" t="s">
        <v>1492</v>
      </c>
      <c r="CG48" t="b">
        <v>0</v>
      </c>
      <c r="CH48">
        <v>0</v>
      </c>
      <c r="CI48" t="s">
        <v>1524</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x14ac:dyDescent="0.25">
      <c r="A49">
        <v>484</v>
      </c>
      <c r="B49">
        <v>100013</v>
      </c>
      <c r="C49" t="s">
        <v>1248</v>
      </c>
      <c r="D49">
        <v>2</v>
      </c>
      <c r="E49" t="s">
        <v>1489</v>
      </c>
      <c r="F49">
        <v>33</v>
      </c>
      <c r="G49">
        <v>1</v>
      </c>
      <c r="H49">
        <v>2</v>
      </c>
      <c r="I49" t="s">
        <v>284</v>
      </c>
      <c r="J49" t="s">
        <v>1295</v>
      </c>
      <c r="K49" t="s">
        <v>15</v>
      </c>
      <c r="L49" t="s">
        <v>1518</v>
      </c>
      <c r="M49" t="s">
        <v>1489</v>
      </c>
      <c r="N49" t="s">
        <v>1489</v>
      </c>
      <c r="O49" t="s">
        <v>1283</v>
      </c>
      <c r="P49" t="s">
        <v>1381</v>
      </c>
      <c r="Q49" t="s">
        <v>1283</v>
      </c>
      <c r="R49" t="s">
        <v>1381</v>
      </c>
      <c r="S49" t="s">
        <v>1283</v>
      </c>
      <c r="T49" t="s">
        <v>1381</v>
      </c>
      <c r="U49" t="s">
        <v>1283</v>
      </c>
      <c r="V49" t="s">
        <v>1381</v>
      </c>
      <c r="W49" t="s">
        <v>1283</v>
      </c>
      <c r="X49" t="s">
        <v>1370</v>
      </c>
      <c r="Y49" t="s">
        <v>1255</v>
      </c>
      <c r="Z49" t="s">
        <v>1255</v>
      </c>
      <c r="AA49" t="s">
        <v>1255</v>
      </c>
      <c r="AB49" t="s">
        <v>1255</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1251</v>
      </c>
      <c r="CD49" t="s">
        <v>1489</v>
      </c>
      <c r="CE49" t="s">
        <v>1496</v>
      </c>
      <c r="CF49" t="s">
        <v>1492</v>
      </c>
      <c r="CG49" t="b">
        <v>0</v>
      </c>
      <c r="CH49">
        <v>0</v>
      </c>
      <c r="CI49" t="s">
        <v>1525</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x14ac:dyDescent="0.25">
      <c r="A50">
        <v>487</v>
      </c>
      <c r="B50">
        <v>100015</v>
      </c>
      <c r="C50" t="s">
        <v>1248</v>
      </c>
      <c r="D50">
        <v>1</v>
      </c>
      <c r="E50" t="s">
        <v>1489</v>
      </c>
      <c r="F50">
        <v>10</v>
      </c>
      <c r="G50">
        <v>1</v>
      </c>
      <c r="H50">
        <v>2</v>
      </c>
      <c r="I50" t="s">
        <v>578</v>
      </c>
      <c r="J50" t="s">
        <v>1295</v>
      </c>
      <c r="K50" t="s">
        <v>16</v>
      </c>
      <c r="L50" t="s">
        <v>1489</v>
      </c>
      <c r="M50" t="s">
        <v>1489</v>
      </c>
      <c r="N50" t="s">
        <v>1489</v>
      </c>
      <c r="O50" t="s">
        <v>1283</v>
      </c>
      <c r="P50" t="s">
        <v>1381</v>
      </c>
      <c r="Q50" t="s">
        <v>1283</v>
      </c>
      <c r="R50" t="s">
        <v>1381</v>
      </c>
      <c r="S50" t="s">
        <v>1283</v>
      </c>
      <c r="T50" t="s">
        <v>1381</v>
      </c>
      <c r="U50" t="s">
        <v>1283</v>
      </c>
      <c r="V50" t="s">
        <v>1381</v>
      </c>
      <c r="W50" t="s">
        <v>1283</v>
      </c>
      <c r="X50" t="s">
        <v>1370</v>
      </c>
      <c r="Y50" t="s">
        <v>1255</v>
      </c>
      <c r="Z50" t="s">
        <v>1255</v>
      </c>
      <c r="AA50" t="s">
        <v>1255</v>
      </c>
      <c r="AB50" t="s">
        <v>1255</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1251</v>
      </c>
      <c r="CD50" t="s">
        <v>1489</v>
      </c>
      <c r="CE50" t="s">
        <v>1496</v>
      </c>
      <c r="CF50" t="s">
        <v>1492</v>
      </c>
      <c r="CG50" t="b">
        <v>0</v>
      </c>
      <c r="CH50">
        <v>0</v>
      </c>
      <c r="CI50" t="s">
        <v>1525</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x14ac:dyDescent="0.25">
      <c r="A51">
        <v>488</v>
      </c>
      <c r="B51">
        <v>100015</v>
      </c>
      <c r="C51" t="s">
        <v>1248</v>
      </c>
      <c r="D51">
        <v>2</v>
      </c>
      <c r="E51" t="s">
        <v>1489</v>
      </c>
      <c r="F51">
        <v>10</v>
      </c>
      <c r="G51">
        <v>1</v>
      </c>
      <c r="H51">
        <v>2</v>
      </c>
      <c r="I51" t="s">
        <v>578</v>
      </c>
      <c r="J51" t="s">
        <v>1295</v>
      </c>
      <c r="K51" t="s">
        <v>16</v>
      </c>
      <c r="L51" t="s">
        <v>1494</v>
      </c>
      <c r="M51" t="s">
        <v>1489</v>
      </c>
      <c r="N51" t="s">
        <v>1489</v>
      </c>
      <c r="O51" t="s">
        <v>1283</v>
      </c>
      <c r="P51" t="s">
        <v>1381</v>
      </c>
      <c r="Q51" t="s">
        <v>1283</v>
      </c>
      <c r="R51" t="s">
        <v>1381</v>
      </c>
      <c r="S51" t="s">
        <v>1283</v>
      </c>
      <c r="T51" t="s">
        <v>1381</v>
      </c>
      <c r="U51" t="s">
        <v>1283</v>
      </c>
      <c r="V51" t="s">
        <v>1381</v>
      </c>
      <c r="W51" t="s">
        <v>1283</v>
      </c>
      <c r="X51" t="s">
        <v>1370</v>
      </c>
      <c r="Y51" t="s">
        <v>1255</v>
      </c>
      <c r="Z51" t="s">
        <v>1255</v>
      </c>
      <c r="AA51" t="s">
        <v>1255</v>
      </c>
      <c r="AB51" t="s">
        <v>1255</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1251</v>
      </c>
      <c r="CD51" t="s">
        <v>1489</v>
      </c>
      <c r="CE51" t="s">
        <v>1496</v>
      </c>
      <c r="CF51" t="s">
        <v>1492</v>
      </c>
      <c r="CG51" t="b">
        <v>0</v>
      </c>
      <c r="CH51">
        <v>0</v>
      </c>
      <c r="CI51" t="s">
        <v>1525</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x14ac:dyDescent="0.25">
      <c r="A52">
        <v>493</v>
      </c>
      <c r="B52">
        <v>100018</v>
      </c>
      <c r="C52" t="s">
        <v>1248</v>
      </c>
      <c r="D52">
        <v>1</v>
      </c>
      <c r="E52" t="s">
        <v>1489</v>
      </c>
      <c r="F52">
        <v>14</v>
      </c>
      <c r="G52">
        <v>1</v>
      </c>
      <c r="H52">
        <v>2</v>
      </c>
      <c r="I52" t="s">
        <v>726</v>
      </c>
      <c r="J52" t="s">
        <v>1295</v>
      </c>
      <c r="K52" t="s">
        <v>15</v>
      </c>
      <c r="L52" t="s">
        <v>1518</v>
      </c>
      <c r="M52" t="s">
        <v>1489</v>
      </c>
      <c r="N52" t="s">
        <v>1489</v>
      </c>
      <c r="O52" t="s">
        <v>1283</v>
      </c>
      <c r="P52" t="s">
        <v>1381</v>
      </c>
      <c r="Q52" t="s">
        <v>1283</v>
      </c>
      <c r="R52" t="s">
        <v>1381</v>
      </c>
      <c r="S52" t="s">
        <v>1283</v>
      </c>
      <c r="T52" t="s">
        <v>1381</v>
      </c>
      <c r="U52" t="s">
        <v>1283</v>
      </c>
      <c r="V52" t="s">
        <v>1381</v>
      </c>
      <c r="W52" t="s">
        <v>1283</v>
      </c>
      <c r="X52" t="s">
        <v>1370</v>
      </c>
      <c r="Y52" t="s">
        <v>1255</v>
      </c>
      <c r="Z52" t="s">
        <v>1255</v>
      </c>
      <c r="AA52" t="s">
        <v>1255</v>
      </c>
      <c r="AB52" t="s">
        <v>1255</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1251</v>
      </c>
      <c r="CD52" t="s">
        <v>1489</v>
      </c>
      <c r="CE52" t="s">
        <v>1496</v>
      </c>
      <c r="CF52" t="s">
        <v>1492</v>
      </c>
      <c r="CG52" t="b">
        <v>0</v>
      </c>
      <c r="CH52">
        <v>0</v>
      </c>
      <c r="CI52" t="s">
        <v>1525</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x14ac:dyDescent="0.25">
      <c r="A53">
        <v>494</v>
      </c>
      <c r="B53">
        <v>100018</v>
      </c>
      <c r="C53" t="s">
        <v>1248</v>
      </c>
      <c r="D53">
        <v>2</v>
      </c>
      <c r="E53" t="s">
        <v>1489</v>
      </c>
      <c r="F53">
        <v>14</v>
      </c>
      <c r="G53">
        <v>1</v>
      </c>
      <c r="H53">
        <v>2</v>
      </c>
      <c r="I53" t="s">
        <v>726</v>
      </c>
      <c r="J53" t="s">
        <v>1295</v>
      </c>
      <c r="K53" t="s">
        <v>15</v>
      </c>
      <c r="L53" t="s">
        <v>1518</v>
      </c>
      <c r="M53" t="s">
        <v>1489</v>
      </c>
      <c r="N53" t="s">
        <v>1489</v>
      </c>
      <c r="O53" t="s">
        <v>1283</v>
      </c>
      <c r="P53" t="s">
        <v>1381</v>
      </c>
      <c r="Q53" t="s">
        <v>1283</v>
      </c>
      <c r="R53" t="s">
        <v>1381</v>
      </c>
      <c r="S53" t="s">
        <v>1283</v>
      </c>
      <c r="T53" t="s">
        <v>1381</v>
      </c>
      <c r="U53" t="s">
        <v>1283</v>
      </c>
      <c r="V53" t="s">
        <v>1381</v>
      </c>
      <c r="W53" t="s">
        <v>1283</v>
      </c>
      <c r="X53" t="s">
        <v>1370</v>
      </c>
      <c r="Y53" t="s">
        <v>1255</v>
      </c>
      <c r="Z53" t="s">
        <v>1255</v>
      </c>
      <c r="AA53" t="s">
        <v>1255</v>
      </c>
      <c r="AB53" t="s">
        <v>1255</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1251</v>
      </c>
      <c r="CD53" t="s">
        <v>1489</v>
      </c>
      <c r="CE53" t="s">
        <v>1496</v>
      </c>
      <c r="CF53" t="s">
        <v>1492</v>
      </c>
      <c r="CG53" t="b">
        <v>0</v>
      </c>
      <c r="CH53">
        <v>0</v>
      </c>
      <c r="CI53" t="s">
        <v>1525</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x14ac:dyDescent="0.25">
      <c r="A54">
        <v>495</v>
      </c>
      <c r="B54">
        <v>100019</v>
      </c>
      <c r="C54" t="s">
        <v>1248</v>
      </c>
      <c r="D54">
        <v>1</v>
      </c>
      <c r="E54" t="s">
        <v>1489</v>
      </c>
      <c r="F54">
        <v>8</v>
      </c>
      <c r="G54">
        <v>1</v>
      </c>
      <c r="H54">
        <v>2</v>
      </c>
      <c r="I54" t="s">
        <v>616</v>
      </c>
      <c r="J54" t="s">
        <v>1295</v>
      </c>
      <c r="K54" t="s">
        <v>16</v>
      </c>
      <c r="L54" t="s">
        <v>1489</v>
      </c>
      <c r="M54" t="s">
        <v>1489</v>
      </c>
      <c r="N54" t="s">
        <v>1489</v>
      </c>
      <c r="O54" t="s">
        <v>1283</v>
      </c>
      <c r="P54" t="s">
        <v>1381</v>
      </c>
      <c r="Q54" t="s">
        <v>1283</v>
      </c>
      <c r="R54" t="s">
        <v>1381</v>
      </c>
      <c r="S54" t="s">
        <v>1283</v>
      </c>
      <c r="T54" t="s">
        <v>1381</v>
      </c>
      <c r="U54" t="s">
        <v>1283</v>
      </c>
      <c r="V54" t="s">
        <v>1381</v>
      </c>
      <c r="W54" t="s">
        <v>1283</v>
      </c>
      <c r="X54" t="s">
        <v>1370</v>
      </c>
      <c r="Y54" t="s">
        <v>1255</v>
      </c>
      <c r="Z54" t="s">
        <v>1255</v>
      </c>
      <c r="AA54" t="s">
        <v>1255</v>
      </c>
      <c r="AB54" t="s">
        <v>1255</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1251</v>
      </c>
      <c r="CD54" t="s">
        <v>1489</v>
      </c>
      <c r="CE54" t="s">
        <v>1496</v>
      </c>
      <c r="CF54" t="s">
        <v>1492</v>
      </c>
      <c r="CG54" t="b">
        <v>0</v>
      </c>
      <c r="CH54">
        <v>0</v>
      </c>
      <c r="CI54" t="s">
        <v>1525</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x14ac:dyDescent="0.25">
      <c r="A55">
        <v>496</v>
      </c>
      <c r="B55">
        <v>100019</v>
      </c>
      <c r="C55" t="s">
        <v>1248</v>
      </c>
      <c r="D55">
        <v>2</v>
      </c>
      <c r="E55" t="s">
        <v>1489</v>
      </c>
      <c r="F55">
        <v>8</v>
      </c>
      <c r="G55">
        <v>1</v>
      </c>
      <c r="H55">
        <v>2</v>
      </c>
      <c r="I55" t="s">
        <v>616</v>
      </c>
      <c r="J55" t="s">
        <v>1295</v>
      </c>
      <c r="K55" t="s">
        <v>16</v>
      </c>
      <c r="L55" t="s">
        <v>1494</v>
      </c>
      <c r="M55" t="s">
        <v>1489</v>
      </c>
      <c r="N55" t="s">
        <v>1489</v>
      </c>
      <c r="O55" t="s">
        <v>1283</v>
      </c>
      <c r="P55" t="s">
        <v>1381</v>
      </c>
      <c r="Q55" t="s">
        <v>1283</v>
      </c>
      <c r="R55" t="s">
        <v>1381</v>
      </c>
      <c r="S55" t="s">
        <v>1283</v>
      </c>
      <c r="T55" t="s">
        <v>1381</v>
      </c>
      <c r="U55" t="s">
        <v>1283</v>
      </c>
      <c r="V55" t="s">
        <v>1381</v>
      </c>
      <c r="W55" t="s">
        <v>1283</v>
      </c>
      <c r="X55" t="s">
        <v>1370</v>
      </c>
      <c r="Y55" t="s">
        <v>1255</v>
      </c>
      <c r="Z55" t="s">
        <v>1255</v>
      </c>
      <c r="AA55" t="s">
        <v>1255</v>
      </c>
      <c r="AB55" t="s">
        <v>1255</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1251</v>
      </c>
      <c r="CD55" t="s">
        <v>1489</v>
      </c>
      <c r="CE55" t="s">
        <v>1496</v>
      </c>
      <c r="CF55" t="s">
        <v>1492</v>
      </c>
      <c r="CG55" t="b">
        <v>0</v>
      </c>
      <c r="CH55">
        <v>0</v>
      </c>
      <c r="CI55" t="s">
        <v>1525</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x14ac:dyDescent="0.25">
      <c r="A56">
        <v>497</v>
      </c>
      <c r="B56">
        <v>100020</v>
      </c>
      <c r="C56" t="s">
        <v>1248</v>
      </c>
      <c r="D56">
        <v>1</v>
      </c>
      <c r="E56" t="s">
        <v>1489</v>
      </c>
      <c r="F56">
        <v>11</v>
      </c>
      <c r="G56">
        <v>1</v>
      </c>
      <c r="H56">
        <v>2</v>
      </c>
      <c r="I56" t="s">
        <v>776</v>
      </c>
      <c r="J56" t="s">
        <v>1295</v>
      </c>
      <c r="K56" t="s">
        <v>15</v>
      </c>
      <c r="L56" t="s">
        <v>1494</v>
      </c>
      <c r="M56" t="s">
        <v>1489</v>
      </c>
      <c r="N56" t="s">
        <v>1489</v>
      </c>
      <c r="O56" t="s">
        <v>1283</v>
      </c>
      <c r="P56" t="s">
        <v>1381</v>
      </c>
      <c r="Q56" t="s">
        <v>1283</v>
      </c>
      <c r="R56" t="s">
        <v>1381</v>
      </c>
      <c r="S56" t="s">
        <v>1283</v>
      </c>
      <c r="T56" t="s">
        <v>1381</v>
      </c>
      <c r="U56" t="s">
        <v>1283</v>
      </c>
      <c r="V56" t="s">
        <v>1381</v>
      </c>
      <c r="W56" t="s">
        <v>1283</v>
      </c>
      <c r="X56" t="s">
        <v>1370</v>
      </c>
      <c r="Y56" t="s">
        <v>1255</v>
      </c>
      <c r="Z56" t="s">
        <v>1255</v>
      </c>
      <c r="AA56" t="s">
        <v>1255</v>
      </c>
      <c r="AB56" t="s">
        <v>1255</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1251</v>
      </c>
      <c r="CD56" t="s">
        <v>1489</v>
      </c>
      <c r="CE56" t="s">
        <v>1496</v>
      </c>
      <c r="CF56" t="s">
        <v>1492</v>
      </c>
      <c r="CG56" t="b">
        <v>0</v>
      </c>
      <c r="CH56">
        <v>0</v>
      </c>
      <c r="CI56" t="s">
        <v>1526</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x14ac:dyDescent="0.25">
      <c r="A57">
        <v>498</v>
      </c>
      <c r="B57">
        <v>100020</v>
      </c>
      <c r="C57" t="s">
        <v>1248</v>
      </c>
      <c r="D57">
        <v>2</v>
      </c>
      <c r="E57" t="s">
        <v>1489</v>
      </c>
      <c r="F57">
        <v>11</v>
      </c>
      <c r="G57">
        <v>1</v>
      </c>
      <c r="H57">
        <v>2</v>
      </c>
      <c r="I57" t="s">
        <v>776</v>
      </c>
      <c r="J57" t="s">
        <v>1295</v>
      </c>
      <c r="K57" t="s">
        <v>15</v>
      </c>
      <c r="L57" t="s">
        <v>1494</v>
      </c>
      <c r="M57" t="s">
        <v>1489</v>
      </c>
      <c r="N57" t="s">
        <v>1489</v>
      </c>
      <c r="O57" t="s">
        <v>1283</v>
      </c>
      <c r="P57" t="s">
        <v>1381</v>
      </c>
      <c r="Q57" t="s">
        <v>1283</v>
      </c>
      <c r="R57" t="s">
        <v>1381</v>
      </c>
      <c r="S57" t="s">
        <v>1283</v>
      </c>
      <c r="T57" t="s">
        <v>1381</v>
      </c>
      <c r="U57" t="s">
        <v>1283</v>
      </c>
      <c r="V57" t="s">
        <v>1381</v>
      </c>
      <c r="W57" t="s">
        <v>1283</v>
      </c>
      <c r="X57" t="s">
        <v>1370</v>
      </c>
      <c r="Y57" t="s">
        <v>1255</v>
      </c>
      <c r="Z57" t="s">
        <v>1255</v>
      </c>
      <c r="AA57" t="s">
        <v>1255</v>
      </c>
      <c r="AB57" t="s">
        <v>1255</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1251</v>
      </c>
      <c r="CD57" t="s">
        <v>1489</v>
      </c>
      <c r="CE57" t="s">
        <v>1496</v>
      </c>
      <c r="CF57" t="s">
        <v>1492</v>
      </c>
      <c r="CG57" t="b">
        <v>0</v>
      </c>
      <c r="CH57">
        <v>0</v>
      </c>
      <c r="CI57" t="s">
        <v>1527</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x14ac:dyDescent="0.25">
      <c r="A58">
        <v>499</v>
      </c>
      <c r="B58">
        <v>100021</v>
      </c>
      <c r="C58" t="s">
        <v>1248</v>
      </c>
      <c r="D58">
        <v>1</v>
      </c>
      <c r="E58" t="s">
        <v>1489</v>
      </c>
      <c r="F58">
        <v>8</v>
      </c>
      <c r="G58">
        <v>1</v>
      </c>
      <c r="H58">
        <v>2</v>
      </c>
      <c r="I58" t="s">
        <v>616</v>
      </c>
      <c r="J58" t="s">
        <v>1295</v>
      </c>
      <c r="K58" t="s">
        <v>16</v>
      </c>
      <c r="L58" t="s">
        <v>1489</v>
      </c>
      <c r="M58" t="s">
        <v>1489</v>
      </c>
      <c r="N58" t="s">
        <v>1489</v>
      </c>
      <c r="O58" t="s">
        <v>1283</v>
      </c>
      <c r="P58" t="s">
        <v>1381</v>
      </c>
      <c r="Q58" t="s">
        <v>1283</v>
      </c>
      <c r="R58" t="s">
        <v>1381</v>
      </c>
      <c r="S58" t="s">
        <v>1283</v>
      </c>
      <c r="T58" t="s">
        <v>1381</v>
      </c>
      <c r="U58" t="s">
        <v>1283</v>
      </c>
      <c r="V58" t="s">
        <v>1381</v>
      </c>
      <c r="W58" t="s">
        <v>1283</v>
      </c>
      <c r="X58" t="s">
        <v>1370</v>
      </c>
      <c r="Y58" t="s">
        <v>1255</v>
      </c>
      <c r="Z58" t="s">
        <v>1255</v>
      </c>
      <c r="AA58" t="s">
        <v>1255</v>
      </c>
      <c r="AB58" t="s">
        <v>1255</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1251</v>
      </c>
      <c r="CD58" t="s">
        <v>1489</v>
      </c>
      <c r="CE58" t="s">
        <v>1496</v>
      </c>
      <c r="CF58" t="s">
        <v>1492</v>
      </c>
      <c r="CG58" t="b">
        <v>0</v>
      </c>
      <c r="CH58">
        <v>0</v>
      </c>
      <c r="CI58" t="s">
        <v>1525</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x14ac:dyDescent="0.25">
      <c r="A59">
        <v>500</v>
      </c>
      <c r="B59">
        <v>100021</v>
      </c>
      <c r="C59" t="s">
        <v>1248</v>
      </c>
      <c r="D59">
        <v>2</v>
      </c>
      <c r="E59" t="s">
        <v>1489</v>
      </c>
      <c r="F59">
        <v>8</v>
      </c>
      <c r="G59">
        <v>1</v>
      </c>
      <c r="H59">
        <v>2</v>
      </c>
      <c r="I59" t="s">
        <v>616</v>
      </c>
      <c r="J59" t="s">
        <v>1295</v>
      </c>
      <c r="K59" t="s">
        <v>16</v>
      </c>
      <c r="L59" t="s">
        <v>1494</v>
      </c>
      <c r="M59" t="s">
        <v>1489</v>
      </c>
      <c r="N59" t="s">
        <v>1489</v>
      </c>
      <c r="O59" t="s">
        <v>1283</v>
      </c>
      <c r="P59" t="s">
        <v>1381</v>
      </c>
      <c r="Q59" t="s">
        <v>1283</v>
      </c>
      <c r="R59" t="s">
        <v>1381</v>
      </c>
      <c r="S59" t="s">
        <v>1283</v>
      </c>
      <c r="T59" t="s">
        <v>1381</v>
      </c>
      <c r="U59" t="s">
        <v>1283</v>
      </c>
      <c r="V59" t="s">
        <v>1381</v>
      </c>
      <c r="W59" t="s">
        <v>1283</v>
      </c>
      <c r="X59" t="s">
        <v>1370</v>
      </c>
      <c r="Y59" t="s">
        <v>1255</v>
      </c>
      <c r="Z59" t="s">
        <v>1255</v>
      </c>
      <c r="AA59" t="s">
        <v>1255</v>
      </c>
      <c r="AB59" t="s">
        <v>1255</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1251</v>
      </c>
      <c r="CD59" t="s">
        <v>1489</v>
      </c>
      <c r="CE59" t="s">
        <v>1496</v>
      </c>
      <c r="CF59" t="s">
        <v>1492</v>
      </c>
      <c r="CG59" t="b">
        <v>0</v>
      </c>
      <c r="CH59">
        <v>0</v>
      </c>
      <c r="CI59" t="s">
        <v>1525</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x14ac:dyDescent="0.25">
      <c r="A60">
        <v>501</v>
      </c>
      <c r="B60">
        <v>100022</v>
      </c>
      <c r="C60" t="s">
        <v>1248</v>
      </c>
      <c r="D60">
        <v>1</v>
      </c>
      <c r="E60" t="s">
        <v>1489</v>
      </c>
      <c r="F60">
        <v>8</v>
      </c>
      <c r="G60">
        <v>1</v>
      </c>
      <c r="H60">
        <v>2</v>
      </c>
      <c r="I60" t="s">
        <v>776</v>
      </c>
      <c r="J60" t="s">
        <v>1295</v>
      </c>
      <c r="K60" t="s">
        <v>15</v>
      </c>
      <c r="L60" t="s">
        <v>1494</v>
      </c>
      <c r="M60" t="s">
        <v>1489</v>
      </c>
      <c r="N60" t="s">
        <v>1489</v>
      </c>
      <c r="O60" t="s">
        <v>1283</v>
      </c>
      <c r="P60" t="s">
        <v>1381</v>
      </c>
      <c r="Q60" t="s">
        <v>1283</v>
      </c>
      <c r="R60" t="s">
        <v>1381</v>
      </c>
      <c r="S60" t="s">
        <v>1283</v>
      </c>
      <c r="T60" t="s">
        <v>1381</v>
      </c>
      <c r="U60" t="s">
        <v>1283</v>
      </c>
      <c r="V60" t="s">
        <v>1381</v>
      </c>
      <c r="W60" t="s">
        <v>1283</v>
      </c>
      <c r="X60" t="s">
        <v>1370</v>
      </c>
      <c r="Y60" t="s">
        <v>1255</v>
      </c>
      <c r="Z60" t="s">
        <v>1255</v>
      </c>
      <c r="AA60" t="s">
        <v>1255</v>
      </c>
      <c r="AB60" t="s">
        <v>1255</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1251</v>
      </c>
      <c r="CD60" t="s">
        <v>1489</v>
      </c>
      <c r="CE60" t="s">
        <v>1498</v>
      </c>
      <c r="CF60" t="s">
        <v>1492</v>
      </c>
      <c r="CG60" t="b">
        <v>0</v>
      </c>
      <c r="CH60">
        <v>0</v>
      </c>
      <c r="CI60" t="s">
        <v>1528</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x14ac:dyDescent="0.25">
      <c r="A61">
        <v>502</v>
      </c>
      <c r="B61">
        <v>100022</v>
      </c>
      <c r="C61" t="s">
        <v>1248</v>
      </c>
      <c r="D61">
        <v>2</v>
      </c>
      <c r="E61" t="s">
        <v>1489</v>
      </c>
      <c r="F61">
        <v>8</v>
      </c>
      <c r="G61">
        <v>1</v>
      </c>
      <c r="H61">
        <v>2</v>
      </c>
      <c r="I61" t="s">
        <v>776</v>
      </c>
      <c r="J61" t="s">
        <v>1295</v>
      </c>
      <c r="K61" t="s">
        <v>15</v>
      </c>
      <c r="L61" t="s">
        <v>1494</v>
      </c>
      <c r="M61" t="s">
        <v>1489</v>
      </c>
      <c r="N61" t="s">
        <v>1489</v>
      </c>
      <c r="O61" t="s">
        <v>1283</v>
      </c>
      <c r="P61" t="s">
        <v>1381</v>
      </c>
      <c r="Q61" t="s">
        <v>1283</v>
      </c>
      <c r="R61" t="s">
        <v>1381</v>
      </c>
      <c r="S61" t="s">
        <v>1283</v>
      </c>
      <c r="T61" t="s">
        <v>1381</v>
      </c>
      <c r="U61" t="s">
        <v>1283</v>
      </c>
      <c r="V61" t="s">
        <v>1381</v>
      </c>
      <c r="W61" t="s">
        <v>1283</v>
      </c>
      <c r="X61" t="s">
        <v>1370</v>
      </c>
      <c r="Y61" t="s">
        <v>1255</v>
      </c>
      <c r="Z61" t="s">
        <v>1255</v>
      </c>
      <c r="AA61" t="s">
        <v>1255</v>
      </c>
      <c r="AB61" t="s">
        <v>1255</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1251</v>
      </c>
      <c r="CD61" t="s">
        <v>1489</v>
      </c>
      <c r="CE61" t="s">
        <v>1498</v>
      </c>
      <c r="CF61" t="s">
        <v>1492</v>
      </c>
      <c r="CG61" t="b">
        <v>0</v>
      </c>
      <c r="CH61">
        <v>0</v>
      </c>
      <c r="CI61" t="s">
        <v>1529</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x14ac:dyDescent="0.25">
      <c r="A62">
        <v>503</v>
      </c>
      <c r="B62">
        <v>100023</v>
      </c>
      <c r="C62" t="s">
        <v>1248</v>
      </c>
      <c r="D62">
        <v>1</v>
      </c>
      <c r="E62" t="s">
        <v>1489</v>
      </c>
      <c r="F62">
        <v>12</v>
      </c>
      <c r="G62">
        <v>1</v>
      </c>
      <c r="H62">
        <v>2</v>
      </c>
      <c r="I62" t="s">
        <v>616</v>
      </c>
      <c r="J62" t="s">
        <v>1295</v>
      </c>
      <c r="K62" t="s">
        <v>16</v>
      </c>
      <c r="L62" t="s">
        <v>1489</v>
      </c>
      <c r="M62" t="s">
        <v>1489</v>
      </c>
      <c r="N62" t="s">
        <v>1489</v>
      </c>
      <c r="O62" t="s">
        <v>1283</v>
      </c>
      <c r="P62" t="s">
        <v>1381</v>
      </c>
      <c r="Q62" t="s">
        <v>1283</v>
      </c>
      <c r="R62" t="s">
        <v>1381</v>
      </c>
      <c r="S62" t="s">
        <v>1283</v>
      </c>
      <c r="T62" t="s">
        <v>1381</v>
      </c>
      <c r="U62" t="s">
        <v>1283</v>
      </c>
      <c r="V62" t="s">
        <v>1381</v>
      </c>
      <c r="W62" t="s">
        <v>1283</v>
      </c>
      <c r="X62" t="s">
        <v>1370</v>
      </c>
      <c r="Y62" t="s">
        <v>1255</v>
      </c>
      <c r="Z62" t="s">
        <v>1255</v>
      </c>
      <c r="AA62" t="s">
        <v>1255</v>
      </c>
      <c r="AB62" t="s">
        <v>1255</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1251</v>
      </c>
      <c r="CD62" t="s">
        <v>1489</v>
      </c>
      <c r="CE62" t="s">
        <v>1498</v>
      </c>
      <c r="CF62" t="s">
        <v>1492</v>
      </c>
      <c r="CG62" t="b">
        <v>0</v>
      </c>
      <c r="CH62">
        <v>0</v>
      </c>
      <c r="CI62" t="s">
        <v>1525</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x14ac:dyDescent="0.25">
      <c r="A63">
        <v>504</v>
      </c>
      <c r="B63">
        <v>100023</v>
      </c>
      <c r="C63" t="s">
        <v>1248</v>
      </c>
      <c r="D63">
        <v>2</v>
      </c>
      <c r="E63" t="s">
        <v>1489</v>
      </c>
      <c r="F63">
        <v>12</v>
      </c>
      <c r="G63">
        <v>1</v>
      </c>
      <c r="H63">
        <v>2</v>
      </c>
      <c r="I63" t="s">
        <v>616</v>
      </c>
      <c r="J63" t="s">
        <v>1295</v>
      </c>
      <c r="K63" t="s">
        <v>16</v>
      </c>
      <c r="L63" t="s">
        <v>1494</v>
      </c>
      <c r="M63" t="s">
        <v>1489</v>
      </c>
      <c r="N63" t="s">
        <v>1489</v>
      </c>
      <c r="O63" t="s">
        <v>1283</v>
      </c>
      <c r="P63" t="s">
        <v>1381</v>
      </c>
      <c r="Q63" t="s">
        <v>1283</v>
      </c>
      <c r="R63" t="s">
        <v>1381</v>
      </c>
      <c r="S63" t="s">
        <v>1283</v>
      </c>
      <c r="T63" t="s">
        <v>1381</v>
      </c>
      <c r="U63" t="s">
        <v>1283</v>
      </c>
      <c r="V63" t="s">
        <v>1381</v>
      </c>
      <c r="W63" t="s">
        <v>1283</v>
      </c>
      <c r="X63" t="s">
        <v>1370</v>
      </c>
      <c r="Y63" t="s">
        <v>1255</v>
      </c>
      <c r="Z63" t="s">
        <v>1255</v>
      </c>
      <c r="AA63" t="s">
        <v>1255</v>
      </c>
      <c r="AB63" t="s">
        <v>1255</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1251</v>
      </c>
      <c r="CD63" t="s">
        <v>1489</v>
      </c>
      <c r="CE63" t="s">
        <v>1498</v>
      </c>
      <c r="CF63" t="s">
        <v>1492</v>
      </c>
      <c r="CG63" t="b">
        <v>0</v>
      </c>
      <c r="CH63">
        <v>0</v>
      </c>
      <c r="CI63" t="s">
        <v>1525</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x14ac:dyDescent="0.25">
      <c r="A64">
        <v>507</v>
      </c>
      <c r="B64">
        <v>100025</v>
      </c>
      <c r="C64" t="s">
        <v>1248</v>
      </c>
      <c r="D64">
        <v>1</v>
      </c>
      <c r="E64" t="s">
        <v>1489</v>
      </c>
      <c r="F64">
        <v>10</v>
      </c>
      <c r="G64">
        <v>1</v>
      </c>
      <c r="H64">
        <v>2</v>
      </c>
      <c r="I64" t="s">
        <v>842</v>
      </c>
      <c r="J64" t="s">
        <v>1295</v>
      </c>
      <c r="K64" t="s">
        <v>15</v>
      </c>
      <c r="L64" t="s">
        <v>1494</v>
      </c>
      <c r="M64" t="s">
        <v>1489</v>
      </c>
      <c r="N64" t="s">
        <v>1489</v>
      </c>
      <c r="O64" t="s">
        <v>1283</v>
      </c>
      <c r="P64" t="s">
        <v>1381</v>
      </c>
      <c r="Q64" t="s">
        <v>1283</v>
      </c>
      <c r="R64" t="s">
        <v>1381</v>
      </c>
      <c r="S64" t="s">
        <v>1283</v>
      </c>
      <c r="T64" t="s">
        <v>1381</v>
      </c>
      <c r="U64" t="s">
        <v>1283</v>
      </c>
      <c r="V64" t="s">
        <v>1381</v>
      </c>
      <c r="W64" t="s">
        <v>1283</v>
      </c>
      <c r="X64" t="s">
        <v>1370</v>
      </c>
      <c r="Y64" t="s">
        <v>1255</v>
      </c>
      <c r="Z64" t="s">
        <v>1255</v>
      </c>
      <c r="AA64" t="s">
        <v>1255</v>
      </c>
      <c r="AB64" t="s">
        <v>1255</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1251</v>
      </c>
      <c r="CD64" t="s">
        <v>1489</v>
      </c>
      <c r="CE64" t="s">
        <v>1498</v>
      </c>
      <c r="CF64" t="s">
        <v>1492</v>
      </c>
      <c r="CG64" t="b">
        <v>0</v>
      </c>
      <c r="CH64">
        <v>0</v>
      </c>
      <c r="CI64" t="s">
        <v>1530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x14ac:dyDescent="0.25">
      <c r="A65">
        <v>508</v>
      </c>
      <c r="B65">
        <v>100025</v>
      </c>
      <c r="C65" t="s">
        <v>1248</v>
      </c>
      <c r="D65">
        <v>2</v>
      </c>
      <c r="E65" t="s">
        <v>1489</v>
      </c>
      <c r="F65">
        <v>10</v>
      </c>
      <c r="G65">
        <v>1</v>
      </c>
      <c r="H65">
        <v>2</v>
      </c>
      <c r="I65" t="s">
        <v>842</v>
      </c>
      <c r="J65" t="s">
        <v>1295</v>
      </c>
      <c r="K65" t="s">
        <v>15</v>
      </c>
      <c r="L65" t="s">
        <v>1494</v>
      </c>
      <c r="M65" t="s">
        <v>1489</v>
      </c>
      <c r="N65" t="s">
        <v>1489</v>
      </c>
      <c r="O65" t="s">
        <v>1283</v>
      </c>
      <c r="P65" t="s">
        <v>1381</v>
      </c>
      <c r="Q65" t="s">
        <v>1283</v>
      </c>
      <c r="R65" t="s">
        <v>1381</v>
      </c>
      <c r="S65" t="s">
        <v>1283</v>
      </c>
      <c r="T65" t="s">
        <v>1381</v>
      </c>
      <c r="U65" t="s">
        <v>1283</v>
      </c>
      <c r="V65" t="s">
        <v>1381</v>
      </c>
      <c r="W65" t="s">
        <v>1283</v>
      </c>
      <c r="X65" t="s">
        <v>1370</v>
      </c>
      <c r="Y65" t="s">
        <v>1255</v>
      </c>
      <c r="Z65" t="s">
        <v>1255</v>
      </c>
      <c r="AA65" t="s">
        <v>1255</v>
      </c>
      <c r="AB65" t="s">
        <v>1255</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1251</v>
      </c>
      <c r="CD65" t="s">
        <v>1489</v>
      </c>
      <c r="CE65" t="s">
        <v>1498</v>
      </c>
      <c r="CF65" t="s">
        <v>1492</v>
      </c>
      <c r="CG65" t="b">
        <v>0</v>
      </c>
      <c r="CH65">
        <v>0</v>
      </c>
      <c r="CI65" t="s">
        <v>1530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x14ac:dyDescent="0.25">
      <c r="A66">
        <v>509</v>
      </c>
      <c r="B66">
        <v>100026</v>
      </c>
      <c r="C66" t="s">
        <v>1248</v>
      </c>
      <c r="D66">
        <v>1</v>
      </c>
      <c r="E66" t="s">
        <v>1489</v>
      </c>
      <c r="F66">
        <v>12</v>
      </c>
      <c r="G66">
        <v>1</v>
      </c>
      <c r="H66">
        <v>2</v>
      </c>
      <c r="I66" t="s">
        <v>1489</v>
      </c>
      <c r="J66" t="s">
        <v>1295</v>
      </c>
      <c r="K66" t="s">
        <v>16</v>
      </c>
      <c r="L66" t="s">
        <v>1489</v>
      </c>
      <c r="M66" t="s">
        <v>1489</v>
      </c>
      <c r="N66" t="s">
        <v>1489</v>
      </c>
      <c r="O66" t="s">
        <v>1283</v>
      </c>
      <c r="P66" t="s">
        <v>1381</v>
      </c>
      <c r="Q66" t="s">
        <v>1283</v>
      </c>
      <c r="R66" t="s">
        <v>1381</v>
      </c>
      <c r="S66" t="s">
        <v>1283</v>
      </c>
      <c r="T66" t="s">
        <v>1381</v>
      </c>
      <c r="U66" t="s">
        <v>1283</v>
      </c>
      <c r="V66" t="s">
        <v>1381</v>
      </c>
      <c r="W66" t="s">
        <v>1283</v>
      </c>
      <c r="X66" t="s">
        <v>1370</v>
      </c>
      <c r="Y66" t="s">
        <v>1255</v>
      </c>
      <c r="Z66" t="s">
        <v>1255</v>
      </c>
      <c r="AA66" t="s">
        <v>1255</v>
      </c>
      <c r="AB66" t="s">
        <v>1255</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1251</v>
      </c>
      <c r="CD66" t="s">
        <v>1489</v>
      </c>
      <c r="CE66" t="s">
        <v>1498</v>
      </c>
      <c r="CF66" t="s">
        <v>1492</v>
      </c>
      <c r="CG66" t="b">
        <v>0</v>
      </c>
      <c r="CH66">
        <v>0</v>
      </c>
      <c r="CI66" t="s">
        <v>1525</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x14ac:dyDescent="0.25">
      <c r="A67">
        <v>510</v>
      </c>
      <c r="B67">
        <v>100026</v>
      </c>
      <c r="C67" t="s">
        <v>1248</v>
      </c>
      <c r="D67">
        <v>2</v>
      </c>
      <c r="E67" t="s">
        <v>1489</v>
      </c>
      <c r="F67">
        <v>12</v>
      </c>
      <c r="G67">
        <v>1</v>
      </c>
      <c r="H67">
        <v>2</v>
      </c>
      <c r="I67" t="s">
        <v>1489</v>
      </c>
      <c r="J67" t="s">
        <v>1295</v>
      </c>
      <c r="K67" t="s">
        <v>16</v>
      </c>
      <c r="L67" t="s">
        <v>1494</v>
      </c>
      <c r="M67" t="s">
        <v>1489</v>
      </c>
      <c r="N67" t="s">
        <v>1489</v>
      </c>
      <c r="O67" t="s">
        <v>1283</v>
      </c>
      <c r="P67" t="s">
        <v>1381</v>
      </c>
      <c r="Q67" t="s">
        <v>1283</v>
      </c>
      <c r="R67" t="s">
        <v>1381</v>
      </c>
      <c r="S67" t="s">
        <v>1283</v>
      </c>
      <c r="T67" t="s">
        <v>1381</v>
      </c>
      <c r="U67" t="s">
        <v>1283</v>
      </c>
      <c r="V67" t="s">
        <v>1381</v>
      </c>
      <c r="W67" t="s">
        <v>1283</v>
      </c>
      <c r="X67" t="s">
        <v>1370</v>
      </c>
      <c r="Y67" t="s">
        <v>1255</v>
      </c>
      <c r="Z67" t="s">
        <v>1255</v>
      </c>
      <c r="AA67" t="s">
        <v>1255</v>
      </c>
      <c r="AB67" t="s">
        <v>1255</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1251</v>
      </c>
      <c r="CD67" t="s">
        <v>1489</v>
      </c>
      <c r="CE67" t="s">
        <v>1498</v>
      </c>
      <c r="CF67" t="s">
        <v>1492</v>
      </c>
      <c r="CG67" t="b">
        <v>0</v>
      </c>
      <c r="CH67">
        <v>0</v>
      </c>
      <c r="CI67" t="s">
        <v>1531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x14ac:dyDescent="0.25">
      <c r="A68">
        <v>535</v>
      </c>
      <c r="B68">
        <v>100042</v>
      </c>
      <c r="C68" t="s">
        <v>1248</v>
      </c>
      <c r="D68">
        <v>1</v>
      </c>
      <c r="E68" t="s">
        <v>1489</v>
      </c>
      <c r="F68">
        <v>40</v>
      </c>
      <c r="G68">
        <v>1</v>
      </c>
      <c r="H68">
        <v>2</v>
      </c>
      <c r="I68" t="s">
        <v>810</v>
      </c>
      <c r="J68" t="s">
        <v>1252</v>
      </c>
      <c r="K68" t="s">
        <v>15</v>
      </c>
      <c r="L68" t="s">
        <v>1490</v>
      </c>
      <c r="M68" t="s">
        <v>1489</v>
      </c>
      <c r="N68" t="s">
        <v>1489</v>
      </c>
      <c r="O68" t="s">
        <v>1300</v>
      </c>
      <c r="P68" t="s">
        <v>1377</v>
      </c>
      <c r="Q68" t="s">
        <v>1300</v>
      </c>
      <c r="R68" t="s">
        <v>1377</v>
      </c>
      <c r="S68" t="s">
        <v>1300</v>
      </c>
      <c r="T68" t="s">
        <v>1377</v>
      </c>
      <c r="U68" t="s">
        <v>1300</v>
      </c>
      <c r="V68" t="s">
        <v>1377</v>
      </c>
      <c r="W68" t="s">
        <v>1300</v>
      </c>
      <c r="X68" t="s">
        <v>1353</v>
      </c>
      <c r="Y68" t="s">
        <v>1255</v>
      </c>
      <c r="Z68" t="s">
        <v>1255</v>
      </c>
      <c r="AA68" t="s">
        <v>1255</v>
      </c>
      <c r="AB68" t="s">
        <v>1255</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1251</v>
      </c>
      <c r="CD68" t="s">
        <v>1489</v>
      </c>
      <c r="CE68" t="s">
        <v>1496</v>
      </c>
      <c r="CF68" t="s">
        <v>1492</v>
      </c>
      <c r="CG68" t="b">
        <v>0</v>
      </c>
      <c r="CH68">
        <v>0</v>
      </c>
      <c r="CI68" t="s">
        <v>1532</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x14ac:dyDescent="0.25">
      <c r="A69">
        <v>536</v>
      </c>
      <c r="B69">
        <v>100042</v>
      </c>
      <c r="C69" t="s">
        <v>1248</v>
      </c>
      <c r="D69">
        <v>2</v>
      </c>
      <c r="E69" t="s">
        <v>1489</v>
      </c>
      <c r="F69">
        <v>40</v>
      </c>
      <c r="G69">
        <v>1</v>
      </c>
      <c r="H69">
        <v>2</v>
      </c>
      <c r="I69" t="s">
        <v>810</v>
      </c>
      <c r="J69" t="s">
        <v>1252</v>
      </c>
      <c r="K69" t="s">
        <v>15</v>
      </c>
      <c r="L69" t="s">
        <v>1490</v>
      </c>
      <c r="M69" t="s">
        <v>1489</v>
      </c>
      <c r="N69" t="s">
        <v>1489</v>
      </c>
      <c r="O69" t="s">
        <v>1300</v>
      </c>
      <c r="P69" t="s">
        <v>1377</v>
      </c>
      <c r="Q69" t="s">
        <v>1300</v>
      </c>
      <c r="R69" t="s">
        <v>1377</v>
      </c>
      <c r="S69" t="s">
        <v>1300</v>
      </c>
      <c r="T69" t="s">
        <v>1377</v>
      </c>
      <c r="U69" t="s">
        <v>1300</v>
      </c>
      <c r="V69" t="s">
        <v>1377</v>
      </c>
      <c r="W69" t="s">
        <v>1300</v>
      </c>
      <c r="X69" t="s">
        <v>1353</v>
      </c>
      <c r="Y69" t="s">
        <v>1255</v>
      </c>
      <c r="Z69" t="s">
        <v>1255</v>
      </c>
      <c r="AA69" t="s">
        <v>1255</v>
      </c>
      <c r="AB69" t="s">
        <v>1255</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1251</v>
      </c>
      <c r="CD69" t="s">
        <v>1489</v>
      </c>
      <c r="CE69" t="s">
        <v>1496</v>
      </c>
      <c r="CF69" t="s">
        <v>1492</v>
      </c>
      <c r="CG69" t="b">
        <v>0</v>
      </c>
      <c r="CH69">
        <v>0</v>
      </c>
      <c r="CI69" t="s">
        <v>1533</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x14ac:dyDescent="0.25">
      <c r="A70">
        <v>537</v>
      </c>
      <c r="B70">
        <v>100059</v>
      </c>
      <c r="C70" t="s">
        <v>1248</v>
      </c>
      <c r="D70">
        <v>1</v>
      </c>
      <c r="E70" t="s">
        <v>1489</v>
      </c>
      <c r="F70">
        <v>15</v>
      </c>
      <c r="G70">
        <v>1</v>
      </c>
      <c r="H70">
        <v>2</v>
      </c>
      <c r="I70" t="s">
        <v>810</v>
      </c>
      <c r="J70" t="s">
        <v>1252</v>
      </c>
      <c r="K70" t="s">
        <v>15</v>
      </c>
      <c r="L70" t="s">
        <v>1490</v>
      </c>
      <c r="M70" t="s">
        <v>1489</v>
      </c>
      <c r="N70" t="s">
        <v>1489</v>
      </c>
      <c r="O70" t="s">
        <v>1283</v>
      </c>
      <c r="P70" t="s">
        <v>1381</v>
      </c>
      <c r="Q70" t="s">
        <v>1283</v>
      </c>
      <c r="R70" t="s">
        <v>1381</v>
      </c>
      <c r="S70" t="s">
        <v>1283</v>
      </c>
      <c r="T70" t="s">
        <v>1381</v>
      </c>
      <c r="U70" t="s">
        <v>1283</v>
      </c>
      <c r="V70" t="s">
        <v>1381</v>
      </c>
      <c r="W70" t="s">
        <v>1283</v>
      </c>
      <c r="X70" t="s">
        <v>1370</v>
      </c>
      <c r="Y70" t="s">
        <v>1255</v>
      </c>
      <c r="Z70" t="s">
        <v>1255</v>
      </c>
      <c r="AA70" t="s">
        <v>1255</v>
      </c>
      <c r="AB70" t="s">
        <v>1255</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1251</v>
      </c>
      <c r="CD70" t="s">
        <v>1489</v>
      </c>
      <c r="CE70" t="s">
        <v>1498</v>
      </c>
      <c r="CF70" t="s">
        <v>1492</v>
      </c>
      <c r="CG70" t="b">
        <v>0</v>
      </c>
      <c r="CH70">
        <v>0</v>
      </c>
      <c r="CI70" t="s">
        <v>1533</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x14ac:dyDescent="0.25">
      <c r="A71">
        <v>538</v>
      </c>
      <c r="B71">
        <v>100059</v>
      </c>
      <c r="C71" t="s">
        <v>1248</v>
      </c>
      <c r="D71">
        <v>2</v>
      </c>
      <c r="E71" t="s">
        <v>1489</v>
      </c>
      <c r="F71">
        <v>15</v>
      </c>
      <c r="G71">
        <v>1</v>
      </c>
      <c r="H71">
        <v>2</v>
      </c>
      <c r="I71" t="s">
        <v>810</v>
      </c>
      <c r="J71" t="s">
        <v>1252</v>
      </c>
      <c r="K71" t="s">
        <v>15</v>
      </c>
      <c r="L71" t="s">
        <v>1490</v>
      </c>
      <c r="M71" t="s">
        <v>1489</v>
      </c>
      <c r="N71" t="s">
        <v>1489</v>
      </c>
      <c r="O71" t="s">
        <v>1283</v>
      </c>
      <c r="P71" t="s">
        <v>1381</v>
      </c>
      <c r="Q71" t="s">
        <v>1283</v>
      </c>
      <c r="R71" t="s">
        <v>1381</v>
      </c>
      <c r="S71" t="s">
        <v>1283</v>
      </c>
      <c r="T71" t="s">
        <v>1381</v>
      </c>
      <c r="U71" t="s">
        <v>1283</v>
      </c>
      <c r="V71" t="s">
        <v>1381</v>
      </c>
      <c r="W71" t="s">
        <v>1283</v>
      </c>
      <c r="X71" t="s">
        <v>1370</v>
      </c>
      <c r="Y71" t="s">
        <v>1255</v>
      </c>
      <c r="Z71" t="s">
        <v>1255</v>
      </c>
      <c r="AA71" t="s">
        <v>1255</v>
      </c>
      <c r="AB71" t="s">
        <v>1255</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1251</v>
      </c>
      <c r="CD71" t="s">
        <v>1489</v>
      </c>
      <c r="CE71" t="s">
        <v>1498</v>
      </c>
      <c r="CF71" t="s">
        <v>1492</v>
      </c>
      <c r="CG71" t="b">
        <v>0</v>
      </c>
      <c r="CH71">
        <v>0</v>
      </c>
      <c r="CI71" t="s">
        <v>1533</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x14ac:dyDescent="0.25">
      <c r="A72">
        <v>539</v>
      </c>
      <c r="B72">
        <v>100046</v>
      </c>
      <c r="C72" t="s">
        <v>1248</v>
      </c>
      <c r="D72">
        <v>1</v>
      </c>
      <c r="E72" t="s">
        <v>1489</v>
      </c>
      <c r="F72">
        <v>5</v>
      </c>
      <c r="G72">
        <v>1</v>
      </c>
      <c r="H72">
        <v>2</v>
      </c>
      <c r="I72" t="s">
        <v>578</v>
      </c>
      <c r="J72" t="s">
        <v>1252</v>
      </c>
      <c r="K72" t="s">
        <v>16</v>
      </c>
      <c r="L72" t="s">
        <v>1489</v>
      </c>
      <c r="M72" t="s">
        <v>1489</v>
      </c>
      <c r="N72" t="s">
        <v>1489</v>
      </c>
      <c r="O72" t="s">
        <v>1300</v>
      </c>
      <c r="P72" t="s">
        <v>1377</v>
      </c>
      <c r="Q72" t="s">
        <v>1300</v>
      </c>
      <c r="R72" t="s">
        <v>1377</v>
      </c>
      <c r="S72" t="s">
        <v>1300</v>
      </c>
      <c r="T72" t="s">
        <v>1377</v>
      </c>
      <c r="U72" t="s">
        <v>1300</v>
      </c>
      <c r="V72" t="s">
        <v>1377</v>
      </c>
      <c r="W72" t="s">
        <v>1300</v>
      </c>
      <c r="X72" t="s">
        <v>1370</v>
      </c>
      <c r="Y72" t="s">
        <v>1255</v>
      </c>
      <c r="Z72" t="s">
        <v>1255</v>
      </c>
      <c r="AA72" t="s">
        <v>1255</v>
      </c>
      <c r="AB72" t="s">
        <v>1255</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1251</v>
      </c>
      <c r="CD72" t="s">
        <v>1489</v>
      </c>
      <c r="CE72" t="s">
        <v>1496</v>
      </c>
      <c r="CF72" t="s">
        <v>1492</v>
      </c>
      <c r="CG72" t="b">
        <v>0</v>
      </c>
      <c r="CH72">
        <v>0</v>
      </c>
      <c r="CI72" t="s">
        <v>1534</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x14ac:dyDescent="0.25">
      <c r="A73">
        <v>540</v>
      </c>
      <c r="B73">
        <v>100046</v>
      </c>
      <c r="C73" t="s">
        <v>1248</v>
      </c>
      <c r="D73">
        <v>2</v>
      </c>
      <c r="E73" t="s">
        <v>1489</v>
      </c>
      <c r="F73">
        <v>5</v>
      </c>
      <c r="G73">
        <v>1</v>
      </c>
      <c r="H73">
        <v>2</v>
      </c>
      <c r="I73" t="s">
        <v>578</v>
      </c>
      <c r="J73" t="s">
        <v>1252</v>
      </c>
      <c r="K73" t="s">
        <v>16</v>
      </c>
      <c r="L73" t="s">
        <v>1489</v>
      </c>
      <c r="M73" t="s">
        <v>1489</v>
      </c>
      <c r="N73" t="s">
        <v>1489</v>
      </c>
      <c r="O73" t="s">
        <v>1300</v>
      </c>
      <c r="P73" t="s">
        <v>1377</v>
      </c>
      <c r="Q73" t="s">
        <v>1300</v>
      </c>
      <c r="R73" t="s">
        <v>1377</v>
      </c>
      <c r="S73" t="s">
        <v>1300</v>
      </c>
      <c r="T73" t="s">
        <v>1377</v>
      </c>
      <c r="U73" t="s">
        <v>1300</v>
      </c>
      <c r="V73" t="s">
        <v>1377</v>
      </c>
      <c r="W73" t="s">
        <v>1300</v>
      </c>
      <c r="X73" t="s">
        <v>1370</v>
      </c>
      <c r="Y73" t="s">
        <v>1255</v>
      </c>
      <c r="Z73" t="s">
        <v>1255</v>
      </c>
      <c r="AA73" t="s">
        <v>1255</v>
      </c>
      <c r="AB73" t="s">
        <v>1255</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1251</v>
      </c>
      <c r="CD73" t="s">
        <v>1489</v>
      </c>
      <c r="CE73" t="s">
        <v>1496</v>
      </c>
      <c r="CF73" t="s">
        <v>1492</v>
      </c>
      <c r="CG73" t="b">
        <v>0</v>
      </c>
      <c r="CH73">
        <v>0</v>
      </c>
      <c r="CI73" t="s">
        <v>1535</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x14ac:dyDescent="0.25">
      <c r="A74">
        <v>541</v>
      </c>
      <c r="B74">
        <v>100043</v>
      </c>
      <c r="C74" t="s">
        <v>1248</v>
      </c>
      <c r="D74">
        <v>1</v>
      </c>
      <c r="E74" t="s">
        <v>1489</v>
      </c>
      <c r="F74">
        <v>5</v>
      </c>
      <c r="G74">
        <v>1</v>
      </c>
      <c r="H74">
        <v>2</v>
      </c>
      <c r="I74" t="s">
        <v>387</v>
      </c>
      <c r="J74" t="s">
        <v>1295</v>
      </c>
      <c r="K74" t="s">
        <v>15</v>
      </c>
      <c r="L74" t="s">
        <v>1494</v>
      </c>
      <c r="M74" t="s">
        <v>1519</v>
      </c>
      <c r="N74" t="s">
        <v>1489</v>
      </c>
      <c r="O74" t="s">
        <v>1300</v>
      </c>
      <c r="P74" t="s">
        <v>1377</v>
      </c>
      <c r="Q74" t="s">
        <v>1300</v>
      </c>
      <c r="R74" t="s">
        <v>1377</v>
      </c>
      <c r="S74" t="s">
        <v>1300</v>
      </c>
      <c r="T74" t="s">
        <v>1377</v>
      </c>
      <c r="U74" t="s">
        <v>1300</v>
      </c>
      <c r="V74" t="s">
        <v>1377</v>
      </c>
      <c r="W74" t="s">
        <v>1300</v>
      </c>
      <c r="X74" t="s">
        <v>1370</v>
      </c>
      <c r="Y74" t="s">
        <v>1255</v>
      </c>
      <c r="Z74" t="s">
        <v>1255</v>
      </c>
      <c r="AA74" t="s">
        <v>1255</v>
      </c>
      <c r="AB74" t="s">
        <v>1255</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1251</v>
      </c>
      <c r="CD74" t="s">
        <v>1489</v>
      </c>
      <c r="CE74" t="s">
        <v>1498</v>
      </c>
      <c r="CF74" t="s">
        <v>1492</v>
      </c>
      <c r="CG74" t="b">
        <v>1</v>
      </c>
      <c r="CH74">
        <v>0</v>
      </c>
      <c r="CI74" t="s">
        <v>1536</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x14ac:dyDescent="0.25">
      <c r="A75">
        <v>542</v>
      </c>
      <c r="B75">
        <v>100043</v>
      </c>
      <c r="C75" t="s">
        <v>1248</v>
      </c>
      <c r="D75">
        <v>2</v>
      </c>
      <c r="E75" t="s">
        <v>1489</v>
      </c>
      <c r="F75">
        <v>5</v>
      </c>
      <c r="G75">
        <v>1</v>
      </c>
      <c r="H75">
        <v>2</v>
      </c>
      <c r="I75" t="s">
        <v>387</v>
      </c>
      <c r="J75" t="s">
        <v>1295</v>
      </c>
      <c r="K75" t="s">
        <v>15</v>
      </c>
      <c r="L75" t="s">
        <v>1494</v>
      </c>
      <c r="M75" t="s">
        <v>1519</v>
      </c>
      <c r="N75" t="s">
        <v>1489</v>
      </c>
      <c r="O75" t="s">
        <v>1300</v>
      </c>
      <c r="P75" t="s">
        <v>1377</v>
      </c>
      <c r="Q75" t="s">
        <v>1300</v>
      </c>
      <c r="R75" t="s">
        <v>1377</v>
      </c>
      <c r="S75" t="s">
        <v>1300</v>
      </c>
      <c r="T75" t="s">
        <v>1377</v>
      </c>
      <c r="U75" t="s">
        <v>1300</v>
      </c>
      <c r="V75" t="s">
        <v>1377</v>
      </c>
      <c r="W75" t="s">
        <v>1300</v>
      </c>
      <c r="X75" t="s">
        <v>1370</v>
      </c>
      <c r="Y75" t="s">
        <v>1255</v>
      </c>
      <c r="Z75" t="s">
        <v>1255</v>
      </c>
      <c r="AA75" t="s">
        <v>1255</v>
      </c>
      <c r="AB75" t="s">
        <v>1255</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1251</v>
      </c>
      <c r="CD75" t="s">
        <v>1489</v>
      </c>
      <c r="CE75" t="s">
        <v>1498</v>
      </c>
      <c r="CF75" t="s">
        <v>1492</v>
      </c>
      <c r="CG75" t="b">
        <v>1</v>
      </c>
      <c r="CH75">
        <v>0</v>
      </c>
      <c r="CI75" t="s">
        <v>1536</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x14ac:dyDescent="0.25">
      <c r="A76">
        <v>513</v>
      </c>
      <c r="B76">
        <v>100028</v>
      </c>
      <c r="C76" t="s">
        <v>1248</v>
      </c>
      <c r="D76">
        <v>1</v>
      </c>
      <c r="E76" t="s">
        <v>1489</v>
      </c>
      <c r="F76">
        <v>5</v>
      </c>
      <c r="G76">
        <v>1</v>
      </c>
      <c r="H76">
        <v>2</v>
      </c>
      <c r="I76" t="s">
        <v>1489</v>
      </c>
      <c r="J76" t="s">
        <v>1295</v>
      </c>
      <c r="K76" t="s">
        <v>16</v>
      </c>
      <c r="L76" t="s">
        <v>1489</v>
      </c>
      <c r="M76" t="s">
        <v>1519</v>
      </c>
      <c r="N76" t="s">
        <v>1489</v>
      </c>
      <c r="O76" t="s">
        <v>1300</v>
      </c>
      <c r="P76" t="s">
        <v>1377</v>
      </c>
      <c r="Q76" t="s">
        <v>1300</v>
      </c>
      <c r="R76" t="s">
        <v>1377</v>
      </c>
      <c r="S76" t="s">
        <v>1300</v>
      </c>
      <c r="T76" t="s">
        <v>1377</v>
      </c>
      <c r="U76" t="s">
        <v>1300</v>
      </c>
      <c r="V76" t="s">
        <v>1377</v>
      </c>
      <c r="W76" t="s">
        <v>1300</v>
      </c>
      <c r="X76" t="s">
        <v>1370</v>
      </c>
      <c r="Y76" t="s">
        <v>1255</v>
      </c>
      <c r="Z76" t="s">
        <v>1255</v>
      </c>
      <c r="AA76" t="s">
        <v>1255</v>
      </c>
      <c r="AB76" t="s">
        <v>1255</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1251</v>
      </c>
      <c r="CD76" t="s">
        <v>1489</v>
      </c>
      <c r="CE76" t="s">
        <v>1498</v>
      </c>
      <c r="CF76" t="s">
        <v>1492</v>
      </c>
      <c r="CG76" t="b">
        <v>1</v>
      </c>
      <c r="CH76">
        <v>0</v>
      </c>
      <c r="CI76" t="s">
        <v>1537</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x14ac:dyDescent="0.25">
      <c r="A77">
        <v>514</v>
      </c>
      <c r="B77">
        <v>100028</v>
      </c>
      <c r="C77" t="s">
        <v>1248</v>
      </c>
      <c r="D77">
        <v>2</v>
      </c>
      <c r="E77" t="s">
        <v>1489</v>
      </c>
      <c r="F77">
        <v>5</v>
      </c>
      <c r="G77">
        <v>1</v>
      </c>
      <c r="H77">
        <v>2</v>
      </c>
      <c r="I77" t="s">
        <v>1489</v>
      </c>
      <c r="J77" t="s">
        <v>1295</v>
      </c>
      <c r="K77" t="s">
        <v>16</v>
      </c>
      <c r="L77" t="s">
        <v>1494</v>
      </c>
      <c r="M77" t="s">
        <v>1519</v>
      </c>
      <c r="N77" t="s">
        <v>1489</v>
      </c>
      <c r="O77" t="s">
        <v>1300</v>
      </c>
      <c r="P77" t="s">
        <v>1377</v>
      </c>
      <c r="Q77" t="s">
        <v>1300</v>
      </c>
      <c r="R77" t="s">
        <v>1377</v>
      </c>
      <c r="S77" t="s">
        <v>1300</v>
      </c>
      <c r="T77" t="s">
        <v>1377</v>
      </c>
      <c r="U77" t="s">
        <v>1300</v>
      </c>
      <c r="V77" t="s">
        <v>1377</v>
      </c>
      <c r="W77" t="s">
        <v>1283</v>
      </c>
      <c r="X77" t="s">
        <v>1370</v>
      </c>
      <c r="Y77" t="s">
        <v>1255</v>
      </c>
      <c r="Z77" t="s">
        <v>1255</v>
      </c>
      <c r="AA77" t="s">
        <v>1255</v>
      </c>
      <c r="AB77" t="s">
        <v>1255</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1251</v>
      </c>
      <c r="CD77" t="s">
        <v>1489</v>
      </c>
      <c r="CE77" t="s">
        <v>1498</v>
      </c>
      <c r="CF77" t="s">
        <v>1492</v>
      </c>
      <c r="CG77" t="b">
        <v>1</v>
      </c>
      <c r="CH77">
        <v>0</v>
      </c>
      <c r="CI77" t="s">
        <v>1538</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x14ac:dyDescent="0.25">
      <c r="A78">
        <v>543</v>
      </c>
      <c r="B78">
        <v>100044</v>
      </c>
      <c r="C78" t="s">
        <v>1248</v>
      </c>
      <c r="D78">
        <v>1</v>
      </c>
      <c r="E78" t="s">
        <v>1489</v>
      </c>
      <c r="F78">
        <v>22</v>
      </c>
      <c r="G78">
        <v>1</v>
      </c>
      <c r="H78">
        <v>2</v>
      </c>
      <c r="I78" t="s">
        <v>926</v>
      </c>
      <c r="J78" t="s">
        <v>1295</v>
      </c>
      <c r="K78" t="s">
        <v>15</v>
      </c>
      <c r="L78" t="s">
        <v>1494</v>
      </c>
      <c r="M78" t="s">
        <v>1489</v>
      </c>
      <c r="N78" t="s">
        <v>1489</v>
      </c>
      <c r="O78" t="s">
        <v>1283</v>
      </c>
      <c r="P78" t="s">
        <v>1377</v>
      </c>
      <c r="Q78" t="s">
        <v>1283</v>
      </c>
      <c r="R78" t="s">
        <v>1377</v>
      </c>
      <c r="S78" t="s">
        <v>1283</v>
      </c>
      <c r="T78" t="s">
        <v>1377</v>
      </c>
      <c r="U78" t="s">
        <v>1283</v>
      </c>
      <c r="V78" t="s">
        <v>1377</v>
      </c>
      <c r="W78" t="s">
        <v>1283</v>
      </c>
      <c r="X78" t="s">
        <v>1370</v>
      </c>
      <c r="Y78" t="s">
        <v>1255</v>
      </c>
      <c r="Z78" t="s">
        <v>1255</v>
      </c>
      <c r="AA78" t="s">
        <v>1255</v>
      </c>
      <c r="AB78" t="s">
        <v>1255</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1251</v>
      </c>
      <c r="CD78" t="s">
        <v>1489</v>
      </c>
      <c r="CE78" t="s">
        <v>1492</v>
      </c>
      <c r="CF78" t="s">
        <v>1492</v>
      </c>
      <c r="CG78" t="b">
        <v>0</v>
      </c>
      <c r="CH78">
        <v>0</v>
      </c>
      <c r="CI78" t="s">
        <v>1533</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x14ac:dyDescent="0.25">
      <c r="A79">
        <v>544</v>
      </c>
      <c r="B79">
        <v>100044</v>
      </c>
      <c r="C79" t="s">
        <v>1248</v>
      </c>
      <c r="D79">
        <v>2</v>
      </c>
      <c r="E79" t="s">
        <v>1489</v>
      </c>
      <c r="F79">
        <v>22</v>
      </c>
      <c r="G79">
        <v>1</v>
      </c>
      <c r="H79">
        <v>2</v>
      </c>
      <c r="I79" t="s">
        <v>926</v>
      </c>
      <c r="J79" t="s">
        <v>1295</v>
      </c>
      <c r="K79" t="s">
        <v>15</v>
      </c>
      <c r="L79" t="s">
        <v>1494</v>
      </c>
      <c r="M79" t="s">
        <v>1489</v>
      </c>
      <c r="N79" t="s">
        <v>1489</v>
      </c>
      <c r="O79" t="s">
        <v>1283</v>
      </c>
      <c r="P79" t="s">
        <v>1377</v>
      </c>
      <c r="Q79" t="s">
        <v>1283</v>
      </c>
      <c r="R79" t="s">
        <v>1377</v>
      </c>
      <c r="S79" t="s">
        <v>1283</v>
      </c>
      <c r="T79" t="s">
        <v>1377</v>
      </c>
      <c r="U79" t="s">
        <v>1283</v>
      </c>
      <c r="V79" t="s">
        <v>1377</v>
      </c>
      <c r="W79" t="s">
        <v>1283</v>
      </c>
      <c r="X79" t="s">
        <v>1370</v>
      </c>
      <c r="Y79" t="s">
        <v>1255</v>
      </c>
      <c r="Z79" t="s">
        <v>1255</v>
      </c>
      <c r="AA79" t="s">
        <v>1255</v>
      </c>
      <c r="AB79" t="s">
        <v>1255</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1251</v>
      </c>
      <c r="CD79" t="s">
        <v>1489</v>
      </c>
      <c r="CE79" t="s">
        <v>1492</v>
      </c>
      <c r="CF79" t="s">
        <v>1492</v>
      </c>
      <c r="CG79" t="b">
        <v>0</v>
      </c>
      <c r="CH79">
        <v>0</v>
      </c>
      <c r="CI79" t="s">
        <v>1533</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x14ac:dyDescent="0.25">
      <c r="A80">
        <v>545</v>
      </c>
      <c r="B80">
        <v>100044</v>
      </c>
      <c r="C80" t="s">
        <v>1318</v>
      </c>
      <c r="D80">
        <v>1</v>
      </c>
      <c r="E80" t="s">
        <v>1489</v>
      </c>
      <c r="F80">
        <v>22</v>
      </c>
      <c r="G80">
        <v>1</v>
      </c>
      <c r="H80">
        <v>2</v>
      </c>
      <c r="I80" t="s">
        <v>926</v>
      </c>
      <c r="J80" t="s">
        <v>1252</v>
      </c>
      <c r="K80" t="s">
        <v>15</v>
      </c>
      <c r="L80" t="s">
        <v>1494</v>
      </c>
      <c r="M80" t="s">
        <v>1489</v>
      </c>
      <c r="N80" t="s">
        <v>1489</v>
      </c>
      <c r="O80" t="s">
        <v>1283</v>
      </c>
      <c r="P80" t="s">
        <v>1377</v>
      </c>
      <c r="Q80" t="s">
        <v>1283</v>
      </c>
      <c r="R80" t="s">
        <v>1377</v>
      </c>
      <c r="S80" t="s">
        <v>1283</v>
      </c>
      <c r="T80" t="s">
        <v>1377</v>
      </c>
      <c r="U80" t="s">
        <v>1283</v>
      </c>
      <c r="V80" t="s">
        <v>1377</v>
      </c>
      <c r="W80" t="s">
        <v>1283</v>
      </c>
      <c r="X80" t="s">
        <v>1370</v>
      </c>
      <c r="Y80" t="s">
        <v>1255</v>
      </c>
      <c r="Z80" t="s">
        <v>1255</v>
      </c>
      <c r="AA80" t="s">
        <v>1255</v>
      </c>
      <c r="AB80" t="s">
        <v>1255</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1251</v>
      </c>
      <c r="CD80" t="s">
        <v>1489</v>
      </c>
      <c r="CE80" t="s">
        <v>1492</v>
      </c>
      <c r="CF80" t="s">
        <v>1492</v>
      </c>
      <c r="CG80" t="b">
        <v>0</v>
      </c>
      <c r="CH80">
        <v>0</v>
      </c>
      <c r="CI80" t="s">
        <v>1539</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x14ac:dyDescent="0.25">
      <c r="A81">
        <v>546</v>
      </c>
      <c r="B81">
        <v>100044</v>
      </c>
      <c r="C81" t="s">
        <v>1318</v>
      </c>
      <c r="D81">
        <v>2</v>
      </c>
      <c r="E81" t="s">
        <v>1489</v>
      </c>
      <c r="F81">
        <v>22</v>
      </c>
      <c r="G81">
        <v>1</v>
      </c>
      <c r="H81">
        <v>2</v>
      </c>
      <c r="I81" t="s">
        <v>926</v>
      </c>
      <c r="J81" t="s">
        <v>1252</v>
      </c>
      <c r="K81" t="s">
        <v>15</v>
      </c>
      <c r="L81" t="s">
        <v>1494</v>
      </c>
      <c r="M81" t="s">
        <v>1489</v>
      </c>
      <c r="N81" t="s">
        <v>1489</v>
      </c>
      <c r="O81" t="s">
        <v>1283</v>
      </c>
      <c r="P81" t="s">
        <v>1377</v>
      </c>
      <c r="Q81" t="s">
        <v>1283</v>
      </c>
      <c r="R81" t="s">
        <v>1377</v>
      </c>
      <c r="S81" t="s">
        <v>1283</v>
      </c>
      <c r="T81" t="s">
        <v>1377</v>
      </c>
      <c r="U81" t="s">
        <v>1283</v>
      </c>
      <c r="V81" t="s">
        <v>1377</v>
      </c>
      <c r="W81" t="s">
        <v>1283</v>
      </c>
      <c r="X81" t="s">
        <v>1370</v>
      </c>
      <c r="Y81" t="s">
        <v>1255</v>
      </c>
      <c r="Z81" t="s">
        <v>1255</v>
      </c>
      <c r="AA81" t="s">
        <v>1255</v>
      </c>
      <c r="AB81" t="s">
        <v>1255</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1251</v>
      </c>
      <c r="CD81" t="s">
        <v>1489</v>
      </c>
      <c r="CE81" t="s">
        <v>1492</v>
      </c>
      <c r="CF81" t="s">
        <v>1492</v>
      </c>
      <c r="CG81" t="b">
        <v>0</v>
      </c>
      <c r="CH81">
        <v>0</v>
      </c>
      <c r="CI81" t="s">
        <v>1539</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x14ac:dyDescent="0.25">
      <c r="A82">
        <v>517</v>
      </c>
      <c r="B82">
        <v>100030</v>
      </c>
      <c r="C82" t="s">
        <v>1248</v>
      </c>
      <c r="D82">
        <v>1</v>
      </c>
      <c r="E82" t="s">
        <v>1489</v>
      </c>
      <c r="F82">
        <v>10</v>
      </c>
      <c r="G82">
        <v>1</v>
      </c>
      <c r="H82">
        <v>2</v>
      </c>
      <c r="I82" t="s">
        <v>578</v>
      </c>
      <c r="J82" t="s">
        <v>1295</v>
      </c>
      <c r="K82" t="s">
        <v>16</v>
      </c>
      <c r="L82" t="s">
        <v>1489</v>
      </c>
      <c r="M82" t="s">
        <v>1489</v>
      </c>
      <c r="N82" t="s">
        <v>1489</v>
      </c>
      <c r="O82" t="s">
        <v>1300</v>
      </c>
      <c r="P82" t="s">
        <v>1377</v>
      </c>
      <c r="Q82" t="s">
        <v>1300</v>
      </c>
      <c r="R82" t="s">
        <v>1377</v>
      </c>
      <c r="S82" t="s">
        <v>1300</v>
      </c>
      <c r="T82" t="s">
        <v>1377</v>
      </c>
      <c r="U82" t="s">
        <v>1300</v>
      </c>
      <c r="V82" t="s">
        <v>1377</v>
      </c>
      <c r="W82" t="s">
        <v>1300</v>
      </c>
      <c r="X82" t="s">
        <v>1370</v>
      </c>
      <c r="Y82" t="s">
        <v>1255</v>
      </c>
      <c r="Z82" t="s">
        <v>1255</v>
      </c>
      <c r="AA82" t="s">
        <v>1255</v>
      </c>
      <c r="AB82" t="s">
        <v>1255</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1251</v>
      </c>
      <c r="CD82" t="s">
        <v>1489</v>
      </c>
      <c r="CE82" t="s">
        <v>1492</v>
      </c>
      <c r="CF82" t="s">
        <v>1492</v>
      </c>
      <c r="CG82" t="b">
        <v>0</v>
      </c>
      <c r="CH82">
        <v>0</v>
      </c>
      <c r="CI82" t="s">
        <v>1540</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x14ac:dyDescent="0.25">
      <c r="A83">
        <v>518</v>
      </c>
      <c r="B83">
        <v>100030</v>
      </c>
      <c r="C83" t="s">
        <v>1248</v>
      </c>
      <c r="D83">
        <v>2</v>
      </c>
      <c r="E83" t="s">
        <v>1489</v>
      </c>
      <c r="F83">
        <v>10</v>
      </c>
      <c r="G83">
        <v>1</v>
      </c>
      <c r="H83">
        <v>2</v>
      </c>
      <c r="I83" t="s">
        <v>578</v>
      </c>
      <c r="J83" t="s">
        <v>1295</v>
      </c>
      <c r="K83" t="s">
        <v>16</v>
      </c>
      <c r="L83" t="s">
        <v>1494</v>
      </c>
      <c r="M83" t="s">
        <v>1489</v>
      </c>
      <c r="N83" t="s">
        <v>1489</v>
      </c>
      <c r="O83" t="s">
        <v>1300</v>
      </c>
      <c r="P83" t="s">
        <v>1377</v>
      </c>
      <c r="Q83" t="s">
        <v>1300</v>
      </c>
      <c r="R83" t="s">
        <v>1377</v>
      </c>
      <c r="S83" t="s">
        <v>1300</v>
      </c>
      <c r="T83" t="s">
        <v>1377</v>
      </c>
      <c r="U83" t="s">
        <v>1300</v>
      </c>
      <c r="V83" t="s">
        <v>1377</v>
      </c>
      <c r="W83" t="s">
        <v>1300</v>
      </c>
      <c r="X83" t="s">
        <v>1370</v>
      </c>
      <c r="Y83" t="s">
        <v>1255</v>
      </c>
      <c r="Z83" t="s">
        <v>1255</v>
      </c>
      <c r="AA83" t="s">
        <v>1255</v>
      </c>
      <c r="AB83" t="s">
        <v>1255</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1251</v>
      </c>
      <c r="CD83" t="s">
        <v>1489</v>
      </c>
      <c r="CE83" t="s">
        <v>1492</v>
      </c>
      <c r="CF83" t="s">
        <v>1492</v>
      </c>
      <c r="CG83" t="b">
        <v>0</v>
      </c>
      <c r="CH83">
        <v>0</v>
      </c>
      <c r="CI83" t="s">
        <v>1541</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x14ac:dyDescent="0.25">
      <c r="A84">
        <v>547</v>
      </c>
      <c r="B84">
        <v>100030</v>
      </c>
      <c r="C84" t="s">
        <v>1318</v>
      </c>
      <c r="D84">
        <v>1</v>
      </c>
      <c r="E84" t="s">
        <v>1489</v>
      </c>
      <c r="F84">
        <v>10</v>
      </c>
      <c r="G84">
        <v>1</v>
      </c>
      <c r="H84">
        <v>2</v>
      </c>
      <c r="I84" t="s">
        <v>578</v>
      </c>
      <c r="J84" t="s">
        <v>1252</v>
      </c>
      <c r="K84" t="s">
        <v>16</v>
      </c>
      <c r="L84" t="s">
        <v>1489</v>
      </c>
      <c r="M84" t="s">
        <v>1489</v>
      </c>
      <c r="N84" t="s">
        <v>1489</v>
      </c>
      <c r="O84" t="s">
        <v>1300</v>
      </c>
      <c r="P84" t="s">
        <v>1377</v>
      </c>
      <c r="Q84" t="s">
        <v>1300</v>
      </c>
      <c r="R84" t="s">
        <v>1377</v>
      </c>
      <c r="S84" t="s">
        <v>1300</v>
      </c>
      <c r="T84" t="s">
        <v>1377</v>
      </c>
      <c r="U84" t="s">
        <v>1300</v>
      </c>
      <c r="V84" t="s">
        <v>1377</v>
      </c>
      <c r="W84" t="s">
        <v>1300</v>
      </c>
      <c r="X84" t="s">
        <v>1370</v>
      </c>
      <c r="Y84" t="s">
        <v>1255</v>
      </c>
      <c r="Z84" t="s">
        <v>1255</v>
      </c>
      <c r="AA84" t="s">
        <v>1255</v>
      </c>
      <c r="AB84" t="s">
        <v>1255</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1251</v>
      </c>
      <c r="CD84" t="s">
        <v>1489</v>
      </c>
      <c r="CE84" t="s">
        <v>1492</v>
      </c>
      <c r="CF84" t="s">
        <v>1492</v>
      </c>
      <c r="CG84" t="b">
        <v>0</v>
      </c>
      <c r="CH84">
        <v>0</v>
      </c>
      <c r="CI84" t="s">
        <v>1539</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x14ac:dyDescent="0.25">
      <c r="A85">
        <v>548</v>
      </c>
      <c r="B85">
        <v>100030</v>
      </c>
      <c r="C85" t="s">
        <v>1318</v>
      </c>
      <c r="D85">
        <v>2</v>
      </c>
      <c r="E85" t="s">
        <v>1489</v>
      </c>
      <c r="F85">
        <v>10</v>
      </c>
      <c r="G85">
        <v>1</v>
      </c>
      <c r="H85">
        <v>2</v>
      </c>
      <c r="I85" t="s">
        <v>578</v>
      </c>
      <c r="J85" t="s">
        <v>1252</v>
      </c>
      <c r="K85" t="s">
        <v>16</v>
      </c>
      <c r="L85" t="s">
        <v>1489</v>
      </c>
      <c r="M85" t="s">
        <v>1489</v>
      </c>
      <c r="N85" t="s">
        <v>1489</v>
      </c>
      <c r="O85" t="s">
        <v>1300</v>
      </c>
      <c r="P85" t="s">
        <v>1377</v>
      </c>
      <c r="Q85" t="s">
        <v>1300</v>
      </c>
      <c r="R85" t="s">
        <v>1377</v>
      </c>
      <c r="S85" t="s">
        <v>1300</v>
      </c>
      <c r="T85" t="s">
        <v>1377</v>
      </c>
      <c r="U85" t="s">
        <v>1300</v>
      </c>
      <c r="V85" t="s">
        <v>1377</v>
      </c>
      <c r="W85" t="s">
        <v>1300</v>
      </c>
      <c r="X85" t="s">
        <v>1370</v>
      </c>
      <c r="Y85" t="s">
        <v>1255</v>
      </c>
      <c r="Z85" t="s">
        <v>1255</v>
      </c>
      <c r="AA85" t="s">
        <v>1255</v>
      </c>
      <c r="AB85" t="s">
        <v>1255</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1251</v>
      </c>
      <c r="CD85" t="s">
        <v>1489</v>
      </c>
      <c r="CE85" t="s">
        <v>1492</v>
      </c>
      <c r="CF85" t="s">
        <v>1492</v>
      </c>
      <c r="CG85" t="b">
        <v>0</v>
      </c>
      <c r="CH85">
        <v>0</v>
      </c>
      <c r="CI85" t="s">
        <v>1539</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x14ac:dyDescent="0.25">
      <c r="A86">
        <v>549</v>
      </c>
      <c r="B86">
        <v>100045</v>
      </c>
      <c r="C86" t="s">
        <v>1248</v>
      </c>
      <c r="D86">
        <v>1</v>
      </c>
      <c r="E86" t="s">
        <v>1489</v>
      </c>
      <c r="F86">
        <v>5</v>
      </c>
      <c r="G86">
        <v>1</v>
      </c>
      <c r="H86">
        <v>3</v>
      </c>
      <c r="I86" t="s">
        <v>1489</v>
      </c>
      <c r="J86" t="s">
        <v>1252</v>
      </c>
      <c r="K86" t="s">
        <v>15</v>
      </c>
      <c r="L86" t="s">
        <v>1494</v>
      </c>
      <c r="M86" t="s">
        <v>1489</v>
      </c>
      <c r="N86" t="s">
        <v>1489</v>
      </c>
      <c r="O86" t="s">
        <v>1300</v>
      </c>
      <c r="P86" t="s">
        <v>1377</v>
      </c>
      <c r="Q86" t="s">
        <v>1300</v>
      </c>
      <c r="R86" t="s">
        <v>1377</v>
      </c>
      <c r="S86" t="s">
        <v>1300</v>
      </c>
      <c r="T86" t="s">
        <v>1377</v>
      </c>
      <c r="U86" t="s">
        <v>1300</v>
      </c>
      <c r="V86" t="s">
        <v>1377</v>
      </c>
      <c r="W86" t="s">
        <v>1300</v>
      </c>
      <c r="X86" t="s">
        <v>1370</v>
      </c>
      <c r="Y86" t="s">
        <v>1255</v>
      </c>
      <c r="Z86" t="s">
        <v>1255</v>
      </c>
      <c r="AA86" t="s">
        <v>1255</v>
      </c>
      <c r="AB86" t="s">
        <v>1255</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1251</v>
      </c>
      <c r="CD86" t="s">
        <v>1489</v>
      </c>
      <c r="CE86" t="s">
        <v>1496</v>
      </c>
      <c r="CF86" t="s">
        <v>1492</v>
      </c>
      <c r="CG86" t="b">
        <v>1</v>
      </c>
      <c r="CH86">
        <v>0</v>
      </c>
      <c r="CI86" t="s">
        <v>1542</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x14ac:dyDescent="0.25">
      <c r="A87">
        <v>521</v>
      </c>
      <c r="B87">
        <v>100032</v>
      </c>
      <c r="C87" t="s">
        <v>1248</v>
      </c>
      <c r="D87">
        <v>1</v>
      </c>
      <c r="E87" t="s">
        <v>1489</v>
      </c>
      <c r="F87">
        <v>4</v>
      </c>
      <c r="G87">
        <v>1</v>
      </c>
      <c r="H87">
        <v>3</v>
      </c>
      <c r="I87" t="s">
        <v>1489</v>
      </c>
      <c r="J87" t="s">
        <v>1252</v>
      </c>
      <c r="K87" t="s">
        <v>16</v>
      </c>
      <c r="L87" t="s">
        <v>1489</v>
      </c>
      <c r="M87" t="s">
        <v>1489</v>
      </c>
      <c r="N87" t="s">
        <v>1489</v>
      </c>
      <c r="O87" t="s">
        <v>1300</v>
      </c>
      <c r="P87" t="s">
        <v>1377</v>
      </c>
      <c r="Q87" t="s">
        <v>1300</v>
      </c>
      <c r="R87" t="s">
        <v>1377</v>
      </c>
      <c r="S87" t="s">
        <v>1300</v>
      </c>
      <c r="T87" t="s">
        <v>1377</v>
      </c>
      <c r="U87" t="s">
        <v>1300</v>
      </c>
      <c r="V87" t="s">
        <v>1377</v>
      </c>
      <c r="W87" t="s">
        <v>1283</v>
      </c>
      <c r="X87" t="s">
        <v>1370</v>
      </c>
      <c r="Y87" t="s">
        <v>1255</v>
      </c>
      <c r="Z87" t="s">
        <v>1255</v>
      </c>
      <c r="AA87" t="s">
        <v>1255</v>
      </c>
      <c r="AB87" t="s">
        <v>1255</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1251</v>
      </c>
      <c r="CD87" t="s">
        <v>1489</v>
      </c>
      <c r="CE87" t="s">
        <v>1496</v>
      </c>
      <c r="CF87" t="s">
        <v>1492</v>
      </c>
      <c r="CG87" t="b">
        <v>1</v>
      </c>
      <c r="CH87">
        <v>0</v>
      </c>
      <c r="CI87" t="s">
        <v>1543</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x14ac:dyDescent="0.25">
      <c r="A88">
        <v>551</v>
      </c>
      <c r="B88">
        <v>100047</v>
      </c>
      <c r="C88" t="s">
        <v>1248</v>
      </c>
      <c r="D88">
        <v>1</v>
      </c>
      <c r="E88" t="s">
        <v>1489</v>
      </c>
      <c r="F88">
        <v>6</v>
      </c>
      <c r="G88">
        <v>1</v>
      </c>
      <c r="H88">
        <v>2</v>
      </c>
      <c r="I88" t="s">
        <v>726</v>
      </c>
      <c r="J88" t="s">
        <v>1295</v>
      </c>
      <c r="K88" t="s">
        <v>15</v>
      </c>
      <c r="L88" t="s">
        <v>1494</v>
      </c>
      <c r="M88" t="s">
        <v>1519</v>
      </c>
      <c r="N88" t="s">
        <v>1489</v>
      </c>
      <c r="O88" t="s">
        <v>1300</v>
      </c>
      <c r="P88" t="s">
        <v>1377</v>
      </c>
      <c r="Q88" t="s">
        <v>1300</v>
      </c>
      <c r="R88" t="s">
        <v>1377</v>
      </c>
      <c r="S88" t="s">
        <v>1300</v>
      </c>
      <c r="T88" t="s">
        <v>1377</v>
      </c>
      <c r="U88" t="s">
        <v>1300</v>
      </c>
      <c r="V88" t="s">
        <v>1377</v>
      </c>
      <c r="W88" t="s">
        <v>1300</v>
      </c>
      <c r="X88" t="s">
        <v>1370</v>
      </c>
      <c r="Y88" t="s">
        <v>1255</v>
      </c>
      <c r="Z88" t="s">
        <v>1255</v>
      </c>
      <c r="AA88" t="s">
        <v>1255</v>
      </c>
      <c r="AB88" t="s">
        <v>1255</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1251</v>
      </c>
      <c r="CD88" t="s">
        <v>1489</v>
      </c>
      <c r="CE88" t="s">
        <v>1498</v>
      </c>
      <c r="CF88" t="s">
        <v>1492</v>
      </c>
      <c r="CG88" t="b">
        <v>1</v>
      </c>
      <c r="CH88">
        <v>0</v>
      </c>
      <c r="CI88" t="s">
        <v>1544</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x14ac:dyDescent="0.25">
      <c r="A89">
        <v>552</v>
      </c>
      <c r="B89">
        <v>100047</v>
      </c>
      <c r="C89" t="s">
        <v>1248</v>
      </c>
      <c r="D89">
        <v>2</v>
      </c>
      <c r="E89" t="s">
        <v>1489</v>
      </c>
      <c r="F89">
        <v>6</v>
      </c>
      <c r="G89">
        <v>1</v>
      </c>
      <c r="H89">
        <v>2</v>
      </c>
      <c r="I89" t="s">
        <v>726</v>
      </c>
      <c r="J89" t="s">
        <v>1295</v>
      </c>
      <c r="K89" t="s">
        <v>15</v>
      </c>
      <c r="L89" t="s">
        <v>1494</v>
      </c>
      <c r="M89" t="s">
        <v>1519</v>
      </c>
      <c r="N89" t="s">
        <v>1489</v>
      </c>
      <c r="O89" t="s">
        <v>1300</v>
      </c>
      <c r="P89" t="s">
        <v>1377</v>
      </c>
      <c r="Q89" t="s">
        <v>1300</v>
      </c>
      <c r="R89" t="s">
        <v>1377</v>
      </c>
      <c r="S89" t="s">
        <v>1300</v>
      </c>
      <c r="T89" t="s">
        <v>1377</v>
      </c>
      <c r="U89" t="s">
        <v>1300</v>
      </c>
      <c r="V89" t="s">
        <v>1377</v>
      </c>
      <c r="W89" t="s">
        <v>1300</v>
      </c>
      <c r="X89" t="s">
        <v>1370</v>
      </c>
      <c r="Y89" t="s">
        <v>1255</v>
      </c>
      <c r="Z89" t="s">
        <v>1255</v>
      </c>
      <c r="AA89" t="s">
        <v>1255</v>
      </c>
      <c r="AB89" t="s">
        <v>1255</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1251</v>
      </c>
      <c r="CD89" t="s">
        <v>1489</v>
      </c>
      <c r="CE89" t="s">
        <v>1498</v>
      </c>
      <c r="CF89" t="s">
        <v>1492</v>
      </c>
      <c r="CG89" t="b">
        <v>1</v>
      </c>
      <c r="CH89">
        <v>0</v>
      </c>
      <c r="CI89" t="s">
        <v>1545</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x14ac:dyDescent="0.25">
      <c r="A90">
        <v>553</v>
      </c>
      <c r="B90">
        <v>100052</v>
      </c>
      <c r="C90" t="s">
        <v>1248</v>
      </c>
      <c r="D90">
        <v>1</v>
      </c>
      <c r="E90" t="s">
        <v>1489</v>
      </c>
      <c r="F90">
        <v>5</v>
      </c>
      <c r="G90">
        <v>1</v>
      </c>
      <c r="H90">
        <v>2</v>
      </c>
      <c r="I90" t="s">
        <v>1489</v>
      </c>
      <c r="J90" t="s">
        <v>1295</v>
      </c>
      <c r="K90" t="s">
        <v>16</v>
      </c>
      <c r="L90" t="s">
        <v>1489</v>
      </c>
      <c r="M90" t="s">
        <v>1519</v>
      </c>
      <c r="N90" t="s">
        <v>1489</v>
      </c>
      <c r="O90" t="s">
        <v>1300</v>
      </c>
      <c r="P90" t="s">
        <v>1377</v>
      </c>
      <c r="Q90" t="s">
        <v>1300</v>
      </c>
      <c r="R90" t="s">
        <v>1377</v>
      </c>
      <c r="S90" t="s">
        <v>1300</v>
      </c>
      <c r="T90" t="s">
        <v>1377</v>
      </c>
      <c r="U90" t="s">
        <v>1300</v>
      </c>
      <c r="V90" t="s">
        <v>1377</v>
      </c>
      <c r="W90" t="s">
        <v>1300</v>
      </c>
      <c r="X90" t="s">
        <v>1370</v>
      </c>
      <c r="Y90" t="s">
        <v>1255</v>
      </c>
      <c r="Z90" t="s">
        <v>1255</v>
      </c>
      <c r="AA90" t="s">
        <v>1255</v>
      </c>
      <c r="AB90" t="s">
        <v>1255</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1251</v>
      </c>
      <c r="CD90" t="s">
        <v>1489</v>
      </c>
      <c r="CE90" t="s">
        <v>1498</v>
      </c>
      <c r="CF90" t="s">
        <v>1492</v>
      </c>
      <c r="CG90" t="b">
        <v>1</v>
      </c>
      <c r="CH90">
        <v>0</v>
      </c>
      <c r="CI90" t="s">
        <v>1546</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x14ac:dyDescent="0.25">
      <c r="A91">
        <v>554</v>
      </c>
      <c r="B91">
        <v>100052</v>
      </c>
      <c r="C91" t="s">
        <v>1248</v>
      </c>
      <c r="D91">
        <v>2</v>
      </c>
      <c r="E91" t="s">
        <v>1489</v>
      </c>
      <c r="F91">
        <v>5</v>
      </c>
      <c r="G91">
        <v>1</v>
      </c>
      <c r="H91">
        <v>2</v>
      </c>
      <c r="I91" t="s">
        <v>1489</v>
      </c>
      <c r="J91" t="s">
        <v>1295</v>
      </c>
      <c r="K91" t="s">
        <v>16</v>
      </c>
      <c r="L91" t="s">
        <v>1489</v>
      </c>
      <c r="M91" t="s">
        <v>1519</v>
      </c>
      <c r="N91" t="s">
        <v>1489</v>
      </c>
      <c r="O91" t="s">
        <v>1300</v>
      </c>
      <c r="P91" t="s">
        <v>1377</v>
      </c>
      <c r="Q91" t="s">
        <v>1300</v>
      </c>
      <c r="R91" t="s">
        <v>1377</v>
      </c>
      <c r="S91" t="s">
        <v>1300</v>
      </c>
      <c r="T91" t="s">
        <v>1377</v>
      </c>
      <c r="U91" t="s">
        <v>1300</v>
      </c>
      <c r="V91" t="s">
        <v>1377</v>
      </c>
      <c r="W91" t="s">
        <v>1300</v>
      </c>
      <c r="X91" t="s">
        <v>1370</v>
      </c>
      <c r="Y91" t="s">
        <v>1255</v>
      </c>
      <c r="Z91" t="s">
        <v>1255</v>
      </c>
      <c r="AA91" t="s">
        <v>1255</v>
      </c>
      <c r="AB91" t="s">
        <v>1255</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1251</v>
      </c>
      <c r="CD91" t="s">
        <v>1489</v>
      </c>
      <c r="CE91" t="s">
        <v>1498</v>
      </c>
      <c r="CF91" t="s">
        <v>1492</v>
      </c>
      <c r="CG91" t="b">
        <v>1</v>
      </c>
      <c r="CH91">
        <v>0</v>
      </c>
      <c r="CI91" t="s">
        <v>1547</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x14ac:dyDescent="0.25">
      <c r="A92">
        <v>555</v>
      </c>
      <c r="B92">
        <v>100048</v>
      </c>
      <c r="C92" t="s">
        <v>1248</v>
      </c>
      <c r="D92">
        <v>1</v>
      </c>
      <c r="E92" t="s">
        <v>1489</v>
      </c>
      <c r="F92">
        <v>8</v>
      </c>
      <c r="G92">
        <v>1</v>
      </c>
      <c r="H92">
        <v>2</v>
      </c>
      <c r="I92" t="s">
        <v>776</v>
      </c>
      <c r="J92" t="s">
        <v>1295</v>
      </c>
      <c r="K92" t="s">
        <v>15</v>
      </c>
      <c r="L92" t="s">
        <v>1494</v>
      </c>
      <c r="M92" t="s">
        <v>1519</v>
      </c>
      <c r="N92" t="s">
        <v>1489</v>
      </c>
      <c r="O92" t="s">
        <v>1300</v>
      </c>
      <c r="P92" t="s">
        <v>1377</v>
      </c>
      <c r="Q92" t="s">
        <v>1300</v>
      </c>
      <c r="R92" t="s">
        <v>1377</v>
      </c>
      <c r="S92" t="s">
        <v>1300</v>
      </c>
      <c r="T92" t="s">
        <v>1377</v>
      </c>
      <c r="U92" t="s">
        <v>1300</v>
      </c>
      <c r="V92" t="s">
        <v>1377</v>
      </c>
      <c r="W92" t="s">
        <v>1300</v>
      </c>
      <c r="X92" t="s">
        <v>1370</v>
      </c>
      <c r="Y92" t="s">
        <v>1255</v>
      </c>
      <c r="Z92" t="s">
        <v>1255</v>
      </c>
      <c r="AA92" t="s">
        <v>1255</v>
      </c>
      <c r="AB92" t="s">
        <v>1255</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1251</v>
      </c>
      <c r="CD92" t="s">
        <v>1489</v>
      </c>
      <c r="CE92" t="s">
        <v>1496</v>
      </c>
      <c r="CF92" t="s">
        <v>1492</v>
      </c>
      <c r="CG92" t="b">
        <v>1</v>
      </c>
      <c r="CH92">
        <v>0</v>
      </c>
      <c r="CI92" t="s">
        <v>1548</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x14ac:dyDescent="0.25">
      <c r="A93">
        <v>556</v>
      </c>
      <c r="B93">
        <v>100048</v>
      </c>
      <c r="C93" t="s">
        <v>1248</v>
      </c>
      <c r="D93">
        <v>2</v>
      </c>
      <c r="E93" t="s">
        <v>1489</v>
      </c>
      <c r="F93">
        <v>8</v>
      </c>
      <c r="G93">
        <v>1</v>
      </c>
      <c r="H93">
        <v>2</v>
      </c>
      <c r="I93" t="s">
        <v>776</v>
      </c>
      <c r="J93" t="s">
        <v>1295</v>
      </c>
      <c r="K93" t="s">
        <v>15</v>
      </c>
      <c r="L93" t="s">
        <v>1494</v>
      </c>
      <c r="M93" t="s">
        <v>1519</v>
      </c>
      <c r="N93" t="s">
        <v>1489</v>
      </c>
      <c r="O93" t="s">
        <v>1300</v>
      </c>
      <c r="P93" t="s">
        <v>1377</v>
      </c>
      <c r="Q93" t="s">
        <v>1300</v>
      </c>
      <c r="R93" t="s">
        <v>1377</v>
      </c>
      <c r="S93" t="s">
        <v>1300</v>
      </c>
      <c r="T93" t="s">
        <v>1377</v>
      </c>
      <c r="U93" t="s">
        <v>1300</v>
      </c>
      <c r="V93" t="s">
        <v>1377</v>
      </c>
      <c r="W93" t="s">
        <v>1300</v>
      </c>
      <c r="X93" t="s">
        <v>1370</v>
      </c>
      <c r="Y93" t="s">
        <v>1255</v>
      </c>
      <c r="Z93" t="s">
        <v>1255</v>
      </c>
      <c r="AA93" t="s">
        <v>1255</v>
      </c>
      <c r="AB93" t="s">
        <v>1255</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1251</v>
      </c>
      <c r="CD93" t="s">
        <v>1489</v>
      </c>
      <c r="CE93" t="s">
        <v>1496</v>
      </c>
      <c r="CF93" t="s">
        <v>1492</v>
      </c>
      <c r="CG93" t="b">
        <v>1</v>
      </c>
      <c r="CH93">
        <v>0</v>
      </c>
      <c r="CI93" t="s">
        <v>1549</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x14ac:dyDescent="0.25">
      <c r="A94">
        <v>557</v>
      </c>
      <c r="B94">
        <v>100053</v>
      </c>
      <c r="C94" t="s">
        <v>1248</v>
      </c>
      <c r="D94">
        <v>1</v>
      </c>
      <c r="E94" t="s">
        <v>1489</v>
      </c>
      <c r="F94">
        <v>6</v>
      </c>
      <c r="G94">
        <v>1</v>
      </c>
      <c r="H94">
        <v>2</v>
      </c>
      <c r="I94" t="s">
        <v>1489</v>
      </c>
      <c r="J94" t="s">
        <v>1295</v>
      </c>
      <c r="K94" t="s">
        <v>16</v>
      </c>
      <c r="L94" t="s">
        <v>1489</v>
      </c>
      <c r="M94" t="s">
        <v>1519</v>
      </c>
      <c r="N94" t="s">
        <v>1489</v>
      </c>
      <c r="O94" t="s">
        <v>1300</v>
      </c>
      <c r="P94" t="s">
        <v>1377</v>
      </c>
      <c r="Q94" t="s">
        <v>1300</v>
      </c>
      <c r="R94" t="s">
        <v>1377</v>
      </c>
      <c r="S94" t="s">
        <v>1300</v>
      </c>
      <c r="T94" t="s">
        <v>1377</v>
      </c>
      <c r="U94" t="s">
        <v>1300</v>
      </c>
      <c r="V94" t="s">
        <v>1377</v>
      </c>
      <c r="W94" t="s">
        <v>1300</v>
      </c>
      <c r="X94" t="s">
        <v>1370</v>
      </c>
      <c r="Y94" t="s">
        <v>1255</v>
      </c>
      <c r="Z94" t="s">
        <v>1255</v>
      </c>
      <c r="AA94" t="s">
        <v>1255</v>
      </c>
      <c r="AB94" t="s">
        <v>1255</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1251</v>
      </c>
      <c r="CD94" t="s">
        <v>1489</v>
      </c>
      <c r="CE94" t="s">
        <v>1496</v>
      </c>
      <c r="CF94" t="s">
        <v>1492</v>
      </c>
      <c r="CG94" t="b">
        <v>1</v>
      </c>
      <c r="CH94">
        <v>0</v>
      </c>
      <c r="CI94" t="s">
        <v>1550</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x14ac:dyDescent="0.25">
      <c r="A95">
        <v>558</v>
      </c>
      <c r="B95">
        <v>100053</v>
      </c>
      <c r="C95" t="s">
        <v>1248</v>
      </c>
      <c r="D95">
        <v>2</v>
      </c>
      <c r="E95" t="s">
        <v>1489</v>
      </c>
      <c r="F95">
        <v>6</v>
      </c>
      <c r="G95">
        <v>1</v>
      </c>
      <c r="H95">
        <v>2</v>
      </c>
      <c r="I95" t="s">
        <v>1489</v>
      </c>
      <c r="J95" t="s">
        <v>1295</v>
      </c>
      <c r="K95" t="s">
        <v>16</v>
      </c>
      <c r="L95" t="s">
        <v>1489</v>
      </c>
      <c r="M95" t="s">
        <v>1519</v>
      </c>
      <c r="N95" t="s">
        <v>1489</v>
      </c>
      <c r="O95" t="s">
        <v>1300</v>
      </c>
      <c r="P95" t="s">
        <v>1377</v>
      </c>
      <c r="Q95" t="s">
        <v>1300</v>
      </c>
      <c r="R95" t="s">
        <v>1377</v>
      </c>
      <c r="S95" t="s">
        <v>1300</v>
      </c>
      <c r="T95" t="s">
        <v>1377</v>
      </c>
      <c r="U95" t="s">
        <v>1300</v>
      </c>
      <c r="V95" t="s">
        <v>1377</v>
      </c>
      <c r="W95" t="s">
        <v>1300</v>
      </c>
      <c r="X95" t="s">
        <v>1370</v>
      </c>
      <c r="Y95" t="s">
        <v>1255</v>
      </c>
      <c r="Z95" t="s">
        <v>1255</v>
      </c>
      <c r="AA95" t="s">
        <v>1255</v>
      </c>
      <c r="AB95" t="s">
        <v>1255</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1251</v>
      </c>
      <c r="CD95" t="s">
        <v>1489</v>
      </c>
      <c r="CE95" t="s">
        <v>1496</v>
      </c>
      <c r="CF95" t="s">
        <v>1492</v>
      </c>
      <c r="CG95" t="b">
        <v>1</v>
      </c>
      <c r="CH95">
        <v>0</v>
      </c>
      <c r="CI95" t="s">
        <v>1550</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x14ac:dyDescent="0.25">
      <c r="A96">
        <v>559</v>
      </c>
      <c r="B96">
        <v>100049</v>
      </c>
      <c r="C96" t="s">
        <v>1248</v>
      </c>
      <c r="D96">
        <v>1</v>
      </c>
      <c r="E96" t="s">
        <v>1489</v>
      </c>
      <c r="F96">
        <v>5</v>
      </c>
      <c r="G96">
        <v>1</v>
      </c>
      <c r="H96">
        <v>2</v>
      </c>
      <c r="I96" t="s">
        <v>726</v>
      </c>
      <c r="J96" t="s">
        <v>1295</v>
      </c>
      <c r="K96" t="s">
        <v>15</v>
      </c>
      <c r="L96" t="s">
        <v>1494</v>
      </c>
      <c r="M96" t="s">
        <v>1519</v>
      </c>
      <c r="N96" t="s">
        <v>1489</v>
      </c>
      <c r="O96" t="s">
        <v>1300</v>
      </c>
      <c r="P96" t="s">
        <v>1377</v>
      </c>
      <c r="Q96" t="s">
        <v>1300</v>
      </c>
      <c r="R96" t="s">
        <v>1377</v>
      </c>
      <c r="S96" t="s">
        <v>1300</v>
      </c>
      <c r="T96" t="s">
        <v>1377</v>
      </c>
      <c r="U96" t="s">
        <v>1300</v>
      </c>
      <c r="V96" t="s">
        <v>1377</v>
      </c>
      <c r="W96" t="s">
        <v>1300</v>
      </c>
      <c r="X96" t="s">
        <v>1370</v>
      </c>
      <c r="Y96" t="s">
        <v>1255</v>
      </c>
      <c r="Z96" t="s">
        <v>1255</v>
      </c>
      <c r="AA96" t="s">
        <v>1255</v>
      </c>
      <c r="AB96" t="s">
        <v>1255</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1251</v>
      </c>
      <c r="CD96" t="s">
        <v>1489</v>
      </c>
      <c r="CE96" t="s">
        <v>1498</v>
      </c>
      <c r="CF96" t="s">
        <v>1492</v>
      </c>
      <c r="CG96" t="b">
        <v>1</v>
      </c>
      <c r="CH96">
        <v>0</v>
      </c>
      <c r="CI96" t="s">
        <v>1551</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x14ac:dyDescent="0.25">
      <c r="A97">
        <v>560</v>
      </c>
      <c r="B97">
        <v>100049</v>
      </c>
      <c r="C97" t="s">
        <v>1248</v>
      </c>
      <c r="D97">
        <v>2</v>
      </c>
      <c r="E97" t="s">
        <v>1489</v>
      </c>
      <c r="F97">
        <v>5</v>
      </c>
      <c r="G97">
        <v>1</v>
      </c>
      <c r="H97">
        <v>2</v>
      </c>
      <c r="I97" t="s">
        <v>726</v>
      </c>
      <c r="J97" t="s">
        <v>1295</v>
      </c>
      <c r="K97" t="s">
        <v>15</v>
      </c>
      <c r="L97" t="s">
        <v>1494</v>
      </c>
      <c r="M97" t="s">
        <v>1519</v>
      </c>
      <c r="N97" t="s">
        <v>1489</v>
      </c>
      <c r="O97" t="s">
        <v>1300</v>
      </c>
      <c r="P97" t="s">
        <v>1377</v>
      </c>
      <c r="Q97" t="s">
        <v>1300</v>
      </c>
      <c r="R97" t="s">
        <v>1377</v>
      </c>
      <c r="S97" t="s">
        <v>1300</v>
      </c>
      <c r="T97" t="s">
        <v>1377</v>
      </c>
      <c r="U97" t="s">
        <v>1300</v>
      </c>
      <c r="V97" t="s">
        <v>1377</v>
      </c>
      <c r="W97" t="s">
        <v>1300</v>
      </c>
      <c r="X97" t="s">
        <v>1370</v>
      </c>
      <c r="Y97" t="s">
        <v>1255</v>
      </c>
      <c r="Z97" t="s">
        <v>1255</v>
      </c>
      <c r="AA97" t="s">
        <v>1255</v>
      </c>
      <c r="AB97" t="s">
        <v>1255</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1251</v>
      </c>
      <c r="CD97" t="s">
        <v>1489</v>
      </c>
      <c r="CE97" t="s">
        <v>1498</v>
      </c>
      <c r="CF97" t="s">
        <v>1492</v>
      </c>
      <c r="CG97" t="b">
        <v>1</v>
      </c>
      <c r="CH97">
        <v>0</v>
      </c>
      <c r="CI97" t="s">
        <v>1552</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x14ac:dyDescent="0.25">
      <c r="A98">
        <v>561</v>
      </c>
      <c r="B98">
        <v>100054</v>
      </c>
      <c r="C98" t="s">
        <v>1248</v>
      </c>
      <c r="D98">
        <v>1</v>
      </c>
      <c r="E98" t="s">
        <v>1489</v>
      </c>
      <c r="F98">
        <v>5</v>
      </c>
      <c r="G98">
        <v>1</v>
      </c>
      <c r="H98">
        <v>2</v>
      </c>
      <c r="I98" t="s">
        <v>1489</v>
      </c>
      <c r="J98" t="s">
        <v>1295</v>
      </c>
      <c r="K98" t="s">
        <v>15</v>
      </c>
      <c r="L98" t="s">
        <v>1494</v>
      </c>
      <c r="M98" t="s">
        <v>1519</v>
      </c>
      <c r="N98" t="s">
        <v>1489</v>
      </c>
      <c r="O98" t="s">
        <v>1300</v>
      </c>
      <c r="P98" t="s">
        <v>1377</v>
      </c>
      <c r="Q98" t="s">
        <v>1300</v>
      </c>
      <c r="R98" t="s">
        <v>1377</v>
      </c>
      <c r="S98" t="s">
        <v>1300</v>
      </c>
      <c r="T98" t="s">
        <v>1377</v>
      </c>
      <c r="U98" t="s">
        <v>1300</v>
      </c>
      <c r="V98" t="s">
        <v>1377</v>
      </c>
      <c r="W98" t="s">
        <v>1300</v>
      </c>
      <c r="X98" t="s">
        <v>1370</v>
      </c>
      <c r="Y98" t="s">
        <v>1255</v>
      </c>
      <c r="Z98" t="s">
        <v>1255</v>
      </c>
      <c r="AA98" t="s">
        <v>1255</v>
      </c>
      <c r="AB98" t="s">
        <v>1255</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1251</v>
      </c>
      <c r="CD98" t="s">
        <v>1489</v>
      </c>
      <c r="CE98" t="s">
        <v>1498</v>
      </c>
      <c r="CF98" t="s">
        <v>1492</v>
      </c>
      <c r="CG98" t="b">
        <v>1</v>
      </c>
      <c r="CH98">
        <v>0</v>
      </c>
      <c r="CI98" t="s">
        <v>1553</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x14ac:dyDescent="0.25">
      <c r="A99">
        <v>562</v>
      </c>
      <c r="B99">
        <v>100054</v>
      </c>
      <c r="C99" t="s">
        <v>1248</v>
      </c>
      <c r="D99">
        <v>2</v>
      </c>
      <c r="E99" t="s">
        <v>1489</v>
      </c>
      <c r="F99">
        <v>5</v>
      </c>
      <c r="G99">
        <v>1</v>
      </c>
      <c r="H99">
        <v>2</v>
      </c>
      <c r="I99" t="s">
        <v>1489</v>
      </c>
      <c r="J99" t="s">
        <v>1295</v>
      </c>
      <c r="K99" t="s">
        <v>15</v>
      </c>
      <c r="L99" t="s">
        <v>1494</v>
      </c>
      <c r="M99" t="s">
        <v>1519</v>
      </c>
      <c r="N99" t="s">
        <v>1489</v>
      </c>
      <c r="O99" t="s">
        <v>1300</v>
      </c>
      <c r="P99" t="s">
        <v>1377</v>
      </c>
      <c r="Q99" t="s">
        <v>1300</v>
      </c>
      <c r="R99" t="s">
        <v>1377</v>
      </c>
      <c r="S99" t="s">
        <v>1300</v>
      </c>
      <c r="T99" t="s">
        <v>1377</v>
      </c>
      <c r="U99" t="s">
        <v>1300</v>
      </c>
      <c r="V99" t="s">
        <v>1377</v>
      </c>
      <c r="W99" t="s">
        <v>1300</v>
      </c>
      <c r="X99" t="s">
        <v>1370</v>
      </c>
      <c r="Y99" t="s">
        <v>1255</v>
      </c>
      <c r="Z99" t="s">
        <v>1255</v>
      </c>
      <c r="AA99" t="s">
        <v>1255</v>
      </c>
      <c r="AB99" t="s">
        <v>1255</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1251</v>
      </c>
      <c r="CD99" t="s">
        <v>1489</v>
      </c>
      <c r="CE99" t="s">
        <v>1498</v>
      </c>
      <c r="CF99" t="s">
        <v>1492</v>
      </c>
      <c r="CG99" t="b">
        <v>1</v>
      </c>
      <c r="CH99">
        <v>0</v>
      </c>
      <c r="CI99" t="s">
        <v>1553</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x14ac:dyDescent="0.25">
      <c r="A100">
        <v>391</v>
      </c>
      <c r="B100">
        <v>613</v>
      </c>
      <c r="C100" t="s">
        <v>1248</v>
      </c>
      <c r="D100">
        <v>1</v>
      </c>
      <c r="E100" t="s">
        <v>1489</v>
      </c>
      <c r="F100">
        <v>25</v>
      </c>
      <c r="G100">
        <v>1</v>
      </c>
      <c r="H100">
        <v>2</v>
      </c>
      <c r="I100" t="s">
        <v>1013</v>
      </c>
      <c r="J100" t="s">
        <v>1295</v>
      </c>
      <c r="K100" t="s">
        <v>15</v>
      </c>
      <c r="L100" t="s">
        <v>1494</v>
      </c>
      <c r="M100" t="s">
        <v>1489</v>
      </c>
      <c r="N100" t="s">
        <v>1489</v>
      </c>
      <c r="O100" t="s">
        <v>1283</v>
      </c>
      <c r="P100" t="s">
        <v>1377</v>
      </c>
      <c r="Q100" t="s">
        <v>1283</v>
      </c>
      <c r="R100" t="s">
        <v>1377</v>
      </c>
      <c r="S100" t="s">
        <v>1283</v>
      </c>
      <c r="T100" t="s">
        <v>1377</v>
      </c>
      <c r="U100" t="s">
        <v>1283</v>
      </c>
      <c r="V100" t="s">
        <v>1377</v>
      </c>
      <c r="W100" t="s">
        <v>1283</v>
      </c>
      <c r="X100" t="s">
        <v>1370</v>
      </c>
      <c r="Y100" t="s">
        <v>1255</v>
      </c>
      <c r="Z100" t="s">
        <v>1255</v>
      </c>
      <c r="AA100" t="s">
        <v>1255</v>
      </c>
      <c r="AB100" t="s">
        <v>1255</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1495</v>
      </c>
      <c r="CD100" t="s">
        <v>1489</v>
      </c>
      <c r="CE100" t="s">
        <v>1496</v>
      </c>
      <c r="CF100" t="s">
        <v>1492</v>
      </c>
      <c r="CG100" t="b">
        <v>0</v>
      </c>
      <c r="CH100">
        <v>0</v>
      </c>
      <c r="CI100" t="s">
        <v>1541</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x14ac:dyDescent="0.25">
      <c r="A101">
        <v>392</v>
      </c>
      <c r="B101">
        <v>613</v>
      </c>
      <c r="C101" t="s">
        <v>1248</v>
      </c>
      <c r="D101">
        <v>2</v>
      </c>
      <c r="E101" t="s">
        <v>1489</v>
      </c>
      <c r="F101">
        <v>25</v>
      </c>
      <c r="G101">
        <v>1</v>
      </c>
      <c r="H101">
        <v>2</v>
      </c>
      <c r="I101" t="s">
        <v>1013</v>
      </c>
      <c r="J101" t="s">
        <v>1295</v>
      </c>
      <c r="K101" t="s">
        <v>15</v>
      </c>
      <c r="L101" t="s">
        <v>1518</v>
      </c>
      <c r="M101" t="s">
        <v>1489</v>
      </c>
      <c r="N101" t="s">
        <v>1489</v>
      </c>
      <c r="O101" t="s">
        <v>1283</v>
      </c>
      <c r="P101" t="s">
        <v>1377</v>
      </c>
      <c r="Q101" t="s">
        <v>1283</v>
      </c>
      <c r="R101" t="s">
        <v>1377</v>
      </c>
      <c r="S101" t="s">
        <v>1283</v>
      </c>
      <c r="T101" t="s">
        <v>1377</v>
      </c>
      <c r="U101" t="s">
        <v>1283</v>
      </c>
      <c r="V101" t="s">
        <v>1377</v>
      </c>
      <c r="W101" t="s">
        <v>1283</v>
      </c>
      <c r="X101" t="s">
        <v>1370</v>
      </c>
      <c r="Y101" t="s">
        <v>1255</v>
      </c>
      <c r="Z101" t="s">
        <v>1255</v>
      </c>
      <c r="AA101" t="s">
        <v>1255</v>
      </c>
      <c r="AB101" t="s">
        <v>1255</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1495</v>
      </c>
      <c r="CD101" t="s">
        <v>1489</v>
      </c>
      <c r="CE101" t="s">
        <v>1496</v>
      </c>
      <c r="CF101" t="s">
        <v>1492</v>
      </c>
      <c r="CG101" t="b">
        <v>0</v>
      </c>
      <c r="CH101">
        <v>0</v>
      </c>
      <c r="CI101" t="s">
        <v>1541</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x14ac:dyDescent="0.25">
      <c r="A102">
        <v>394</v>
      </c>
      <c r="B102">
        <v>614</v>
      </c>
      <c r="C102" t="s">
        <v>1248</v>
      </c>
      <c r="D102">
        <v>1</v>
      </c>
      <c r="E102" t="s">
        <v>1489</v>
      </c>
      <c r="F102">
        <v>25</v>
      </c>
      <c r="G102">
        <v>1</v>
      </c>
      <c r="H102">
        <v>2</v>
      </c>
      <c r="I102" t="s">
        <v>1013</v>
      </c>
      <c r="J102" t="s">
        <v>1295</v>
      </c>
      <c r="K102" t="s">
        <v>15</v>
      </c>
      <c r="L102" t="s">
        <v>1494</v>
      </c>
      <c r="M102" t="s">
        <v>1489</v>
      </c>
      <c r="N102" t="s">
        <v>1489</v>
      </c>
      <c r="O102" t="s">
        <v>1283</v>
      </c>
      <c r="P102" t="s">
        <v>1377</v>
      </c>
      <c r="Q102" t="s">
        <v>1283</v>
      </c>
      <c r="R102" t="s">
        <v>1377</v>
      </c>
      <c r="S102" t="s">
        <v>1283</v>
      </c>
      <c r="T102" t="s">
        <v>1377</v>
      </c>
      <c r="U102" t="s">
        <v>1283</v>
      </c>
      <c r="V102" t="s">
        <v>1377</v>
      </c>
      <c r="W102" t="s">
        <v>1283</v>
      </c>
      <c r="X102" t="s">
        <v>1370</v>
      </c>
      <c r="Y102" t="s">
        <v>1255</v>
      </c>
      <c r="Z102" t="s">
        <v>1255</v>
      </c>
      <c r="AA102" t="s">
        <v>1255</v>
      </c>
      <c r="AB102" t="s">
        <v>1255</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1495</v>
      </c>
      <c r="CD102" t="s">
        <v>1489</v>
      </c>
      <c r="CE102" t="s">
        <v>1498</v>
      </c>
      <c r="CF102" t="s">
        <v>1492</v>
      </c>
      <c r="CG102" t="b">
        <v>0</v>
      </c>
      <c r="CH102">
        <v>0</v>
      </c>
      <c r="CI102" t="s">
        <v>1541</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x14ac:dyDescent="0.25">
      <c r="A103">
        <v>393</v>
      </c>
      <c r="B103">
        <v>614</v>
      </c>
      <c r="C103" t="s">
        <v>1248</v>
      </c>
      <c r="D103">
        <v>2</v>
      </c>
      <c r="E103" t="s">
        <v>1489</v>
      </c>
      <c r="F103">
        <v>25</v>
      </c>
      <c r="G103">
        <v>1</v>
      </c>
      <c r="H103">
        <v>2</v>
      </c>
      <c r="I103" t="s">
        <v>1013</v>
      </c>
      <c r="J103" t="s">
        <v>1295</v>
      </c>
      <c r="K103" t="s">
        <v>15</v>
      </c>
      <c r="L103" t="s">
        <v>1494</v>
      </c>
      <c r="M103" t="s">
        <v>1489</v>
      </c>
      <c r="N103" t="s">
        <v>1489</v>
      </c>
      <c r="O103" t="s">
        <v>1283</v>
      </c>
      <c r="P103" t="s">
        <v>1377</v>
      </c>
      <c r="Q103" t="s">
        <v>1283</v>
      </c>
      <c r="R103" t="s">
        <v>1377</v>
      </c>
      <c r="S103" t="s">
        <v>1283</v>
      </c>
      <c r="T103" t="s">
        <v>1377</v>
      </c>
      <c r="U103" t="s">
        <v>1283</v>
      </c>
      <c r="V103" t="s">
        <v>1377</v>
      </c>
      <c r="W103" t="s">
        <v>1283</v>
      </c>
      <c r="X103" t="s">
        <v>1370</v>
      </c>
      <c r="Y103" t="s">
        <v>1255</v>
      </c>
      <c r="Z103" t="s">
        <v>1255</v>
      </c>
      <c r="AA103" t="s">
        <v>1255</v>
      </c>
      <c r="AB103" t="s">
        <v>1255</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1495</v>
      </c>
      <c r="CD103" t="s">
        <v>1489</v>
      </c>
      <c r="CE103" t="s">
        <v>1498</v>
      </c>
      <c r="CF103" t="s">
        <v>1492</v>
      </c>
      <c r="CG103" t="b">
        <v>0</v>
      </c>
      <c r="CH103">
        <v>0</v>
      </c>
      <c r="CI103" t="s">
        <v>1541</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x14ac:dyDescent="0.25">
      <c r="A104">
        <v>396</v>
      </c>
      <c r="B104">
        <v>615</v>
      </c>
      <c r="C104" t="s">
        <v>1248</v>
      </c>
      <c r="D104">
        <v>1</v>
      </c>
      <c r="E104" t="s">
        <v>1489</v>
      </c>
      <c r="F104">
        <v>22</v>
      </c>
      <c r="G104">
        <v>1</v>
      </c>
      <c r="H104">
        <v>2</v>
      </c>
      <c r="I104" t="s">
        <v>616</v>
      </c>
      <c r="J104" t="s">
        <v>1295</v>
      </c>
      <c r="K104" t="s">
        <v>16</v>
      </c>
      <c r="L104" t="s">
        <v>1499</v>
      </c>
      <c r="M104" t="s">
        <v>1489</v>
      </c>
      <c r="N104" t="s">
        <v>1489</v>
      </c>
      <c r="O104" t="s">
        <v>1300</v>
      </c>
      <c r="P104" t="s">
        <v>1377</v>
      </c>
      <c r="Q104" t="s">
        <v>1300</v>
      </c>
      <c r="R104" t="s">
        <v>1377</v>
      </c>
      <c r="S104" t="s">
        <v>1300</v>
      </c>
      <c r="T104" t="s">
        <v>1377</v>
      </c>
      <c r="U104" t="s">
        <v>1300</v>
      </c>
      <c r="V104" t="s">
        <v>1377</v>
      </c>
      <c r="W104" t="s">
        <v>1283</v>
      </c>
      <c r="X104" t="s">
        <v>1370</v>
      </c>
      <c r="Y104" t="s">
        <v>1255</v>
      </c>
      <c r="Z104" t="s">
        <v>1255</v>
      </c>
      <c r="AA104" t="s">
        <v>1255</v>
      </c>
      <c r="AB104" t="s">
        <v>1255</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1495</v>
      </c>
      <c r="CD104" t="s">
        <v>1489</v>
      </c>
      <c r="CE104" t="s">
        <v>1498</v>
      </c>
      <c r="CF104" t="s">
        <v>1492</v>
      </c>
      <c r="CG104" t="b">
        <v>0</v>
      </c>
      <c r="CH104">
        <v>0</v>
      </c>
      <c r="CI104" t="s">
        <v>1541</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x14ac:dyDescent="0.25">
      <c r="A105">
        <v>395</v>
      </c>
      <c r="B105">
        <v>615</v>
      </c>
      <c r="C105" t="s">
        <v>1248</v>
      </c>
      <c r="D105">
        <v>2</v>
      </c>
      <c r="E105" t="s">
        <v>1489</v>
      </c>
      <c r="F105">
        <v>22</v>
      </c>
      <c r="G105">
        <v>1</v>
      </c>
      <c r="H105">
        <v>2</v>
      </c>
      <c r="I105" t="s">
        <v>616</v>
      </c>
      <c r="J105" t="s">
        <v>1295</v>
      </c>
      <c r="K105" t="s">
        <v>16</v>
      </c>
      <c r="L105" t="s">
        <v>1499</v>
      </c>
      <c r="M105" t="s">
        <v>1489</v>
      </c>
      <c r="N105" t="s">
        <v>1489</v>
      </c>
      <c r="O105" t="s">
        <v>1300</v>
      </c>
      <c r="P105" t="s">
        <v>1377</v>
      </c>
      <c r="Q105" t="s">
        <v>1300</v>
      </c>
      <c r="R105" t="s">
        <v>1377</v>
      </c>
      <c r="S105" t="s">
        <v>1300</v>
      </c>
      <c r="T105" t="s">
        <v>1377</v>
      </c>
      <c r="U105" t="s">
        <v>1300</v>
      </c>
      <c r="V105" t="s">
        <v>1377</v>
      </c>
      <c r="W105" t="s">
        <v>1300</v>
      </c>
      <c r="X105" t="s">
        <v>1370</v>
      </c>
      <c r="Y105" t="s">
        <v>1255</v>
      </c>
      <c r="Z105" t="s">
        <v>1255</v>
      </c>
      <c r="AA105" t="s">
        <v>1255</v>
      </c>
      <c r="AB105" t="s">
        <v>1255</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1495</v>
      </c>
      <c r="CD105" t="s">
        <v>1489</v>
      </c>
      <c r="CE105" t="s">
        <v>1498</v>
      </c>
      <c r="CF105" t="s">
        <v>1492</v>
      </c>
      <c r="CG105" t="b">
        <v>0</v>
      </c>
      <c r="CH105">
        <v>0</v>
      </c>
      <c r="CI105" t="s">
        <v>1541</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x14ac:dyDescent="0.25">
      <c r="A106">
        <v>400</v>
      </c>
      <c r="B106">
        <v>617</v>
      </c>
      <c r="C106" t="s">
        <v>1248</v>
      </c>
      <c r="D106">
        <v>1</v>
      </c>
      <c r="E106" t="s">
        <v>1489</v>
      </c>
      <c r="F106">
        <v>25</v>
      </c>
      <c r="G106">
        <v>1</v>
      </c>
      <c r="H106">
        <v>2</v>
      </c>
      <c r="I106" t="s">
        <v>284</v>
      </c>
      <c r="J106" t="s">
        <v>1295</v>
      </c>
      <c r="K106" t="s">
        <v>15</v>
      </c>
      <c r="L106" t="s">
        <v>1494</v>
      </c>
      <c r="M106" t="s">
        <v>1489</v>
      </c>
      <c r="N106" t="s">
        <v>1489</v>
      </c>
      <c r="O106" t="s">
        <v>1283</v>
      </c>
      <c r="P106" t="s">
        <v>1377</v>
      </c>
      <c r="Q106" t="s">
        <v>1283</v>
      </c>
      <c r="R106" t="s">
        <v>1377</v>
      </c>
      <c r="S106" t="s">
        <v>1283</v>
      </c>
      <c r="T106" t="s">
        <v>1377</v>
      </c>
      <c r="U106" t="s">
        <v>1283</v>
      </c>
      <c r="V106" t="s">
        <v>1377</v>
      </c>
      <c r="W106" t="s">
        <v>1283</v>
      </c>
      <c r="X106" t="s">
        <v>1370</v>
      </c>
      <c r="Y106" t="s">
        <v>1255</v>
      </c>
      <c r="Z106" t="s">
        <v>1255</v>
      </c>
      <c r="AA106" t="s">
        <v>1255</v>
      </c>
      <c r="AB106" t="s">
        <v>1255</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1495</v>
      </c>
      <c r="CD106" t="s">
        <v>1489</v>
      </c>
      <c r="CE106" t="s">
        <v>1496</v>
      </c>
      <c r="CF106" t="s">
        <v>1492</v>
      </c>
      <c r="CG106" t="b">
        <v>0</v>
      </c>
      <c r="CH106">
        <v>0</v>
      </c>
      <c r="CI106" t="s">
        <v>1525</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x14ac:dyDescent="0.25">
      <c r="A107">
        <v>399</v>
      </c>
      <c r="B107">
        <v>617</v>
      </c>
      <c r="C107" t="s">
        <v>1248</v>
      </c>
      <c r="D107">
        <v>2</v>
      </c>
      <c r="E107" t="s">
        <v>1489</v>
      </c>
      <c r="F107">
        <v>25</v>
      </c>
      <c r="G107">
        <v>1</v>
      </c>
      <c r="H107">
        <v>2</v>
      </c>
      <c r="I107" t="s">
        <v>284</v>
      </c>
      <c r="J107" t="s">
        <v>1295</v>
      </c>
      <c r="K107" t="s">
        <v>15</v>
      </c>
      <c r="L107" t="s">
        <v>1494</v>
      </c>
      <c r="M107" t="s">
        <v>1489</v>
      </c>
      <c r="N107" t="s">
        <v>1489</v>
      </c>
      <c r="O107" t="s">
        <v>1283</v>
      </c>
      <c r="P107" t="s">
        <v>1377</v>
      </c>
      <c r="Q107" t="s">
        <v>1283</v>
      </c>
      <c r="R107" t="s">
        <v>1377</v>
      </c>
      <c r="S107" t="s">
        <v>1283</v>
      </c>
      <c r="T107" t="s">
        <v>1377</v>
      </c>
      <c r="U107" t="s">
        <v>1283</v>
      </c>
      <c r="V107" t="s">
        <v>1377</v>
      </c>
      <c r="W107" t="s">
        <v>1283</v>
      </c>
      <c r="X107" t="s">
        <v>1370</v>
      </c>
      <c r="Y107" t="s">
        <v>1255</v>
      </c>
      <c r="Z107" t="s">
        <v>1255</v>
      </c>
      <c r="AA107" t="s">
        <v>1255</v>
      </c>
      <c r="AB107" t="s">
        <v>1255</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1495</v>
      </c>
      <c r="CD107" t="s">
        <v>1489</v>
      </c>
      <c r="CE107" t="s">
        <v>1496</v>
      </c>
      <c r="CF107" t="s">
        <v>1492</v>
      </c>
      <c r="CG107" t="b">
        <v>0</v>
      </c>
      <c r="CH107">
        <v>0</v>
      </c>
      <c r="CI107" t="s">
        <v>1525</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x14ac:dyDescent="0.25">
      <c r="A108">
        <v>390</v>
      </c>
      <c r="B108">
        <v>568</v>
      </c>
      <c r="C108" t="s">
        <v>1248</v>
      </c>
      <c r="D108">
        <v>1</v>
      </c>
      <c r="E108" t="s">
        <v>1489</v>
      </c>
      <c r="F108">
        <v>22</v>
      </c>
      <c r="G108">
        <v>1</v>
      </c>
      <c r="H108">
        <v>2</v>
      </c>
      <c r="I108" t="s">
        <v>578</v>
      </c>
      <c r="J108" t="s">
        <v>1295</v>
      </c>
      <c r="K108" t="s">
        <v>16</v>
      </c>
      <c r="L108" t="s">
        <v>1499</v>
      </c>
      <c r="M108" t="s">
        <v>1489</v>
      </c>
      <c r="N108" t="s">
        <v>1489</v>
      </c>
      <c r="O108" t="s">
        <v>1300</v>
      </c>
      <c r="P108" t="s">
        <v>1377</v>
      </c>
      <c r="Q108" t="s">
        <v>1300</v>
      </c>
      <c r="R108" t="s">
        <v>1377</v>
      </c>
      <c r="S108" t="s">
        <v>1300</v>
      </c>
      <c r="T108" t="s">
        <v>1377</v>
      </c>
      <c r="U108" t="s">
        <v>1300</v>
      </c>
      <c r="V108" t="s">
        <v>1377</v>
      </c>
      <c r="W108" t="s">
        <v>1300</v>
      </c>
      <c r="X108" t="s">
        <v>1370</v>
      </c>
      <c r="Y108" t="s">
        <v>1255</v>
      </c>
      <c r="Z108" t="s">
        <v>1255</v>
      </c>
      <c r="AA108" t="s">
        <v>1255</v>
      </c>
      <c r="AB108" t="s">
        <v>1255</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1495</v>
      </c>
      <c r="CD108" t="s">
        <v>1489</v>
      </c>
      <c r="CE108" t="s">
        <v>1496</v>
      </c>
      <c r="CF108" t="s">
        <v>1492</v>
      </c>
      <c r="CG108" t="b">
        <v>0</v>
      </c>
      <c r="CH108">
        <v>0</v>
      </c>
      <c r="CI108" t="s">
        <v>1541</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x14ac:dyDescent="0.25">
      <c r="A109">
        <v>389</v>
      </c>
      <c r="B109">
        <v>568</v>
      </c>
      <c r="C109" t="s">
        <v>1248</v>
      </c>
      <c r="D109">
        <v>2</v>
      </c>
      <c r="E109" t="s">
        <v>1489</v>
      </c>
      <c r="F109">
        <v>22</v>
      </c>
      <c r="G109">
        <v>1</v>
      </c>
      <c r="H109">
        <v>2</v>
      </c>
      <c r="I109" t="s">
        <v>578</v>
      </c>
      <c r="J109" t="s">
        <v>1295</v>
      </c>
      <c r="K109" t="s">
        <v>16</v>
      </c>
      <c r="L109" t="s">
        <v>1499</v>
      </c>
      <c r="M109" t="s">
        <v>1489</v>
      </c>
      <c r="N109" t="s">
        <v>1489</v>
      </c>
      <c r="O109" t="s">
        <v>1300</v>
      </c>
      <c r="P109" t="s">
        <v>1377</v>
      </c>
      <c r="Q109" t="s">
        <v>1300</v>
      </c>
      <c r="R109" t="s">
        <v>1377</v>
      </c>
      <c r="S109" t="s">
        <v>1300</v>
      </c>
      <c r="T109" t="s">
        <v>1377</v>
      </c>
      <c r="U109" t="s">
        <v>1300</v>
      </c>
      <c r="V109" t="s">
        <v>1377</v>
      </c>
      <c r="W109" t="s">
        <v>1300</v>
      </c>
      <c r="X109" t="s">
        <v>1370</v>
      </c>
      <c r="Y109" t="s">
        <v>1255</v>
      </c>
      <c r="Z109" t="s">
        <v>1255</v>
      </c>
      <c r="AA109" t="s">
        <v>1255</v>
      </c>
      <c r="AB109" t="s">
        <v>1255</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1495</v>
      </c>
      <c r="CD109" t="s">
        <v>1489</v>
      </c>
      <c r="CE109" t="s">
        <v>1496</v>
      </c>
      <c r="CF109" t="s">
        <v>1492</v>
      </c>
      <c r="CG109" t="b">
        <v>0</v>
      </c>
      <c r="CH109">
        <v>0</v>
      </c>
      <c r="CI109" t="s">
        <v>1541</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x14ac:dyDescent="0.25">
      <c r="A110">
        <v>406</v>
      </c>
      <c r="B110">
        <v>620</v>
      </c>
      <c r="C110" t="s">
        <v>1248</v>
      </c>
      <c r="D110">
        <v>1</v>
      </c>
      <c r="E110" t="s">
        <v>1489</v>
      </c>
      <c r="F110">
        <v>25</v>
      </c>
      <c r="G110">
        <v>1</v>
      </c>
      <c r="H110">
        <v>2</v>
      </c>
      <c r="I110" t="s">
        <v>387</v>
      </c>
      <c r="J110" t="s">
        <v>1295</v>
      </c>
      <c r="K110" t="s">
        <v>15</v>
      </c>
      <c r="L110" t="s">
        <v>1494</v>
      </c>
      <c r="M110" t="s">
        <v>1489</v>
      </c>
      <c r="N110" t="s">
        <v>1489</v>
      </c>
      <c r="O110" t="s">
        <v>1283</v>
      </c>
      <c r="P110" t="s">
        <v>1377</v>
      </c>
      <c r="Q110" t="s">
        <v>1283</v>
      </c>
      <c r="R110" t="s">
        <v>1377</v>
      </c>
      <c r="S110" t="s">
        <v>1283</v>
      </c>
      <c r="T110" t="s">
        <v>1377</v>
      </c>
      <c r="U110" t="s">
        <v>1283</v>
      </c>
      <c r="V110" t="s">
        <v>1377</v>
      </c>
      <c r="W110" t="s">
        <v>1283</v>
      </c>
      <c r="X110" t="s">
        <v>1370</v>
      </c>
      <c r="Y110" t="s">
        <v>1255</v>
      </c>
      <c r="Z110" t="s">
        <v>1255</v>
      </c>
      <c r="AA110" t="s">
        <v>1255</v>
      </c>
      <c r="AB110" t="s">
        <v>1255</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1495</v>
      </c>
      <c r="CD110" t="s">
        <v>1489</v>
      </c>
      <c r="CE110" t="s">
        <v>1498</v>
      </c>
      <c r="CF110" t="s">
        <v>1492</v>
      </c>
      <c r="CG110" t="b">
        <v>0</v>
      </c>
      <c r="CH110">
        <v>0</v>
      </c>
      <c r="CI110" t="s">
        <v>1541</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x14ac:dyDescent="0.25">
      <c r="A111">
        <v>405</v>
      </c>
      <c r="B111">
        <v>620</v>
      </c>
      <c r="C111" t="s">
        <v>1248</v>
      </c>
      <c r="D111">
        <v>2</v>
      </c>
      <c r="E111" t="s">
        <v>1489</v>
      </c>
      <c r="F111">
        <v>25</v>
      </c>
      <c r="G111">
        <v>1</v>
      </c>
      <c r="H111">
        <v>2</v>
      </c>
      <c r="I111" t="s">
        <v>387</v>
      </c>
      <c r="J111" t="s">
        <v>1295</v>
      </c>
      <c r="K111" t="s">
        <v>15</v>
      </c>
      <c r="L111" t="s">
        <v>1494</v>
      </c>
      <c r="M111" t="s">
        <v>1489</v>
      </c>
      <c r="N111" t="s">
        <v>1489</v>
      </c>
      <c r="O111" t="s">
        <v>1283</v>
      </c>
      <c r="P111" t="s">
        <v>1377</v>
      </c>
      <c r="Q111" t="s">
        <v>1283</v>
      </c>
      <c r="R111" t="s">
        <v>1377</v>
      </c>
      <c r="S111" t="s">
        <v>1283</v>
      </c>
      <c r="T111" t="s">
        <v>1377</v>
      </c>
      <c r="U111" t="s">
        <v>1283</v>
      </c>
      <c r="V111" t="s">
        <v>1377</v>
      </c>
      <c r="W111" t="s">
        <v>1283</v>
      </c>
      <c r="X111" t="s">
        <v>1370</v>
      </c>
      <c r="Y111" t="s">
        <v>1255</v>
      </c>
      <c r="Z111" t="s">
        <v>1255</v>
      </c>
      <c r="AA111" t="s">
        <v>1255</v>
      </c>
      <c r="AB111" t="s">
        <v>1255</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1495</v>
      </c>
      <c r="CD111" t="s">
        <v>1489</v>
      </c>
      <c r="CE111" t="s">
        <v>1498</v>
      </c>
      <c r="CF111" t="s">
        <v>1492</v>
      </c>
      <c r="CG111" t="b">
        <v>0</v>
      </c>
      <c r="CH111">
        <v>0</v>
      </c>
      <c r="CI111" t="s">
        <v>1541</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x14ac:dyDescent="0.25">
      <c r="A112">
        <v>404</v>
      </c>
      <c r="B112">
        <v>619</v>
      </c>
      <c r="C112" t="s">
        <v>1248</v>
      </c>
      <c r="D112">
        <v>1</v>
      </c>
      <c r="E112" t="s">
        <v>1489</v>
      </c>
      <c r="F112">
        <v>22</v>
      </c>
      <c r="G112">
        <v>1</v>
      </c>
      <c r="H112">
        <v>2</v>
      </c>
      <c r="I112" t="s">
        <v>562</v>
      </c>
      <c r="J112" t="s">
        <v>1295</v>
      </c>
      <c r="K112" t="s">
        <v>16</v>
      </c>
      <c r="L112" t="s">
        <v>1499</v>
      </c>
      <c r="M112" t="s">
        <v>1489</v>
      </c>
      <c r="N112" t="s">
        <v>1489</v>
      </c>
      <c r="O112" t="s">
        <v>1300</v>
      </c>
      <c r="P112" t="s">
        <v>1377</v>
      </c>
      <c r="Q112" t="s">
        <v>1300</v>
      </c>
      <c r="R112" t="s">
        <v>1377</v>
      </c>
      <c r="S112" t="s">
        <v>1300</v>
      </c>
      <c r="T112" t="s">
        <v>1377</v>
      </c>
      <c r="U112" t="s">
        <v>1300</v>
      </c>
      <c r="V112" t="s">
        <v>1377</v>
      </c>
      <c r="W112" t="s">
        <v>1300</v>
      </c>
      <c r="X112" t="s">
        <v>1370</v>
      </c>
      <c r="Y112" t="s">
        <v>1255</v>
      </c>
      <c r="Z112" t="s">
        <v>1255</v>
      </c>
      <c r="AA112" t="s">
        <v>1255</v>
      </c>
      <c r="AB112" t="s">
        <v>1255</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1495</v>
      </c>
      <c r="CD112" t="s">
        <v>1489</v>
      </c>
      <c r="CE112" t="s">
        <v>1496</v>
      </c>
      <c r="CF112" t="s">
        <v>1492</v>
      </c>
      <c r="CG112" t="b">
        <v>0</v>
      </c>
      <c r="CH112">
        <v>0</v>
      </c>
      <c r="CI112" t="s">
        <v>1541</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x14ac:dyDescent="0.25">
      <c r="A113">
        <v>403</v>
      </c>
      <c r="B113">
        <v>619</v>
      </c>
      <c r="C113" t="s">
        <v>1248</v>
      </c>
      <c r="D113">
        <v>2</v>
      </c>
      <c r="E113" t="s">
        <v>1489</v>
      </c>
      <c r="F113">
        <v>22</v>
      </c>
      <c r="G113">
        <v>1</v>
      </c>
      <c r="H113">
        <v>2</v>
      </c>
      <c r="I113" t="s">
        <v>562</v>
      </c>
      <c r="J113" t="s">
        <v>1295</v>
      </c>
      <c r="K113" t="s">
        <v>16</v>
      </c>
      <c r="L113" t="s">
        <v>1499</v>
      </c>
      <c r="M113" t="s">
        <v>1489</v>
      </c>
      <c r="N113" t="s">
        <v>1489</v>
      </c>
      <c r="O113" t="s">
        <v>1300</v>
      </c>
      <c r="P113" t="s">
        <v>1377</v>
      </c>
      <c r="Q113" t="s">
        <v>1300</v>
      </c>
      <c r="R113" t="s">
        <v>1377</v>
      </c>
      <c r="S113" t="s">
        <v>1300</v>
      </c>
      <c r="T113" t="s">
        <v>1377</v>
      </c>
      <c r="U113" t="s">
        <v>1300</v>
      </c>
      <c r="V113" t="s">
        <v>1377</v>
      </c>
      <c r="W113" t="s">
        <v>1300</v>
      </c>
      <c r="X113" t="s">
        <v>1370</v>
      </c>
      <c r="Y113" t="s">
        <v>1255</v>
      </c>
      <c r="Z113" t="s">
        <v>1255</v>
      </c>
      <c r="AA113" t="s">
        <v>1255</v>
      </c>
      <c r="AB113" t="s">
        <v>1255</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1495</v>
      </c>
      <c r="CD113" t="s">
        <v>1489</v>
      </c>
      <c r="CE113" t="s">
        <v>1496</v>
      </c>
      <c r="CF113" t="s">
        <v>1492</v>
      </c>
      <c r="CG113" t="b">
        <v>0</v>
      </c>
      <c r="CH113">
        <v>0</v>
      </c>
      <c r="CI113" t="s">
        <v>1541</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x14ac:dyDescent="0.25">
      <c r="A114">
        <v>412</v>
      </c>
      <c r="B114">
        <v>623</v>
      </c>
      <c r="C114" t="s">
        <v>1248</v>
      </c>
      <c r="D114">
        <v>1</v>
      </c>
      <c r="E114" t="s">
        <v>1489</v>
      </c>
      <c r="F114">
        <v>25</v>
      </c>
      <c r="G114">
        <v>1</v>
      </c>
      <c r="H114">
        <v>2</v>
      </c>
      <c r="I114" t="s">
        <v>842</v>
      </c>
      <c r="J114" t="s">
        <v>1295</v>
      </c>
      <c r="K114" t="s">
        <v>15</v>
      </c>
      <c r="L114" t="s">
        <v>1494</v>
      </c>
      <c r="M114" t="s">
        <v>1489</v>
      </c>
      <c r="N114" t="s">
        <v>1489</v>
      </c>
      <c r="O114" t="s">
        <v>1283</v>
      </c>
      <c r="P114" t="s">
        <v>1377</v>
      </c>
      <c r="Q114" t="s">
        <v>1283</v>
      </c>
      <c r="R114" t="s">
        <v>1377</v>
      </c>
      <c r="S114" t="s">
        <v>1283</v>
      </c>
      <c r="T114" t="s">
        <v>1377</v>
      </c>
      <c r="U114" t="s">
        <v>1283</v>
      </c>
      <c r="V114" t="s">
        <v>1377</v>
      </c>
      <c r="W114" t="s">
        <v>1283</v>
      </c>
      <c r="X114" t="s">
        <v>1370</v>
      </c>
      <c r="Y114" t="s">
        <v>1255</v>
      </c>
      <c r="Z114" t="s">
        <v>1255</v>
      </c>
      <c r="AA114" t="s">
        <v>1255</v>
      </c>
      <c r="AB114" t="s">
        <v>1255</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1251</v>
      </c>
      <c r="CD114" t="s">
        <v>1489</v>
      </c>
      <c r="CE114" t="s">
        <v>1498</v>
      </c>
      <c r="CF114" t="s">
        <v>1492</v>
      </c>
      <c r="CG114" t="b">
        <v>0</v>
      </c>
      <c r="CH114">
        <v>0</v>
      </c>
      <c r="CI114" t="s">
        <v>1525</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x14ac:dyDescent="0.25">
      <c r="A115">
        <v>411</v>
      </c>
      <c r="B115">
        <v>623</v>
      </c>
      <c r="C115" t="s">
        <v>1248</v>
      </c>
      <c r="D115">
        <v>2</v>
      </c>
      <c r="E115" t="s">
        <v>1489</v>
      </c>
      <c r="F115">
        <v>25</v>
      </c>
      <c r="G115">
        <v>1</v>
      </c>
      <c r="H115">
        <v>2</v>
      </c>
      <c r="I115" t="s">
        <v>842</v>
      </c>
      <c r="J115" t="s">
        <v>1295</v>
      </c>
      <c r="K115" t="s">
        <v>15</v>
      </c>
      <c r="L115" t="s">
        <v>1494</v>
      </c>
      <c r="M115" t="s">
        <v>1489</v>
      </c>
      <c r="N115" t="s">
        <v>1489</v>
      </c>
      <c r="O115" t="s">
        <v>1283</v>
      </c>
      <c r="P115" t="s">
        <v>1377</v>
      </c>
      <c r="Q115" t="s">
        <v>1283</v>
      </c>
      <c r="R115" t="s">
        <v>1377</v>
      </c>
      <c r="S115" t="s">
        <v>1283</v>
      </c>
      <c r="T115" t="s">
        <v>1377</v>
      </c>
      <c r="U115" t="s">
        <v>1283</v>
      </c>
      <c r="V115" t="s">
        <v>1377</v>
      </c>
      <c r="W115" t="s">
        <v>1283</v>
      </c>
      <c r="X115" t="s">
        <v>1370</v>
      </c>
      <c r="Y115" t="s">
        <v>1255</v>
      </c>
      <c r="Z115" t="s">
        <v>1255</v>
      </c>
      <c r="AA115" t="s">
        <v>1255</v>
      </c>
      <c r="AB115" t="s">
        <v>1255</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1251</v>
      </c>
      <c r="CD115" t="s">
        <v>1489</v>
      </c>
      <c r="CE115" t="s">
        <v>1498</v>
      </c>
      <c r="CF115" t="s">
        <v>1492</v>
      </c>
      <c r="CG115" t="b">
        <v>0</v>
      </c>
      <c r="CH115">
        <v>0</v>
      </c>
      <c r="CI115" t="s">
        <v>1541</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x14ac:dyDescent="0.25">
      <c r="A116">
        <v>410</v>
      </c>
      <c r="B116">
        <v>622</v>
      </c>
      <c r="C116" t="s">
        <v>1248</v>
      </c>
      <c r="D116">
        <v>1</v>
      </c>
      <c r="E116" t="s">
        <v>1489</v>
      </c>
      <c r="F116">
        <v>22</v>
      </c>
      <c r="G116">
        <v>1</v>
      </c>
      <c r="H116">
        <v>2</v>
      </c>
      <c r="I116" t="s">
        <v>578</v>
      </c>
      <c r="J116" t="s">
        <v>1295</v>
      </c>
      <c r="K116" t="s">
        <v>16</v>
      </c>
      <c r="L116" t="s">
        <v>1499</v>
      </c>
      <c r="M116" t="s">
        <v>1489</v>
      </c>
      <c r="N116" t="s">
        <v>1489</v>
      </c>
      <c r="O116" t="s">
        <v>1300</v>
      </c>
      <c r="P116" t="s">
        <v>1377</v>
      </c>
      <c r="Q116" t="s">
        <v>1300</v>
      </c>
      <c r="R116" t="s">
        <v>1377</v>
      </c>
      <c r="S116" t="s">
        <v>1300</v>
      </c>
      <c r="T116" t="s">
        <v>1377</v>
      </c>
      <c r="U116" t="s">
        <v>1300</v>
      </c>
      <c r="V116" t="s">
        <v>1377</v>
      </c>
      <c r="W116" t="s">
        <v>1300</v>
      </c>
      <c r="X116" t="s">
        <v>1370</v>
      </c>
      <c r="Y116" t="s">
        <v>1255</v>
      </c>
      <c r="Z116" t="s">
        <v>1255</v>
      </c>
      <c r="AA116" t="s">
        <v>1255</v>
      </c>
      <c r="AB116" t="s">
        <v>1255</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1495</v>
      </c>
      <c r="CD116" t="s">
        <v>1489</v>
      </c>
      <c r="CE116" t="s">
        <v>1498</v>
      </c>
      <c r="CF116" t="s">
        <v>1492</v>
      </c>
      <c r="CG116" t="b">
        <v>0</v>
      </c>
      <c r="CH116">
        <v>0</v>
      </c>
      <c r="CI116" t="s">
        <v>1541</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x14ac:dyDescent="0.25">
      <c r="A117">
        <v>409</v>
      </c>
      <c r="B117">
        <v>622</v>
      </c>
      <c r="C117" t="s">
        <v>1248</v>
      </c>
      <c r="D117">
        <v>2</v>
      </c>
      <c r="E117" t="s">
        <v>1489</v>
      </c>
      <c r="F117">
        <v>22</v>
      </c>
      <c r="G117">
        <v>1</v>
      </c>
      <c r="H117">
        <v>2</v>
      </c>
      <c r="I117" t="s">
        <v>578</v>
      </c>
      <c r="J117" t="s">
        <v>1295</v>
      </c>
      <c r="K117" t="s">
        <v>16</v>
      </c>
      <c r="L117" t="s">
        <v>1499</v>
      </c>
      <c r="M117" t="s">
        <v>1489</v>
      </c>
      <c r="N117" t="s">
        <v>1489</v>
      </c>
      <c r="O117" t="s">
        <v>1300</v>
      </c>
      <c r="P117" t="s">
        <v>1377</v>
      </c>
      <c r="Q117" t="s">
        <v>1300</v>
      </c>
      <c r="R117" t="s">
        <v>1377</v>
      </c>
      <c r="S117" t="s">
        <v>1300</v>
      </c>
      <c r="T117" t="s">
        <v>1377</v>
      </c>
      <c r="U117" t="s">
        <v>1300</v>
      </c>
      <c r="V117" t="s">
        <v>1377</v>
      </c>
      <c r="W117" t="s">
        <v>1300</v>
      </c>
      <c r="X117" t="s">
        <v>1370</v>
      </c>
      <c r="Y117" t="s">
        <v>1255</v>
      </c>
      <c r="Z117" t="s">
        <v>1255</v>
      </c>
      <c r="AA117" t="s">
        <v>1255</v>
      </c>
      <c r="AB117" t="s">
        <v>1255</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1495</v>
      </c>
      <c r="CD117" t="s">
        <v>1489</v>
      </c>
      <c r="CE117" t="s">
        <v>1498</v>
      </c>
      <c r="CF117" t="s">
        <v>1492</v>
      </c>
      <c r="CG117" t="b">
        <v>0</v>
      </c>
      <c r="CH117">
        <v>0</v>
      </c>
      <c r="CI117" t="s">
        <v>1541</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x14ac:dyDescent="0.25">
      <c r="A118">
        <v>422</v>
      </c>
      <c r="B118">
        <v>631</v>
      </c>
      <c r="C118" t="s">
        <v>1248</v>
      </c>
      <c r="D118">
        <v>1</v>
      </c>
      <c r="E118" t="s">
        <v>1489</v>
      </c>
      <c r="F118">
        <v>30</v>
      </c>
      <c r="G118">
        <v>1</v>
      </c>
      <c r="H118">
        <v>2</v>
      </c>
      <c r="I118" t="s">
        <v>1001</v>
      </c>
      <c r="J118" t="s">
        <v>1295</v>
      </c>
      <c r="K118" t="s">
        <v>15</v>
      </c>
      <c r="L118" t="s">
        <v>1494</v>
      </c>
      <c r="M118" t="s">
        <v>1489</v>
      </c>
      <c r="N118" t="s">
        <v>1489</v>
      </c>
      <c r="O118" t="s">
        <v>1283</v>
      </c>
      <c r="P118" t="s">
        <v>1377</v>
      </c>
      <c r="Q118" t="s">
        <v>1283</v>
      </c>
      <c r="R118" t="s">
        <v>1377</v>
      </c>
      <c r="S118" t="s">
        <v>1283</v>
      </c>
      <c r="T118" t="s">
        <v>1377</v>
      </c>
      <c r="U118" t="s">
        <v>1283</v>
      </c>
      <c r="V118" t="s">
        <v>1377</v>
      </c>
      <c r="W118" t="s">
        <v>1283</v>
      </c>
      <c r="X118" t="s">
        <v>1370</v>
      </c>
      <c r="Y118" t="s">
        <v>1255</v>
      </c>
      <c r="Z118" t="s">
        <v>1255</v>
      </c>
      <c r="AA118" t="s">
        <v>1255</v>
      </c>
      <c r="AB118" t="s">
        <v>1255</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1495</v>
      </c>
      <c r="CD118" t="s">
        <v>1489</v>
      </c>
      <c r="CE118" t="s">
        <v>1496</v>
      </c>
      <c r="CF118" t="s">
        <v>1492</v>
      </c>
      <c r="CG118" t="b">
        <v>0</v>
      </c>
      <c r="CH118">
        <v>0</v>
      </c>
      <c r="CI118" t="s">
        <v>1541</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x14ac:dyDescent="0.25">
      <c r="A119">
        <v>421</v>
      </c>
      <c r="B119">
        <v>631</v>
      </c>
      <c r="C119" t="s">
        <v>1248</v>
      </c>
      <c r="D119">
        <v>2</v>
      </c>
      <c r="E119" t="s">
        <v>1489</v>
      </c>
      <c r="F119">
        <v>30</v>
      </c>
      <c r="G119">
        <v>1</v>
      </c>
      <c r="H119">
        <v>2</v>
      </c>
      <c r="I119" t="s">
        <v>1001</v>
      </c>
      <c r="J119" t="s">
        <v>1295</v>
      </c>
      <c r="K119" t="s">
        <v>15</v>
      </c>
      <c r="L119" t="s">
        <v>1494</v>
      </c>
      <c r="M119" t="s">
        <v>1489</v>
      </c>
      <c r="N119" t="s">
        <v>1489</v>
      </c>
      <c r="O119" t="s">
        <v>1283</v>
      </c>
      <c r="P119" t="s">
        <v>1377</v>
      </c>
      <c r="Q119" t="s">
        <v>1283</v>
      </c>
      <c r="R119" t="s">
        <v>1377</v>
      </c>
      <c r="S119" t="s">
        <v>1283</v>
      </c>
      <c r="T119" t="s">
        <v>1377</v>
      </c>
      <c r="U119" t="s">
        <v>1283</v>
      </c>
      <c r="V119" t="s">
        <v>1377</v>
      </c>
      <c r="W119" t="s">
        <v>1283</v>
      </c>
      <c r="X119" t="s">
        <v>1370</v>
      </c>
      <c r="Y119" t="s">
        <v>1255</v>
      </c>
      <c r="Z119" t="s">
        <v>1255</v>
      </c>
      <c r="AA119" t="s">
        <v>1255</v>
      </c>
      <c r="AB119" t="s">
        <v>1255</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1495</v>
      </c>
      <c r="CD119" t="s">
        <v>1489</v>
      </c>
      <c r="CE119" t="s">
        <v>1496</v>
      </c>
      <c r="CF119" t="s">
        <v>1492</v>
      </c>
      <c r="CG119" t="b">
        <v>0</v>
      </c>
      <c r="CH119">
        <v>0</v>
      </c>
      <c r="CI119" t="s">
        <v>1541</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x14ac:dyDescent="0.25">
      <c r="A120">
        <v>461</v>
      </c>
      <c r="B120">
        <v>99998</v>
      </c>
      <c r="C120" t="s">
        <v>1248</v>
      </c>
      <c r="D120">
        <v>2</v>
      </c>
      <c r="E120" t="s">
        <v>1489</v>
      </c>
      <c r="F120">
        <v>30</v>
      </c>
      <c r="G120">
        <v>1</v>
      </c>
      <c r="H120">
        <v>2</v>
      </c>
      <c r="I120" t="s">
        <v>1001</v>
      </c>
      <c r="J120" t="s">
        <v>1295</v>
      </c>
      <c r="K120" t="s">
        <v>15</v>
      </c>
      <c r="L120" t="s">
        <v>1494</v>
      </c>
      <c r="M120" t="s">
        <v>1489</v>
      </c>
      <c r="N120" t="s">
        <v>1489</v>
      </c>
      <c r="O120" t="s">
        <v>1300</v>
      </c>
      <c r="P120" t="s">
        <v>1377</v>
      </c>
      <c r="Q120" t="s">
        <v>1300</v>
      </c>
      <c r="R120" t="s">
        <v>1377</v>
      </c>
      <c r="S120" t="s">
        <v>1300</v>
      </c>
      <c r="T120" t="s">
        <v>1377</v>
      </c>
      <c r="U120" t="s">
        <v>1283</v>
      </c>
      <c r="V120" t="s">
        <v>1377</v>
      </c>
      <c r="W120" t="s">
        <v>1283</v>
      </c>
      <c r="X120" t="s">
        <v>1370</v>
      </c>
      <c r="Y120" t="s">
        <v>1255</v>
      </c>
      <c r="Z120" t="s">
        <v>1255</v>
      </c>
      <c r="AA120" t="s">
        <v>1255</v>
      </c>
      <c r="AB120" t="s">
        <v>1255</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1251</v>
      </c>
      <c r="CD120" t="s">
        <v>1489</v>
      </c>
      <c r="CE120" t="s">
        <v>1498</v>
      </c>
      <c r="CF120" t="s">
        <v>1492</v>
      </c>
      <c r="CG120" t="b">
        <v>0</v>
      </c>
      <c r="CH120">
        <v>0</v>
      </c>
      <c r="CI120" t="s">
        <v>1541</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x14ac:dyDescent="0.25">
      <c r="A121">
        <v>462</v>
      </c>
      <c r="B121">
        <v>99998</v>
      </c>
      <c r="C121" t="s">
        <v>1248</v>
      </c>
      <c r="D121">
        <v>2</v>
      </c>
      <c r="E121" t="s">
        <v>1489</v>
      </c>
      <c r="F121">
        <v>30</v>
      </c>
      <c r="G121">
        <v>1</v>
      </c>
      <c r="H121">
        <v>2</v>
      </c>
      <c r="I121" t="s">
        <v>1001</v>
      </c>
      <c r="J121" t="s">
        <v>1295</v>
      </c>
      <c r="K121" t="s">
        <v>15</v>
      </c>
      <c r="L121" t="s">
        <v>1494</v>
      </c>
      <c r="M121" t="s">
        <v>1489</v>
      </c>
      <c r="N121" t="s">
        <v>1489</v>
      </c>
      <c r="O121" t="s">
        <v>1283</v>
      </c>
      <c r="P121" t="s">
        <v>1377</v>
      </c>
      <c r="Q121" t="s">
        <v>1283</v>
      </c>
      <c r="R121" t="s">
        <v>1377</v>
      </c>
      <c r="S121" t="s">
        <v>1283</v>
      </c>
      <c r="T121" t="s">
        <v>1377</v>
      </c>
      <c r="U121" t="s">
        <v>1283</v>
      </c>
      <c r="V121" t="s">
        <v>1377</v>
      </c>
      <c r="W121" t="s">
        <v>1283</v>
      </c>
      <c r="X121" t="s">
        <v>1370</v>
      </c>
      <c r="Y121" t="s">
        <v>1255</v>
      </c>
      <c r="Z121" t="s">
        <v>1255</v>
      </c>
      <c r="AA121" t="s">
        <v>1255</v>
      </c>
      <c r="AB121" t="s">
        <v>1255</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1251</v>
      </c>
      <c r="CD121" t="s">
        <v>1489</v>
      </c>
      <c r="CE121" t="s">
        <v>1498</v>
      </c>
      <c r="CF121" t="s">
        <v>1492</v>
      </c>
      <c r="CG121" t="b">
        <v>0</v>
      </c>
      <c r="CH121">
        <v>0</v>
      </c>
      <c r="CI121" t="s">
        <v>1541</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x14ac:dyDescent="0.25">
      <c r="A122">
        <v>424</v>
      </c>
      <c r="B122">
        <v>632</v>
      </c>
      <c r="C122" t="s">
        <v>1248</v>
      </c>
      <c r="D122">
        <v>1</v>
      </c>
      <c r="E122" t="s">
        <v>1489</v>
      </c>
      <c r="F122">
        <v>10</v>
      </c>
      <c r="G122">
        <v>1</v>
      </c>
      <c r="H122">
        <v>2</v>
      </c>
      <c r="I122" t="s">
        <v>578</v>
      </c>
      <c r="J122" t="s">
        <v>1295</v>
      </c>
      <c r="K122" t="s">
        <v>16</v>
      </c>
      <c r="L122" t="s">
        <v>1499</v>
      </c>
      <c r="M122" t="s">
        <v>1489</v>
      </c>
      <c r="N122" t="s">
        <v>1489</v>
      </c>
      <c r="O122" t="s">
        <v>1300</v>
      </c>
      <c r="P122" t="s">
        <v>1377</v>
      </c>
      <c r="Q122" t="s">
        <v>1300</v>
      </c>
      <c r="R122" t="s">
        <v>1377</v>
      </c>
      <c r="S122" t="s">
        <v>1300</v>
      </c>
      <c r="T122" t="s">
        <v>1377</v>
      </c>
      <c r="U122" t="s">
        <v>1300</v>
      </c>
      <c r="V122" t="s">
        <v>1377</v>
      </c>
      <c r="W122" t="s">
        <v>1300</v>
      </c>
      <c r="X122" t="s">
        <v>1370</v>
      </c>
      <c r="Y122" t="s">
        <v>1255</v>
      </c>
      <c r="Z122" t="s">
        <v>1255</v>
      </c>
      <c r="AA122" t="s">
        <v>1255</v>
      </c>
      <c r="AB122" t="s">
        <v>1255</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1495</v>
      </c>
      <c r="CD122" t="s">
        <v>1489</v>
      </c>
      <c r="CE122" t="s">
        <v>1498</v>
      </c>
      <c r="CF122" t="s">
        <v>1492</v>
      </c>
      <c r="CG122" t="b">
        <v>0</v>
      </c>
      <c r="CH122">
        <v>0</v>
      </c>
      <c r="CI122" t="s">
        <v>1541</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x14ac:dyDescent="0.25">
      <c r="A123">
        <v>423</v>
      </c>
      <c r="B123">
        <v>632</v>
      </c>
      <c r="C123" t="s">
        <v>1248</v>
      </c>
      <c r="D123">
        <v>2</v>
      </c>
      <c r="E123" t="s">
        <v>1489</v>
      </c>
      <c r="F123">
        <v>10</v>
      </c>
      <c r="G123">
        <v>1</v>
      </c>
      <c r="H123">
        <v>2</v>
      </c>
      <c r="I123" t="s">
        <v>578</v>
      </c>
      <c r="J123" t="s">
        <v>1295</v>
      </c>
      <c r="K123" t="s">
        <v>16</v>
      </c>
      <c r="L123" t="s">
        <v>1499</v>
      </c>
      <c r="M123" t="s">
        <v>1489</v>
      </c>
      <c r="N123" t="s">
        <v>1489</v>
      </c>
      <c r="O123" t="s">
        <v>1300</v>
      </c>
      <c r="P123" t="s">
        <v>1377</v>
      </c>
      <c r="Q123" t="s">
        <v>1300</v>
      </c>
      <c r="R123" t="s">
        <v>1377</v>
      </c>
      <c r="S123" t="s">
        <v>1300</v>
      </c>
      <c r="T123" t="s">
        <v>1377</v>
      </c>
      <c r="U123" t="s">
        <v>1300</v>
      </c>
      <c r="V123" t="s">
        <v>1377</v>
      </c>
      <c r="W123" t="s">
        <v>1300</v>
      </c>
      <c r="X123" t="s">
        <v>1370</v>
      </c>
      <c r="Y123" t="s">
        <v>1255</v>
      </c>
      <c r="Z123" t="s">
        <v>1255</v>
      </c>
      <c r="AA123" t="s">
        <v>1255</v>
      </c>
      <c r="AB123" t="s">
        <v>1255</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1495</v>
      </c>
      <c r="CD123" t="s">
        <v>1489</v>
      </c>
      <c r="CE123" t="s">
        <v>1498</v>
      </c>
      <c r="CF123" t="s">
        <v>1492</v>
      </c>
      <c r="CG123" t="b">
        <v>0</v>
      </c>
      <c r="CH123">
        <v>0</v>
      </c>
      <c r="CI123" t="s">
        <v>1541</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x14ac:dyDescent="0.25">
      <c r="A124">
        <v>414</v>
      </c>
      <c r="B124">
        <v>625</v>
      </c>
      <c r="C124" t="s">
        <v>1248</v>
      </c>
      <c r="D124">
        <v>1</v>
      </c>
      <c r="E124" t="s">
        <v>1489</v>
      </c>
      <c r="F124">
        <v>30</v>
      </c>
      <c r="G124">
        <v>1</v>
      </c>
      <c r="H124">
        <v>2</v>
      </c>
      <c r="I124" t="s">
        <v>973</v>
      </c>
      <c r="J124" t="s">
        <v>1295</v>
      </c>
      <c r="K124" t="s">
        <v>15</v>
      </c>
      <c r="L124" t="s">
        <v>1494</v>
      </c>
      <c r="M124" t="s">
        <v>1489</v>
      </c>
      <c r="N124" t="s">
        <v>1489</v>
      </c>
      <c r="O124" t="s">
        <v>1283</v>
      </c>
      <c r="P124" t="s">
        <v>1377</v>
      </c>
      <c r="Q124" t="s">
        <v>1283</v>
      </c>
      <c r="R124" t="s">
        <v>1377</v>
      </c>
      <c r="S124" t="s">
        <v>1283</v>
      </c>
      <c r="T124" t="s">
        <v>1377</v>
      </c>
      <c r="U124" t="s">
        <v>1283</v>
      </c>
      <c r="V124" t="s">
        <v>1377</v>
      </c>
      <c r="W124" t="s">
        <v>1283</v>
      </c>
      <c r="X124" t="s">
        <v>1370</v>
      </c>
      <c r="Y124" t="s">
        <v>1255</v>
      </c>
      <c r="Z124" t="s">
        <v>1255</v>
      </c>
      <c r="AA124" t="s">
        <v>1255</v>
      </c>
      <c r="AB124" t="s">
        <v>1255</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1495</v>
      </c>
      <c r="CD124" t="s">
        <v>1489</v>
      </c>
      <c r="CE124" t="s">
        <v>1496</v>
      </c>
      <c r="CF124" t="s">
        <v>1492</v>
      </c>
      <c r="CG124" t="b">
        <v>0</v>
      </c>
      <c r="CH124">
        <v>0</v>
      </c>
      <c r="CI124" t="s">
        <v>1541</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x14ac:dyDescent="0.25">
      <c r="A125">
        <v>413</v>
      </c>
      <c r="B125">
        <v>625</v>
      </c>
      <c r="C125" t="s">
        <v>1248</v>
      </c>
      <c r="D125">
        <v>2</v>
      </c>
      <c r="E125" t="s">
        <v>1489</v>
      </c>
      <c r="F125">
        <v>30</v>
      </c>
      <c r="G125">
        <v>1</v>
      </c>
      <c r="H125">
        <v>2</v>
      </c>
      <c r="I125" t="s">
        <v>973</v>
      </c>
      <c r="J125" t="s">
        <v>1295</v>
      </c>
      <c r="K125" t="s">
        <v>15</v>
      </c>
      <c r="L125" t="s">
        <v>1494</v>
      </c>
      <c r="M125" t="s">
        <v>1489</v>
      </c>
      <c r="N125" t="s">
        <v>1489</v>
      </c>
      <c r="O125" t="s">
        <v>1283</v>
      </c>
      <c r="P125" t="s">
        <v>1377</v>
      </c>
      <c r="Q125" t="s">
        <v>1283</v>
      </c>
      <c r="R125" t="s">
        <v>1377</v>
      </c>
      <c r="S125" t="s">
        <v>1283</v>
      </c>
      <c r="T125" t="s">
        <v>1377</v>
      </c>
      <c r="U125" t="s">
        <v>1283</v>
      </c>
      <c r="V125" t="s">
        <v>1377</v>
      </c>
      <c r="W125" t="s">
        <v>1283</v>
      </c>
      <c r="X125" t="s">
        <v>1370</v>
      </c>
      <c r="Y125" t="s">
        <v>1255</v>
      </c>
      <c r="Z125" t="s">
        <v>1255</v>
      </c>
      <c r="AA125" t="s">
        <v>1255</v>
      </c>
      <c r="AB125" t="s">
        <v>1255</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1495</v>
      </c>
      <c r="CD125" t="s">
        <v>1489</v>
      </c>
      <c r="CE125" t="s">
        <v>1496</v>
      </c>
      <c r="CF125" t="s">
        <v>1492</v>
      </c>
      <c r="CG125" t="b">
        <v>0</v>
      </c>
      <c r="CH125">
        <v>0</v>
      </c>
      <c r="CI125" t="s">
        <v>1541</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x14ac:dyDescent="0.25">
      <c r="A126">
        <v>463</v>
      </c>
      <c r="B126">
        <v>99999</v>
      </c>
      <c r="C126" t="s">
        <v>1248</v>
      </c>
      <c r="D126">
        <v>1</v>
      </c>
      <c r="E126" t="s">
        <v>1489</v>
      </c>
      <c r="F126">
        <v>30</v>
      </c>
      <c r="G126">
        <v>1</v>
      </c>
      <c r="H126">
        <v>2</v>
      </c>
      <c r="I126" t="s">
        <v>973</v>
      </c>
      <c r="J126" t="s">
        <v>1295</v>
      </c>
      <c r="K126" t="s">
        <v>15</v>
      </c>
      <c r="L126" t="s">
        <v>1494</v>
      </c>
      <c r="M126" t="s">
        <v>1489</v>
      </c>
      <c r="N126" t="s">
        <v>1489</v>
      </c>
      <c r="O126" t="s">
        <v>1283</v>
      </c>
      <c r="P126" t="s">
        <v>1377</v>
      </c>
      <c r="Q126" t="s">
        <v>1283</v>
      </c>
      <c r="R126" t="s">
        <v>1377</v>
      </c>
      <c r="S126" t="s">
        <v>1283</v>
      </c>
      <c r="T126" t="s">
        <v>1377</v>
      </c>
      <c r="U126" t="s">
        <v>1283</v>
      </c>
      <c r="V126" t="s">
        <v>1377</v>
      </c>
      <c r="W126" t="s">
        <v>1283</v>
      </c>
      <c r="X126" t="s">
        <v>1370</v>
      </c>
      <c r="Y126" t="s">
        <v>1255</v>
      </c>
      <c r="Z126" t="s">
        <v>1255</v>
      </c>
      <c r="AA126" t="s">
        <v>1255</v>
      </c>
      <c r="AB126" t="s">
        <v>1255</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1251</v>
      </c>
      <c r="CD126" t="s">
        <v>1489</v>
      </c>
      <c r="CE126" t="s">
        <v>1498</v>
      </c>
      <c r="CF126" t="s">
        <v>1492</v>
      </c>
      <c r="CG126" t="b">
        <v>0</v>
      </c>
      <c r="CH126">
        <v>0</v>
      </c>
      <c r="CI126" t="s">
        <v>1541</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x14ac:dyDescent="0.25">
      <c r="A127">
        <v>464</v>
      </c>
      <c r="B127">
        <v>99999</v>
      </c>
      <c r="C127" t="s">
        <v>1248</v>
      </c>
      <c r="D127">
        <v>2</v>
      </c>
      <c r="E127" t="s">
        <v>1489</v>
      </c>
      <c r="F127">
        <v>30</v>
      </c>
      <c r="G127">
        <v>1</v>
      </c>
      <c r="H127">
        <v>2</v>
      </c>
      <c r="I127" t="s">
        <v>973</v>
      </c>
      <c r="J127" t="s">
        <v>1295</v>
      </c>
      <c r="K127" t="s">
        <v>15</v>
      </c>
      <c r="L127" t="s">
        <v>1494</v>
      </c>
      <c r="M127" t="s">
        <v>1489</v>
      </c>
      <c r="N127" t="s">
        <v>1489</v>
      </c>
      <c r="O127" t="s">
        <v>1283</v>
      </c>
      <c r="P127" t="s">
        <v>1377</v>
      </c>
      <c r="Q127" t="s">
        <v>1283</v>
      </c>
      <c r="R127" t="s">
        <v>1377</v>
      </c>
      <c r="S127" t="s">
        <v>1283</v>
      </c>
      <c r="T127" t="s">
        <v>1377</v>
      </c>
      <c r="U127" t="s">
        <v>1283</v>
      </c>
      <c r="V127" t="s">
        <v>1377</v>
      </c>
      <c r="W127" t="s">
        <v>1283</v>
      </c>
      <c r="X127" t="s">
        <v>1370</v>
      </c>
      <c r="Y127" t="s">
        <v>1255</v>
      </c>
      <c r="Z127" t="s">
        <v>1255</v>
      </c>
      <c r="AA127" t="s">
        <v>1255</v>
      </c>
      <c r="AB127" t="s">
        <v>1255</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1251</v>
      </c>
      <c r="CD127" t="s">
        <v>1489</v>
      </c>
      <c r="CE127" t="s">
        <v>1498</v>
      </c>
      <c r="CF127" t="s">
        <v>1492</v>
      </c>
      <c r="CG127" t="b">
        <v>0</v>
      </c>
      <c r="CH127">
        <v>0</v>
      </c>
      <c r="CI127" t="s">
        <v>1541</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x14ac:dyDescent="0.25">
      <c r="A128">
        <v>415</v>
      </c>
      <c r="B128">
        <v>626</v>
      </c>
      <c r="C128" t="s">
        <v>1248</v>
      </c>
      <c r="D128">
        <v>1</v>
      </c>
      <c r="E128" t="s">
        <v>1489</v>
      </c>
      <c r="F128">
        <v>12</v>
      </c>
      <c r="G128">
        <v>1</v>
      </c>
      <c r="H128">
        <v>2</v>
      </c>
      <c r="I128" t="s">
        <v>578</v>
      </c>
      <c r="J128" t="s">
        <v>1295</v>
      </c>
      <c r="K128" t="s">
        <v>16</v>
      </c>
      <c r="L128" t="s">
        <v>1499</v>
      </c>
      <c r="M128" t="s">
        <v>1489</v>
      </c>
      <c r="N128" t="s">
        <v>1489</v>
      </c>
      <c r="O128" t="s">
        <v>1300</v>
      </c>
      <c r="P128" t="s">
        <v>1377</v>
      </c>
      <c r="Q128" t="s">
        <v>1300</v>
      </c>
      <c r="R128" t="s">
        <v>1377</v>
      </c>
      <c r="S128" t="s">
        <v>1300</v>
      </c>
      <c r="T128" t="s">
        <v>1377</v>
      </c>
      <c r="U128" t="s">
        <v>1300</v>
      </c>
      <c r="V128" t="s">
        <v>1377</v>
      </c>
      <c r="W128" t="s">
        <v>1300</v>
      </c>
      <c r="X128" t="s">
        <v>1370</v>
      </c>
      <c r="Y128" t="s">
        <v>1255</v>
      </c>
      <c r="Z128" t="s">
        <v>1255</v>
      </c>
      <c r="AA128" t="s">
        <v>1255</v>
      </c>
      <c r="AB128" t="s">
        <v>1255</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1495</v>
      </c>
      <c r="CD128" t="s">
        <v>1489</v>
      </c>
      <c r="CE128" t="s">
        <v>1496</v>
      </c>
      <c r="CF128" t="s">
        <v>1492</v>
      </c>
      <c r="CG128" t="b">
        <v>0</v>
      </c>
      <c r="CH128">
        <v>0</v>
      </c>
      <c r="CI128" t="s">
        <v>1541</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x14ac:dyDescent="0.25">
      <c r="A129">
        <v>416</v>
      </c>
      <c r="B129">
        <v>626</v>
      </c>
      <c r="C129" t="s">
        <v>1248</v>
      </c>
      <c r="D129">
        <v>2</v>
      </c>
      <c r="E129" t="s">
        <v>1489</v>
      </c>
      <c r="F129">
        <v>12</v>
      </c>
      <c r="G129">
        <v>1</v>
      </c>
      <c r="H129">
        <v>2</v>
      </c>
      <c r="I129" t="s">
        <v>578</v>
      </c>
      <c r="J129" t="s">
        <v>1295</v>
      </c>
      <c r="K129" t="s">
        <v>16</v>
      </c>
      <c r="L129" t="s">
        <v>1499</v>
      </c>
      <c r="M129" t="s">
        <v>1489</v>
      </c>
      <c r="N129" t="s">
        <v>1489</v>
      </c>
      <c r="O129" t="s">
        <v>1300</v>
      </c>
      <c r="P129" t="s">
        <v>1377</v>
      </c>
      <c r="Q129" t="s">
        <v>1300</v>
      </c>
      <c r="R129" t="s">
        <v>1377</v>
      </c>
      <c r="S129" t="s">
        <v>1300</v>
      </c>
      <c r="T129" t="s">
        <v>1377</v>
      </c>
      <c r="U129" t="s">
        <v>1300</v>
      </c>
      <c r="V129" t="s">
        <v>1377</v>
      </c>
      <c r="W129" t="s">
        <v>1300</v>
      </c>
      <c r="X129" t="s">
        <v>1370</v>
      </c>
      <c r="Y129" t="s">
        <v>1255</v>
      </c>
      <c r="Z129" t="s">
        <v>1255</v>
      </c>
      <c r="AA129" t="s">
        <v>1255</v>
      </c>
      <c r="AB129" t="s">
        <v>1255</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1495</v>
      </c>
      <c r="CD129" t="s">
        <v>1489</v>
      </c>
      <c r="CE129" t="s">
        <v>1496</v>
      </c>
      <c r="CF129" t="s">
        <v>1492</v>
      </c>
      <c r="CG129" t="b">
        <v>0</v>
      </c>
      <c r="CH129">
        <v>0</v>
      </c>
      <c r="CI129" t="s">
        <v>1541</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x14ac:dyDescent="0.25">
      <c r="A130">
        <v>418</v>
      </c>
      <c r="B130">
        <v>627</v>
      </c>
      <c r="C130" t="s">
        <v>1248</v>
      </c>
      <c r="D130">
        <v>1</v>
      </c>
      <c r="E130" t="s">
        <v>1489</v>
      </c>
      <c r="F130">
        <v>30</v>
      </c>
      <c r="G130">
        <v>1</v>
      </c>
      <c r="H130">
        <v>2</v>
      </c>
      <c r="I130" t="s">
        <v>842</v>
      </c>
      <c r="J130" t="s">
        <v>1295</v>
      </c>
      <c r="K130" t="s">
        <v>15</v>
      </c>
      <c r="L130" t="s">
        <v>1494</v>
      </c>
      <c r="M130" t="s">
        <v>1489</v>
      </c>
      <c r="N130" t="s">
        <v>1489</v>
      </c>
      <c r="O130" t="s">
        <v>1283</v>
      </c>
      <c r="P130" t="s">
        <v>1377</v>
      </c>
      <c r="Q130" t="s">
        <v>1283</v>
      </c>
      <c r="R130" t="s">
        <v>1377</v>
      </c>
      <c r="S130" t="s">
        <v>1283</v>
      </c>
      <c r="T130" t="s">
        <v>1377</v>
      </c>
      <c r="U130" t="s">
        <v>1283</v>
      </c>
      <c r="V130" t="s">
        <v>1377</v>
      </c>
      <c r="W130" t="s">
        <v>1283</v>
      </c>
      <c r="X130" t="s">
        <v>1370</v>
      </c>
      <c r="Y130" t="s">
        <v>1255</v>
      </c>
      <c r="Z130" t="s">
        <v>1255</v>
      </c>
      <c r="AA130" t="s">
        <v>1255</v>
      </c>
      <c r="AB130" t="s">
        <v>1255</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1495</v>
      </c>
      <c r="CD130" t="s">
        <v>1489</v>
      </c>
      <c r="CE130" t="s">
        <v>1496</v>
      </c>
      <c r="CF130" t="s">
        <v>1492</v>
      </c>
      <c r="CG130" t="b">
        <v>0</v>
      </c>
      <c r="CH130">
        <v>0</v>
      </c>
      <c r="CI130" t="s">
        <v>1541</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x14ac:dyDescent="0.25">
      <c r="A131">
        <v>417</v>
      </c>
      <c r="B131">
        <v>627</v>
      </c>
      <c r="C131" t="s">
        <v>1248</v>
      </c>
      <c r="D131">
        <v>2</v>
      </c>
      <c r="E131" t="s">
        <v>1489</v>
      </c>
      <c r="F131">
        <v>30</v>
      </c>
      <c r="G131">
        <v>1</v>
      </c>
      <c r="H131">
        <v>2</v>
      </c>
      <c r="I131" t="s">
        <v>842</v>
      </c>
      <c r="J131" t="s">
        <v>1295</v>
      </c>
      <c r="K131" t="s">
        <v>15</v>
      </c>
      <c r="L131" t="s">
        <v>1494</v>
      </c>
      <c r="M131" t="s">
        <v>1489</v>
      </c>
      <c r="N131" t="s">
        <v>1489</v>
      </c>
      <c r="O131" t="s">
        <v>1283</v>
      </c>
      <c r="P131" t="s">
        <v>1377</v>
      </c>
      <c r="Q131" t="s">
        <v>1283</v>
      </c>
      <c r="R131" t="s">
        <v>1377</v>
      </c>
      <c r="S131" t="s">
        <v>1283</v>
      </c>
      <c r="T131" t="s">
        <v>1377</v>
      </c>
      <c r="U131" t="s">
        <v>1283</v>
      </c>
      <c r="V131" t="s">
        <v>1377</v>
      </c>
      <c r="W131" t="s">
        <v>1283</v>
      </c>
      <c r="X131" t="s">
        <v>1370</v>
      </c>
      <c r="Y131" t="s">
        <v>1255</v>
      </c>
      <c r="Z131" t="s">
        <v>1255</v>
      </c>
      <c r="AA131" t="s">
        <v>1255</v>
      </c>
      <c r="AB131" t="s">
        <v>1255</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1495</v>
      </c>
      <c r="CD131" t="s">
        <v>1489</v>
      </c>
      <c r="CE131" t="s">
        <v>1496</v>
      </c>
      <c r="CF131" t="s">
        <v>1492</v>
      </c>
      <c r="CG131" t="b">
        <v>1</v>
      </c>
      <c r="CH131">
        <v>0</v>
      </c>
      <c r="CI131" t="s">
        <v>1541</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x14ac:dyDescent="0.25">
      <c r="A132">
        <v>465</v>
      </c>
      <c r="B132">
        <v>100000</v>
      </c>
      <c r="C132" t="s">
        <v>1248</v>
      </c>
      <c r="D132">
        <v>1</v>
      </c>
      <c r="E132" t="s">
        <v>1489</v>
      </c>
      <c r="F132">
        <v>30</v>
      </c>
      <c r="G132">
        <v>1</v>
      </c>
      <c r="H132">
        <v>2</v>
      </c>
      <c r="I132" t="s">
        <v>842</v>
      </c>
      <c r="J132" t="s">
        <v>1295</v>
      </c>
      <c r="K132" t="s">
        <v>15</v>
      </c>
      <c r="L132" t="s">
        <v>1494</v>
      </c>
      <c r="M132" t="s">
        <v>1489</v>
      </c>
      <c r="N132" t="s">
        <v>1489</v>
      </c>
      <c r="O132" t="s">
        <v>1283</v>
      </c>
      <c r="P132" t="s">
        <v>1377</v>
      </c>
      <c r="Q132" t="s">
        <v>1283</v>
      </c>
      <c r="R132" t="s">
        <v>1377</v>
      </c>
      <c r="S132" t="s">
        <v>1283</v>
      </c>
      <c r="T132" t="s">
        <v>1377</v>
      </c>
      <c r="U132" t="s">
        <v>1283</v>
      </c>
      <c r="V132" t="s">
        <v>1377</v>
      </c>
      <c r="W132" t="s">
        <v>1283</v>
      </c>
      <c r="X132" t="s">
        <v>1370</v>
      </c>
      <c r="Y132" t="s">
        <v>1255</v>
      </c>
      <c r="Z132" t="s">
        <v>1255</v>
      </c>
      <c r="AA132" t="s">
        <v>1255</v>
      </c>
      <c r="AB132" t="s">
        <v>1255</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1251</v>
      </c>
      <c r="CD132" t="s">
        <v>1489</v>
      </c>
      <c r="CE132" t="s">
        <v>1498</v>
      </c>
      <c r="CF132" t="s">
        <v>1492</v>
      </c>
      <c r="CG132" t="b">
        <v>0</v>
      </c>
      <c r="CH132">
        <v>0</v>
      </c>
      <c r="CI132" t="s">
        <v>1541</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x14ac:dyDescent="0.25">
      <c r="A133">
        <v>466</v>
      </c>
      <c r="B133">
        <v>100000</v>
      </c>
      <c r="C133" t="s">
        <v>1248</v>
      </c>
      <c r="D133">
        <v>2</v>
      </c>
      <c r="E133" t="s">
        <v>1489</v>
      </c>
      <c r="F133">
        <v>30</v>
      </c>
      <c r="G133">
        <v>1</v>
      </c>
      <c r="H133">
        <v>2</v>
      </c>
      <c r="I133" t="s">
        <v>842</v>
      </c>
      <c r="J133" t="s">
        <v>1295</v>
      </c>
      <c r="K133" t="s">
        <v>15</v>
      </c>
      <c r="L133" t="s">
        <v>1494</v>
      </c>
      <c r="M133" t="s">
        <v>1489</v>
      </c>
      <c r="N133" t="s">
        <v>1489</v>
      </c>
      <c r="O133" t="s">
        <v>1283</v>
      </c>
      <c r="P133" t="s">
        <v>1377</v>
      </c>
      <c r="Q133" t="s">
        <v>1283</v>
      </c>
      <c r="R133" t="s">
        <v>1377</v>
      </c>
      <c r="S133" t="s">
        <v>1283</v>
      </c>
      <c r="T133" t="s">
        <v>1377</v>
      </c>
      <c r="U133" t="s">
        <v>1283</v>
      </c>
      <c r="V133" t="s">
        <v>1377</v>
      </c>
      <c r="W133" t="s">
        <v>1283</v>
      </c>
      <c r="X133" t="s">
        <v>1370</v>
      </c>
      <c r="Y133" t="s">
        <v>1255</v>
      </c>
      <c r="Z133" t="s">
        <v>1255</v>
      </c>
      <c r="AA133" t="s">
        <v>1255</v>
      </c>
      <c r="AB133" t="s">
        <v>1255</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1251</v>
      </c>
      <c r="CD133" t="s">
        <v>1489</v>
      </c>
      <c r="CE133" t="s">
        <v>1498</v>
      </c>
      <c r="CF133" t="s">
        <v>1492</v>
      </c>
      <c r="CG133" t="b">
        <v>0</v>
      </c>
      <c r="CH133">
        <v>0</v>
      </c>
      <c r="CI133" t="s">
        <v>1541</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x14ac:dyDescent="0.25">
      <c r="A134">
        <v>420</v>
      </c>
      <c r="B134">
        <v>628</v>
      </c>
      <c r="C134" t="s">
        <v>1248</v>
      </c>
      <c r="D134">
        <v>1</v>
      </c>
      <c r="E134" t="s">
        <v>1489</v>
      </c>
      <c r="F134">
        <v>12</v>
      </c>
      <c r="G134">
        <v>1</v>
      </c>
      <c r="H134">
        <v>2</v>
      </c>
      <c r="I134" t="s">
        <v>578</v>
      </c>
      <c r="J134" t="s">
        <v>1295</v>
      </c>
      <c r="K134" t="s">
        <v>16</v>
      </c>
      <c r="L134" t="s">
        <v>1499</v>
      </c>
      <c r="M134" t="s">
        <v>1489</v>
      </c>
      <c r="N134" t="s">
        <v>1489</v>
      </c>
      <c r="O134" t="s">
        <v>1300</v>
      </c>
      <c r="P134" t="s">
        <v>1377</v>
      </c>
      <c r="Q134" t="s">
        <v>1300</v>
      </c>
      <c r="R134" t="s">
        <v>1377</v>
      </c>
      <c r="S134" t="s">
        <v>1300</v>
      </c>
      <c r="T134" t="s">
        <v>1377</v>
      </c>
      <c r="U134" t="s">
        <v>1300</v>
      </c>
      <c r="V134" t="s">
        <v>1377</v>
      </c>
      <c r="W134" t="s">
        <v>1300</v>
      </c>
      <c r="X134" t="s">
        <v>1370</v>
      </c>
      <c r="Y134" t="s">
        <v>1255</v>
      </c>
      <c r="Z134" t="s">
        <v>1255</v>
      </c>
      <c r="AA134" t="s">
        <v>1255</v>
      </c>
      <c r="AB134" t="s">
        <v>1255</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1495</v>
      </c>
      <c r="CD134" t="s">
        <v>1489</v>
      </c>
      <c r="CE134" t="s">
        <v>1496</v>
      </c>
      <c r="CF134" t="s">
        <v>1492</v>
      </c>
      <c r="CG134" t="b">
        <v>0</v>
      </c>
      <c r="CH134">
        <v>0</v>
      </c>
      <c r="CI134" t="s">
        <v>1541</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x14ac:dyDescent="0.25">
      <c r="A135">
        <v>419</v>
      </c>
      <c r="B135">
        <v>628</v>
      </c>
      <c r="C135" t="s">
        <v>1248</v>
      </c>
      <c r="D135">
        <v>2</v>
      </c>
      <c r="E135" t="s">
        <v>1489</v>
      </c>
      <c r="F135">
        <v>12</v>
      </c>
      <c r="G135">
        <v>1</v>
      </c>
      <c r="H135">
        <v>2</v>
      </c>
      <c r="I135" t="s">
        <v>578</v>
      </c>
      <c r="J135" t="s">
        <v>1295</v>
      </c>
      <c r="K135" t="s">
        <v>16</v>
      </c>
      <c r="L135" t="s">
        <v>1499</v>
      </c>
      <c r="M135" t="s">
        <v>1489</v>
      </c>
      <c r="N135" t="s">
        <v>1489</v>
      </c>
      <c r="O135" t="s">
        <v>1283</v>
      </c>
      <c r="P135" t="s">
        <v>1377</v>
      </c>
      <c r="Q135" t="s">
        <v>1283</v>
      </c>
      <c r="R135" t="s">
        <v>1377</v>
      </c>
      <c r="S135" t="s">
        <v>1283</v>
      </c>
      <c r="T135" t="s">
        <v>1377</v>
      </c>
      <c r="U135" t="s">
        <v>1283</v>
      </c>
      <c r="V135" t="s">
        <v>1377</v>
      </c>
      <c r="W135" t="s">
        <v>1283</v>
      </c>
      <c r="X135" t="s">
        <v>1370</v>
      </c>
      <c r="Y135" t="s">
        <v>1255</v>
      </c>
      <c r="Z135" t="s">
        <v>1255</v>
      </c>
      <c r="AA135" t="s">
        <v>1255</v>
      </c>
      <c r="AB135" t="s">
        <v>1255</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1495</v>
      </c>
      <c r="CD135" t="s">
        <v>1489</v>
      </c>
      <c r="CE135" t="s">
        <v>1496</v>
      </c>
      <c r="CF135" t="s">
        <v>1492</v>
      </c>
      <c r="CG135" t="b">
        <v>1</v>
      </c>
      <c r="CH135">
        <v>0</v>
      </c>
      <c r="CI135" t="s">
        <v>1541</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x14ac:dyDescent="0.25">
      <c r="A136">
        <v>426</v>
      </c>
      <c r="B136">
        <v>634</v>
      </c>
      <c r="C136" t="s">
        <v>1248</v>
      </c>
      <c r="D136">
        <v>1</v>
      </c>
      <c r="E136" t="s">
        <v>1489</v>
      </c>
      <c r="F136">
        <v>30</v>
      </c>
      <c r="G136">
        <v>1</v>
      </c>
      <c r="H136">
        <v>2</v>
      </c>
      <c r="I136" t="s">
        <v>1489</v>
      </c>
      <c r="J136" t="s">
        <v>1295</v>
      </c>
      <c r="K136" t="s">
        <v>15</v>
      </c>
      <c r="L136" t="s">
        <v>1494</v>
      </c>
      <c r="M136" t="s">
        <v>1489</v>
      </c>
      <c r="N136" t="s">
        <v>1489</v>
      </c>
      <c r="O136" t="s">
        <v>1283</v>
      </c>
      <c r="P136" t="s">
        <v>1377</v>
      </c>
      <c r="Q136" t="s">
        <v>1283</v>
      </c>
      <c r="R136" t="s">
        <v>1377</v>
      </c>
      <c r="S136" t="s">
        <v>1283</v>
      </c>
      <c r="T136" t="s">
        <v>1377</v>
      </c>
      <c r="U136" t="s">
        <v>1283</v>
      </c>
      <c r="V136" t="s">
        <v>1377</v>
      </c>
      <c r="W136" t="s">
        <v>1283</v>
      </c>
      <c r="X136" t="s">
        <v>1370</v>
      </c>
      <c r="Y136" t="s">
        <v>1255</v>
      </c>
      <c r="Z136" t="s">
        <v>1255</v>
      </c>
      <c r="AA136" t="s">
        <v>1255</v>
      </c>
      <c r="AB136" t="s">
        <v>1255</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1495</v>
      </c>
      <c r="CD136" t="s">
        <v>1489</v>
      </c>
      <c r="CE136" t="s">
        <v>1496</v>
      </c>
      <c r="CF136" t="s">
        <v>1492</v>
      </c>
      <c r="CG136" t="b">
        <v>0</v>
      </c>
      <c r="CH136">
        <v>0</v>
      </c>
      <c r="CI136" t="s">
        <v>1541</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x14ac:dyDescent="0.25">
      <c r="A137">
        <v>425</v>
      </c>
      <c r="B137">
        <v>634</v>
      </c>
      <c r="C137" t="s">
        <v>1248</v>
      </c>
      <c r="D137">
        <v>2</v>
      </c>
      <c r="E137" t="s">
        <v>1489</v>
      </c>
      <c r="F137">
        <v>30</v>
      </c>
      <c r="G137">
        <v>1</v>
      </c>
      <c r="H137">
        <v>2</v>
      </c>
      <c r="I137" t="s">
        <v>1489</v>
      </c>
      <c r="J137" t="s">
        <v>1295</v>
      </c>
      <c r="K137" t="s">
        <v>15</v>
      </c>
      <c r="L137" t="s">
        <v>1494</v>
      </c>
      <c r="M137" t="s">
        <v>1489</v>
      </c>
      <c r="N137" t="s">
        <v>1489</v>
      </c>
      <c r="O137" t="s">
        <v>1283</v>
      </c>
      <c r="P137" t="s">
        <v>1377</v>
      </c>
      <c r="Q137" t="s">
        <v>1283</v>
      </c>
      <c r="R137" t="s">
        <v>1377</v>
      </c>
      <c r="S137" t="s">
        <v>1283</v>
      </c>
      <c r="T137" t="s">
        <v>1377</v>
      </c>
      <c r="U137" t="s">
        <v>1283</v>
      </c>
      <c r="V137" t="s">
        <v>1377</v>
      </c>
      <c r="W137" t="s">
        <v>1283</v>
      </c>
      <c r="X137" t="s">
        <v>1370</v>
      </c>
      <c r="Y137" t="s">
        <v>1255</v>
      </c>
      <c r="Z137" t="s">
        <v>1255</v>
      </c>
      <c r="AA137" t="s">
        <v>1255</v>
      </c>
      <c r="AB137" t="s">
        <v>1255</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1495</v>
      </c>
      <c r="CD137" t="s">
        <v>1489</v>
      </c>
      <c r="CE137" t="s">
        <v>1496</v>
      </c>
      <c r="CF137" t="s">
        <v>1492</v>
      </c>
      <c r="CG137" t="b">
        <v>0</v>
      </c>
      <c r="CH137">
        <v>0</v>
      </c>
      <c r="CI137" t="s">
        <v>1541</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x14ac:dyDescent="0.25">
      <c r="A138">
        <v>469</v>
      </c>
      <c r="B138">
        <v>100002</v>
      </c>
      <c r="C138" t="s">
        <v>1248</v>
      </c>
      <c r="D138">
        <v>1</v>
      </c>
      <c r="E138" t="s">
        <v>1489</v>
      </c>
      <c r="F138">
        <v>30</v>
      </c>
      <c r="G138">
        <v>1</v>
      </c>
      <c r="H138">
        <v>2</v>
      </c>
      <c r="I138" t="s">
        <v>1489</v>
      </c>
      <c r="J138" t="s">
        <v>1295</v>
      </c>
      <c r="K138" t="s">
        <v>15</v>
      </c>
      <c r="L138" t="s">
        <v>1494</v>
      </c>
      <c r="M138" t="s">
        <v>1489</v>
      </c>
      <c r="N138" t="s">
        <v>1489</v>
      </c>
      <c r="O138" t="s">
        <v>1283</v>
      </c>
      <c r="P138" t="s">
        <v>1377</v>
      </c>
      <c r="Q138" t="s">
        <v>1283</v>
      </c>
      <c r="R138" t="s">
        <v>1377</v>
      </c>
      <c r="S138" t="s">
        <v>1283</v>
      </c>
      <c r="T138" t="s">
        <v>1377</v>
      </c>
      <c r="U138" t="s">
        <v>1283</v>
      </c>
      <c r="V138" t="s">
        <v>1377</v>
      </c>
      <c r="W138" t="s">
        <v>1283</v>
      </c>
      <c r="X138" t="s">
        <v>1370</v>
      </c>
      <c r="Y138" t="s">
        <v>1255</v>
      </c>
      <c r="Z138" t="s">
        <v>1255</v>
      </c>
      <c r="AA138" t="s">
        <v>1255</v>
      </c>
      <c r="AB138" t="s">
        <v>1255</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1251</v>
      </c>
      <c r="CD138" t="s">
        <v>1489</v>
      </c>
      <c r="CE138" t="s">
        <v>1498</v>
      </c>
      <c r="CF138" t="s">
        <v>1492</v>
      </c>
      <c r="CG138" t="b">
        <v>0</v>
      </c>
      <c r="CH138">
        <v>0</v>
      </c>
      <c r="CI138" t="s">
        <v>1541</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x14ac:dyDescent="0.25">
      <c r="A139">
        <v>470</v>
      </c>
      <c r="B139">
        <v>100002</v>
      </c>
      <c r="C139" t="s">
        <v>1248</v>
      </c>
      <c r="D139">
        <v>2</v>
      </c>
      <c r="E139" t="s">
        <v>1489</v>
      </c>
      <c r="F139">
        <v>30</v>
      </c>
      <c r="G139">
        <v>1</v>
      </c>
      <c r="H139">
        <v>2</v>
      </c>
      <c r="I139" t="s">
        <v>1489</v>
      </c>
      <c r="J139" t="s">
        <v>1295</v>
      </c>
      <c r="K139" t="s">
        <v>15</v>
      </c>
      <c r="L139" t="s">
        <v>1494</v>
      </c>
      <c r="M139" t="s">
        <v>1489</v>
      </c>
      <c r="N139" t="s">
        <v>1489</v>
      </c>
      <c r="O139" t="s">
        <v>1283</v>
      </c>
      <c r="P139" t="s">
        <v>1377</v>
      </c>
      <c r="Q139" t="s">
        <v>1283</v>
      </c>
      <c r="R139" t="s">
        <v>1377</v>
      </c>
      <c r="S139" t="s">
        <v>1283</v>
      </c>
      <c r="T139" t="s">
        <v>1377</v>
      </c>
      <c r="U139" t="s">
        <v>1283</v>
      </c>
      <c r="V139" t="s">
        <v>1377</v>
      </c>
      <c r="W139" t="s">
        <v>1283</v>
      </c>
      <c r="X139" t="s">
        <v>1370</v>
      </c>
      <c r="Y139" t="s">
        <v>1255</v>
      </c>
      <c r="Z139" t="s">
        <v>1255</v>
      </c>
      <c r="AA139" t="s">
        <v>1255</v>
      </c>
      <c r="AB139" t="s">
        <v>1255</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1251</v>
      </c>
      <c r="CD139" t="s">
        <v>1489</v>
      </c>
      <c r="CE139" t="s">
        <v>1498</v>
      </c>
      <c r="CF139" t="s">
        <v>1492</v>
      </c>
      <c r="CG139" t="b">
        <v>0</v>
      </c>
      <c r="CH139">
        <v>0</v>
      </c>
      <c r="CI139" t="s">
        <v>1541</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x14ac:dyDescent="0.25">
      <c r="A140">
        <v>428</v>
      </c>
      <c r="B140">
        <v>635</v>
      </c>
      <c r="C140" t="s">
        <v>1248</v>
      </c>
      <c r="D140">
        <v>1</v>
      </c>
      <c r="E140" t="s">
        <v>1489</v>
      </c>
      <c r="F140">
        <v>12</v>
      </c>
      <c r="G140">
        <v>1</v>
      </c>
      <c r="H140">
        <v>2</v>
      </c>
      <c r="I140" t="s">
        <v>562</v>
      </c>
      <c r="J140" t="s">
        <v>1295</v>
      </c>
      <c r="K140" t="s">
        <v>16</v>
      </c>
      <c r="L140" t="s">
        <v>1499</v>
      </c>
      <c r="M140" t="s">
        <v>1489</v>
      </c>
      <c r="N140" t="s">
        <v>1489</v>
      </c>
      <c r="O140" t="s">
        <v>1300</v>
      </c>
      <c r="P140" t="s">
        <v>1377</v>
      </c>
      <c r="Q140" t="s">
        <v>1300</v>
      </c>
      <c r="R140" t="s">
        <v>1377</v>
      </c>
      <c r="S140" t="s">
        <v>1300</v>
      </c>
      <c r="T140" t="s">
        <v>1377</v>
      </c>
      <c r="U140" t="s">
        <v>1300</v>
      </c>
      <c r="V140" t="s">
        <v>1377</v>
      </c>
      <c r="W140" t="s">
        <v>1300</v>
      </c>
      <c r="X140" t="s">
        <v>1370</v>
      </c>
      <c r="Y140" t="s">
        <v>1255</v>
      </c>
      <c r="Z140" t="s">
        <v>1255</v>
      </c>
      <c r="AA140" t="s">
        <v>1255</v>
      </c>
      <c r="AB140" t="s">
        <v>1255</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1495</v>
      </c>
      <c r="CD140" t="s">
        <v>1489</v>
      </c>
      <c r="CE140" t="s">
        <v>1498</v>
      </c>
      <c r="CF140" t="s">
        <v>1492</v>
      </c>
      <c r="CG140" t="b">
        <v>0</v>
      </c>
      <c r="CH140">
        <v>0</v>
      </c>
      <c r="CI140" t="s">
        <v>1541</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x14ac:dyDescent="0.25">
      <c r="A141">
        <v>427</v>
      </c>
      <c r="B141">
        <v>635</v>
      </c>
      <c r="C141" t="s">
        <v>1248</v>
      </c>
      <c r="D141">
        <v>2</v>
      </c>
      <c r="E141" t="s">
        <v>1489</v>
      </c>
      <c r="F141">
        <v>12</v>
      </c>
      <c r="G141">
        <v>1</v>
      </c>
      <c r="H141">
        <v>2</v>
      </c>
      <c r="I141" t="s">
        <v>562</v>
      </c>
      <c r="J141" t="s">
        <v>1295</v>
      </c>
      <c r="K141" t="s">
        <v>16</v>
      </c>
      <c r="L141" t="s">
        <v>1499</v>
      </c>
      <c r="M141" t="s">
        <v>1489</v>
      </c>
      <c r="N141" t="s">
        <v>1489</v>
      </c>
      <c r="O141" t="s">
        <v>1300</v>
      </c>
      <c r="P141" t="s">
        <v>1377</v>
      </c>
      <c r="Q141" t="s">
        <v>1300</v>
      </c>
      <c r="R141" t="s">
        <v>1377</v>
      </c>
      <c r="S141" t="s">
        <v>1300</v>
      </c>
      <c r="T141" t="s">
        <v>1377</v>
      </c>
      <c r="U141" t="s">
        <v>1300</v>
      </c>
      <c r="V141" t="s">
        <v>1377</v>
      </c>
      <c r="W141" t="s">
        <v>1300</v>
      </c>
      <c r="X141" t="s">
        <v>1370</v>
      </c>
      <c r="Y141" t="s">
        <v>1255</v>
      </c>
      <c r="Z141" t="s">
        <v>1255</v>
      </c>
      <c r="AA141" t="s">
        <v>1255</v>
      </c>
      <c r="AB141" t="s">
        <v>1255</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1495</v>
      </c>
      <c r="CD141" t="s">
        <v>1489</v>
      </c>
      <c r="CE141" t="s">
        <v>1498</v>
      </c>
      <c r="CF141" t="s">
        <v>1492</v>
      </c>
      <c r="CG141" t="b">
        <v>0</v>
      </c>
      <c r="CH141">
        <v>0</v>
      </c>
      <c r="CI141" t="s">
        <v>1541</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x14ac:dyDescent="0.25">
      <c r="A142">
        <v>326</v>
      </c>
      <c r="B142">
        <v>474</v>
      </c>
      <c r="C142" t="s">
        <v>1326</v>
      </c>
      <c r="D142">
        <v>1</v>
      </c>
      <c r="E142" t="s">
        <v>1489</v>
      </c>
      <c r="F142">
        <v>28</v>
      </c>
      <c r="G142">
        <v>1</v>
      </c>
      <c r="H142">
        <v>2</v>
      </c>
      <c r="I142" t="s">
        <v>842</v>
      </c>
      <c r="J142" t="s">
        <v>1295</v>
      </c>
      <c r="K142" t="s">
        <v>15</v>
      </c>
      <c r="L142" t="s">
        <v>1494</v>
      </c>
      <c r="M142" t="s">
        <v>1519</v>
      </c>
      <c r="N142" t="s">
        <v>1489</v>
      </c>
      <c r="O142" t="s">
        <v>1300</v>
      </c>
      <c r="P142" t="s">
        <v>1377</v>
      </c>
      <c r="Q142" t="s">
        <v>1300</v>
      </c>
      <c r="R142" t="s">
        <v>1377</v>
      </c>
      <c r="S142" t="s">
        <v>1300</v>
      </c>
      <c r="T142" t="s">
        <v>1377</v>
      </c>
      <c r="U142" t="s">
        <v>1300</v>
      </c>
      <c r="V142" t="s">
        <v>1377</v>
      </c>
      <c r="W142" t="s">
        <v>1300</v>
      </c>
      <c r="X142" t="s">
        <v>1370</v>
      </c>
      <c r="Y142" t="s">
        <v>1255</v>
      </c>
      <c r="Z142" t="s">
        <v>1255</v>
      </c>
      <c r="AA142" t="s">
        <v>1255</v>
      </c>
      <c r="AB142" t="s">
        <v>1255</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1495</v>
      </c>
      <c r="CD142" t="s">
        <v>1489</v>
      </c>
      <c r="CE142" t="s">
        <v>1496</v>
      </c>
      <c r="CF142" t="s">
        <v>1492</v>
      </c>
      <c r="CG142" t="b">
        <v>1</v>
      </c>
      <c r="CH142">
        <v>0</v>
      </c>
      <c r="CI142" t="s">
        <v>1554</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x14ac:dyDescent="0.25">
      <c r="A143">
        <v>325</v>
      </c>
      <c r="B143">
        <v>474</v>
      </c>
      <c r="C143" t="s">
        <v>1248</v>
      </c>
      <c r="D143">
        <v>2</v>
      </c>
      <c r="E143" t="s">
        <v>1489</v>
      </c>
      <c r="F143">
        <v>28</v>
      </c>
      <c r="G143">
        <v>1</v>
      </c>
      <c r="H143">
        <v>2</v>
      </c>
      <c r="I143" t="s">
        <v>842</v>
      </c>
      <c r="J143" t="s">
        <v>1295</v>
      </c>
      <c r="K143" t="s">
        <v>15</v>
      </c>
      <c r="L143" t="s">
        <v>1494</v>
      </c>
      <c r="M143" t="s">
        <v>1519</v>
      </c>
      <c r="N143" t="s">
        <v>1489</v>
      </c>
      <c r="O143" t="s">
        <v>1300</v>
      </c>
      <c r="P143" t="s">
        <v>1377</v>
      </c>
      <c r="Q143" t="s">
        <v>1300</v>
      </c>
      <c r="R143" t="s">
        <v>1377</v>
      </c>
      <c r="S143" t="s">
        <v>1300</v>
      </c>
      <c r="T143" t="s">
        <v>1377</v>
      </c>
      <c r="U143" t="s">
        <v>1300</v>
      </c>
      <c r="V143" t="s">
        <v>1377</v>
      </c>
      <c r="W143" t="s">
        <v>1300</v>
      </c>
      <c r="X143" t="s">
        <v>1370</v>
      </c>
      <c r="Y143" t="s">
        <v>1255</v>
      </c>
      <c r="Z143" t="s">
        <v>1255</v>
      </c>
      <c r="AA143" t="s">
        <v>1255</v>
      </c>
      <c r="AB143" t="s">
        <v>1255</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1495</v>
      </c>
      <c r="CD143" t="s">
        <v>1489</v>
      </c>
      <c r="CE143" t="s">
        <v>1496</v>
      </c>
      <c r="CF143" t="s">
        <v>1492</v>
      </c>
      <c r="CG143" t="b">
        <v>1</v>
      </c>
      <c r="CH143">
        <v>0</v>
      </c>
      <c r="CI143" t="s">
        <v>1554</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x14ac:dyDescent="0.25">
      <c r="A144">
        <v>327</v>
      </c>
      <c r="B144">
        <v>475</v>
      </c>
      <c r="C144" t="s">
        <v>1248</v>
      </c>
      <c r="D144">
        <v>1</v>
      </c>
      <c r="E144" t="s">
        <v>1489</v>
      </c>
      <c r="F144">
        <v>5</v>
      </c>
      <c r="G144">
        <v>1</v>
      </c>
      <c r="H144">
        <v>2</v>
      </c>
      <c r="I144" t="s">
        <v>1489</v>
      </c>
      <c r="J144" t="s">
        <v>1295</v>
      </c>
      <c r="K144" t="s">
        <v>16</v>
      </c>
      <c r="L144" t="s">
        <v>1499</v>
      </c>
      <c r="M144" t="s">
        <v>1519</v>
      </c>
      <c r="N144" t="s">
        <v>1489</v>
      </c>
      <c r="O144" t="s">
        <v>1300</v>
      </c>
      <c r="P144" t="s">
        <v>1377</v>
      </c>
      <c r="Q144" t="s">
        <v>1300</v>
      </c>
      <c r="R144" t="s">
        <v>1377</v>
      </c>
      <c r="S144" t="s">
        <v>1300</v>
      </c>
      <c r="T144" t="s">
        <v>1377</v>
      </c>
      <c r="U144" t="s">
        <v>1300</v>
      </c>
      <c r="V144" t="s">
        <v>1377</v>
      </c>
      <c r="W144" t="s">
        <v>1300</v>
      </c>
      <c r="X144" t="s">
        <v>1370</v>
      </c>
      <c r="Y144" t="s">
        <v>1255</v>
      </c>
      <c r="Z144" t="s">
        <v>1255</v>
      </c>
      <c r="AA144" t="s">
        <v>1255</v>
      </c>
      <c r="AB144" t="s">
        <v>1255</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1495</v>
      </c>
      <c r="CD144" t="s">
        <v>1489</v>
      </c>
      <c r="CE144" t="s">
        <v>1496</v>
      </c>
      <c r="CF144" t="s">
        <v>1555</v>
      </c>
      <c r="CG144" t="b">
        <v>1</v>
      </c>
      <c r="CH144">
        <v>0</v>
      </c>
      <c r="CI144" t="s">
        <v>1556</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x14ac:dyDescent="0.25">
      <c r="A145">
        <v>328</v>
      </c>
      <c r="B145">
        <v>475</v>
      </c>
      <c r="C145" t="s">
        <v>1248</v>
      </c>
      <c r="D145">
        <v>2</v>
      </c>
      <c r="E145" t="s">
        <v>1489</v>
      </c>
      <c r="F145">
        <v>5</v>
      </c>
      <c r="G145">
        <v>1</v>
      </c>
      <c r="H145">
        <v>2</v>
      </c>
      <c r="I145" t="s">
        <v>1489</v>
      </c>
      <c r="J145" t="s">
        <v>1295</v>
      </c>
      <c r="K145" t="s">
        <v>16</v>
      </c>
      <c r="L145" t="s">
        <v>1499</v>
      </c>
      <c r="M145" t="s">
        <v>1519</v>
      </c>
      <c r="N145" t="s">
        <v>1489</v>
      </c>
      <c r="O145" t="s">
        <v>1300</v>
      </c>
      <c r="P145" t="s">
        <v>1377</v>
      </c>
      <c r="Q145" t="s">
        <v>1300</v>
      </c>
      <c r="R145" t="s">
        <v>1377</v>
      </c>
      <c r="S145" t="s">
        <v>1300</v>
      </c>
      <c r="T145" t="s">
        <v>1377</v>
      </c>
      <c r="U145" t="s">
        <v>1300</v>
      </c>
      <c r="V145" t="s">
        <v>1377</v>
      </c>
      <c r="W145" t="s">
        <v>1300</v>
      </c>
      <c r="X145" t="s">
        <v>1370</v>
      </c>
      <c r="Y145" t="s">
        <v>1255</v>
      </c>
      <c r="Z145" t="s">
        <v>1255</v>
      </c>
      <c r="AA145" t="s">
        <v>1255</v>
      </c>
      <c r="AB145" t="s">
        <v>1255</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1495</v>
      </c>
      <c r="CD145" t="s">
        <v>1489</v>
      </c>
      <c r="CE145" t="s">
        <v>1496</v>
      </c>
      <c r="CF145" t="s">
        <v>1492</v>
      </c>
      <c r="CG145" t="b">
        <v>1</v>
      </c>
      <c r="CH145">
        <v>0</v>
      </c>
      <c r="CI145" t="s">
        <v>1556</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x14ac:dyDescent="0.25">
      <c r="A146">
        <v>429</v>
      </c>
      <c r="B146">
        <v>693</v>
      </c>
      <c r="C146" t="s">
        <v>1248</v>
      </c>
      <c r="D146">
        <v>1</v>
      </c>
      <c r="E146" t="s">
        <v>1489</v>
      </c>
      <c r="F146">
        <v>4</v>
      </c>
      <c r="G146">
        <v>1</v>
      </c>
      <c r="H146">
        <v>2</v>
      </c>
      <c r="I146" t="s">
        <v>842</v>
      </c>
      <c r="J146" t="s">
        <v>1295</v>
      </c>
      <c r="K146" t="s">
        <v>15</v>
      </c>
      <c r="L146" t="s">
        <v>1494</v>
      </c>
      <c r="M146" t="s">
        <v>1519</v>
      </c>
      <c r="N146" t="s">
        <v>1489</v>
      </c>
      <c r="O146" t="s">
        <v>1300</v>
      </c>
      <c r="P146" t="s">
        <v>1377</v>
      </c>
      <c r="Q146" t="s">
        <v>1300</v>
      </c>
      <c r="R146" t="s">
        <v>1377</v>
      </c>
      <c r="S146" t="s">
        <v>1300</v>
      </c>
      <c r="T146" t="s">
        <v>1377</v>
      </c>
      <c r="U146" t="s">
        <v>1300</v>
      </c>
      <c r="V146" t="s">
        <v>1377</v>
      </c>
      <c r="W146" t="s">
        <v>1300</v>
      </c>
      <c r="X146" t="s">
        <v>1370</v>
      </c>
      <c r="Y146" t="s">
        <v>1255</v>
      </c>
      <c r="Z146" t="s">
        <v>1255</v>
      </c>
      <c r="AA146" t="s">
        <v>1255</v>
      </c>
      <c r="AB146" t="s">
        <v>1255</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1251</v>
      </c>
      <c r="CD146" t="s">
        <v>1489</v>
      </c>
      <c r="CE146" t="s">
        <v>1498</v>
      </c>
      <c r="CF146" t="s">
        <v>1492</v>
      </c>
      <c r="CG146" t="b">
        <v>1</v>
      </c>
      <c r="CH146">
        <v>0</v>
      </c>
      <c r="CI146" t="s">
        <v>1557</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x14ac:dyDescent="0.25">
      <c r="A147">
        <v>430</v>
      </c>
      <c r="B147">
        <v>693</v>
      </c>
      <c r="C147" t="s">
        <v>1248</v>
      </c>
      <c r="D147">
        <v>2</v>
      </c>
      <c r="E147" t="s">
        <v>1489</v>
      </c>
      <c r="F147">
        <v>4</v>
      </c>
      <c r="G147">
        <v>1</v>
      </c>
      <c r="H147">
        <v>2</v>
      </c>
      <c r="I147" t="s">
        <v>842</v>
      </c>
      <c r="J147" t="s">
        <v>1295</v>
      </c>
      <c r="K147" t="s">
        <v>15</v>
      </c>
      <c r="L147" t="s">
        <v>1494</v>
      </c>
      <c r="M147" t="s">
        <v>1519</v>
      </c>
      <c r="N147" t="s">
        <v>1489</v>
      </c>
      <c r="O147" t="s">
        <v>1300</v>
      </c>
      <c r="P147" t="s">
        <v>1377</v>
      </c>
      <c r="Q147" t="s">
        <v>1300</v>
      </c>
      <c r="R147" t="s">
        <v>1377</v>
      </c>
      <c r="S147" t="s">
        <v>1300</v>
      </c>
      <c r="T147" t="s">
        <v>1377</v>
      </c>
      <c r="U147" t="s">
        <v>1300</v>
      </c>
      <c r="V147" t="s">
        <v>1377</v>
      </c>
      <c r="W147" t="s">
        <v>1300</v>
      </c>
      <c r="X147" t="s">
        <v>1370</v>
      </c>
      <c r="Y147" t="s">
        <v>1255</v>
      </c>
      <c r="Z147" t="s">
        <v>1255</v>
      </c>
      <c r="AA147" t="s">
        <v>1255</v>
      </c>
      <c r="AB147" t="s">
        <v>1255</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1251</v>
      </c>
      <c r="CD147" t="s">
        <v>1489</v>
      </c>
      <c r="CE147" t="s">
        <v>1498</v>
      </c>
      <c r="CF147" t="s">
        <v>1492</v>
      </c>
      <c r="CG147" t="b">
        <v>1</v>
      </c>
      <c r="CH147">
        <v>0</v>
      </c>
      <c r="CI147" t="s">
        <v>1557</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x14ac:dyDescent="0.25">
      <c r="A148">
        <v>434</v>
      </c>
      <c r="B148">
        <v>696</v>
      </c>
      <c r="C148" t="s">
        <v>1248</v>
      </c>
      <c r="D148">
        <v>1</v>
      </c>
      <c r="E148" t="s">
        <v>1489</v>
      </c>
      <c r="F148">
        <v>4</v>
      </c>
      <c r="G148">
        <v>1</v>
      </c>
      <c r="H148">
        <v>2</v>
      </c>
      <c r="I148" t="s">
        <v>1489</v>
      </c>
      <c r="J148" t="s">
        <v>1295</v>
      </c>
      <c r="K148" t="s">
        <v>16</v>
      </c>
      <c r="L148" t="s">
        <v>1489</v>
      </c>
      <c r="M148" t="s">
        <v>1519</v>
      </c>
      <c r="N148" t="s">
        <v>1489</v>
      </c>
      <c r="O148" t="s">
        <v>1300</v>
      </c>
      <c r="P148" t="s">
        <v>1377</v>
      </c>
      <c r="Q148" t="s">
        <v>1300</v>
      </c>
      <c r="R148" t="s">
        <v>1377</v>
      </c>
      <c r="S148" t="s">
        <v>1300</v>
      </c>
      <c r="T148" t="s">
        <v>1377</v>
      </c>
      <c r="U148" t="s">
        <v>1300</v>
      </c>
      <c r="V148" t="s">
        <v>1377</v>
      </c>
      <c r="W148" t="s">
        <v>1300</v>
      </c>
      <c r="X148" t="s">
        <v>1370</v>
      </c>
      <c r="Y148" t="s">
        <v>1255</v>
      </c>
      <c r="Z148" t="s">
        <v>1255</v>
      </c>
      <c r="AA148" t="s">
        <v>1255</v>
      </c>
      <c r="AB148" t="s">
        <v>1255</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1251</v>
      </c>
      <c r="CD148" t="s">
        <v>1489</v>
      </c>
      <c r="CE148" t="s">
        <v>1498</v>
      </c>
      <c r="CF148" t="s">
        <v>1555</v>
      </c>
      <c r="CG148" t="b">
        <v>1</v>
      </c>
      <c r="CH148">
        <v>0</v>
      </c>
      <c r="CI148" t="s">
        <v>1558</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x14ac:dyDescent="0.25">
      <c r="A149">
        <v>433</v>
      </c>
      <c r="B149">
        <v>696</v>
      </c>
      <c r="C149" t="s">
        <v>1248</v>
      </c>
      <c r="D149">
        <v>2</v>
      </c>
      <c r="E149" t="s">
        <v>1489</v>
      </c>
      <c r="F149">
        <v>4</v>
      </c>
      <c r="G149">
        <v>1</v>
      </c>
      <c r="H149">
        <v>2</v>
      </c>
      <c r="I149" t="s">
        <v>1489</v>
      </c>
      <c r="J149" t="s">
        <v>1295</v>
      </c>
      <c r="K149" t="s">
        <v>16</v>
      </c>
      <c r="L149" t="s">
        <v>1489</v>
      </c>
      <c r="M149" t="s">
        <v>1519</v>
      </c>
      <c r="N149" t="s">
        <v>1489</v>
      </c>
      <c r="O149" t="s">
        <v>1300</v>
      </c>
      <c r="P149" t="s">
        <v>1377</v>
      </c>
      <c r="Q149" t="s">
        <v>1300</v>
      </c>
      <c r="R149" t="s">
        <v>1377</v>
      </c>
      <c r="S149" t="s">
        <v>1300</v>
      </c>
      <c r="T149" t="s">
        <v>1377</v>
      </c>
      <c r="U149" t="s">
        <v>1300</v>
      </c>
      <c r="V149" t="s">
        <v>1377</v>
      </c>
      <c r="W149" t="s">
        <v>1300</v>
      </c>
      <c r="X149" t="s">
        <v>1370</v>
      </c>
      <c r="Y149" t="s">
        <v>1255</v>
      </c>
      <c r="Z149" t="s">
        <v>1255</v>
      </c>
      <c r="AA149" t="s">
        <v>1255</v>
      </c>
      <c r="AB149" t="s">
        <v>1255</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1251</v>
      </c>
      <c r="CD149" t="s">
        <v>1489</v>
      </c>
      <c r="CE149" t="s">
        <v>1498</v>
      </c>
      <c r="CF149" t="s">
        <v>1559</v>
      </c>
      <c r="CG149" t="b">
        <v>1</v>
      </c>
      <c r="CH149">
        <v>0</v>
      </c>
      <c r="CI149" t="s">
        <v>1558</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x14ac:dyDescent="0.25">
      <c r="A150">
        <v>330</v>
      </c>
      <c r="B150">
        <v>483</v>
      </c>
      <c r="C150" t="s">
        <v>1248</v>
      </c>
      <c r="D150">
        <v>1</v>
      </c>
      <c r="E150" t="s">
        <v>1489</v>
      </c>
      <c r="F150">
        <v>2</v>
      </c>
      <c r="G150">
        <v>1</v>
      </c>
      <c r="H150">
        <v>2</v>
      </c>
      <c r="I150" t="s">
        <v>1001</v>
      </c>
      <c r="J150" t="s">
        <v>1295</v>
      </c>
      <c r="K150" t="s">
        <v>15</v>
      </c>
      <c r="L150" t="s">
        <v>1494</v>
      </c>
      <c r="M150" t="s">
        <v>1519</v>
      </c>
      <c r="N150" t="s">
        <v>1489</v>
      </c>
      <c r="O150" t="s">
        <v>1300</v>
      </c>
      <c r="P150" t="s">
        <v>1377</v>
      </c>
      <c r="Q150" t="s">
        <v>1300</v>
      </c>
      <c r="R150" t="s">
        <v>1377</v>
      </c>
      <c r="S150" t="s">
        <v>1300</v>
      </c>
      <c r="T150" t="s">
        <v>1377</v>
      </c>
      <c r="U150" t="s">
        <v>1300</v>
      </c>
      <c r="V150" t="s">
        <v>1377</v>
      </c>
      <c r="W150" t="s">
        <v>1300</v>
      </c>
      <c r="X150" t="s">
        <v>1370</v>
      </c>
      <c r="Y150" t="s">
        <v>1255</v>
      </c>
      <c r="Z150" t="s">
        <v>1255</v>
      </c>
      <c r="AA150" t="s">
        <v>1255</v>
      </c>
      <c r="AB150" t="s">
        <v>1255</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1495</v>
      </c>
      <c r="CD150" t="s">
        <v>1489</v>
      </c>
      <c r="CE150" t="s">
        <v>1496</v>
      </c>
      <c r="CF150" t="s">
        <v>1492</v>
      </c>
      <c r="CG150" t="b">
        <v>1</v>
      </c>
      <c r="CH150">
        <v>0</v>
      </c>
      <c r="CI150" t="s">
        <v>1560</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x14ac:dyDescent="0.25">
      <c r="A151">
        <v>329</v>
      </c>
      <c r="B151">
        <v>483</v>
      </c>
      <c r="C151" t="s">
        <v>1248</v>
      </c>
      <c r="D151">
        <v>2</v>
      </c>
      <c r="E151" t="s">
        <v>1489</v>
      </c>
      <c r="F151">
        <v>2</v>
      </c>
      <c r="G151">
        <v>1</v>
      </c>
      <c r="H151">
        <v>2</v>
      </c>
      <c r="I151" t="s">
        <v>1001</v>
      </c>
      <c r="J151" t="s">
        <v>1295</v>
      </c>
      <c r="K151" t="s">
        <v>15</v>
      </c>
      <c r="L151" t="s">
        <v>1494</v>
      </c>
      <c r="M151" t="s">
        <v>1519</v>
      </c>
      <c r="N151" t="s">
        <v>1489</v>
      </c>
      <c r="O151" t="s">
        <v>1300</v>
      </c>
      <c r="P151" t="s">
        <v>1377</v>
      </c>
      <c r="Q151" t="s">
        <v>1300</v>
      </c>
      <c r="R151" t="s">
        <v>1377</v>
      </c>
      <c r="S151" t="s">
        <v>1300</v>
      </c>
      <c r="T151" t="s">
        <v>1377</v>
      </c>
      <c r="U151" t="s">
        <v>1300</v>
      </c>
      <c r="V151" t="s">
        <v>1377</v>
      </c>
      <c r="W151" t="s">
        <v>1300</v>
      </c>
      <c r="X151" t="s">
        <v>1370</v>
      </c>
      <c r="Y151" t="s">
        <v>1255</v>
      </c>
      <c r="Z151" t="s">
        <v>1255</v>
      </c>
      <c r="AA151" t="s">
        <v>1255</v>
      </c>
      <c r="AB151" t="s">
        <v>1255</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1495</v>
      </c>
      <c r="CD151" t="s">
        <v>1489</v>
      </c>
      <c r="CE151" t="s">
        <v>1496</v>
      </c>
      <c r="CF151" t="s">
        <v>1492</v>
      </c>
      <c r="CG151" t="b">
        <v>1</v>
      </c>
      <c r="CH151">
        <v>0</v>
      </c>
      <c r="CI151" t="s">
        <v>1560</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x14ac:dyDescent="0.25">
      <c r="A152">
        <v>563</v>
      </c>
      <c r="B152">
        <v>100057</v>
      </c>
      <c r="C152" t="s">
        <v>1248</v>
      </c>
      <c r="D152">
        <v>1</v>
      </c>
      <c r="E152" t="s">
        <v>1489</v>
      </c>
      <c r="F152">
        <v>2</v>
      </c>
      <c r="G152">
        <v>1</v>
      </c>
      <c r="H152">
        <v>2</v>
      </c>
      <c r="I152" t="s">
        <v>1489</v>
      </c>
      <c r="J152" t="s">
        <v>1295</v>
      </c>
      <c r="K152" t="s">
        <v>16</v>
      </c>
      <c r="L152" t="s">
        <v>1489</v>
      </c>
      <c r="M152" t="s">
        <v>1519</v>
      </c>
      <c r="N152" t="s">
        <v>1489</v>
      </c>
      <c r="O152" t="s">
        <v>1300</v>
      </c>
      <c r="P152" t="s">
        <v>1377</v>
      </c>
      <c r="Q152" t="s">
        <v>1300</v>
      </c>
      <c r="R152" t="s">
        <v>1377</v>
      </c>
      <c r="S152" t="s">
        <v>1300</v>
      </c>
      <c r="T152" t="s">
        <v>1377</v>
      </c>
      <c r="U152" t="s">
        <v>1300</v>
      </c>
      <c r="V152" t="s">
        <v>1377</v>
      </c>
      <c r="W152" t="s">
        <v>1300</v>
      </c>
      <c r="X152" t="s">
        <v>1370</v>
      </c>
      <c r="Y152" t="s">
        <v>1255</v>
      </c>
      <c r="Z152" t="s">
        <v>1255</v>
      </c>
      <c r="AA152" t="s">
        <v>1255</v>
      </c>
      <c r="AB152" t="s">
        <v>1255</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1251</v>
      </c>
      <c r="CD152" t="s">
        <v>1489</v>
      </c>
      <c r="CE152" t="s">
        <v>1496</v>
      </c>
      <c r="CF152" t="s">
        <v>1492</v>
      </c>
      <c r="CG152" t="b">
        <v>1</v>
      </c>
      <c r="CH152">
        <v>0</v>
      </c>
      <c r="CI152" t="s">
        <v>1561</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x14ac:dyDescent="0.25">
      <c r="A153">
        <v>564</v>
      </c>
      <c r="B153">
        <v>100057</v>
      </c>
      <c r="C153" t="s">
        <v>1248</v>
      </c>
      <c r="D153">
        <v>2</v>
      </c>
      <c r="E153" t="s">
        <v>1489</v>
      </c>
      <c r="F153">
        <v>2</v>
      </c>
      <c r="G153">
        <v>1</v>
      </c>
      <c r="H153">
        <v>2</v>
      </c>
      <c r="I153" t="s">
        <v>1489</v>
      </c>
      <c r="J153" t="s">
        <v>1295</v>
      </c>
      <c r="K153" t="s">
        <v>16</v>
      </c>
      <c r="L153" t="s">
        <v>1489</v>
      </c>
      <c r="M153" t="s">
        <v>1519</v>
      </c>
      <c r="N153" t="s">
        <v>1489</v>
      </c>
      <c r="O153" t="s">
        <v>1300</v>
      </c>
      <c r="P153" t="s">
        <v>1377</v>
      </c>
      <c r="Q153" t="s">
        <v>1300</v>
      </c>
      <c r="R153" t="s">
        <v>1377</v>
      </c>
      <c r="S153" t="s">
        <v>1300</v>
      </c>
      <c r="T153" t="s">
        <v>1377</v>
      </c>
      <c r="U153" t="s">
        <v>1300</v>
      </c>
      <c r="V153" t="s">
        <v>1377</v>
      </c>
      <c r="W153" t="s">
        <v>1300</v>
      </c>
      <c r="X153" t="s">
        <v>1370</v>
      </c>
      <c r="Y153" t="s">
        <v>1255</v>
      </c>
      <c r="Z153" t="s">
        <v>1255</v>
      </c>
      <c r="AA153" t="s">
        <v>1255</v>
      </c>
      <c r="AB153" t="s">
        <v>1255</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1251</v>
      </c>
      <c r="CD153" t="s">
        <v>1489</v>
      </c>
      <c r="CE153" t="s">
        <v>1496</v>
      </c>
      <c r="CF153" t="s">
        <v>1492</v>
      </c>
      <c r="CG153" t="b">
        <v>1</v>
      </c>
      <c r="CH153">
        <v>0</v>
      </c>
      <c r="CI153" t="s">
        <v>1562</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x14ac:dyDescent="0.25">
      <c r="A154">
        <v>332</v>
      </c>
      <c r="B154">
        <v>490</v>
      </c>
      <c r="C154" t="s">
        <v>1248</v>
      </c>
      <c r="D154">
        <v>1</v>
      </c>
      <c r="E154" t="s">
        <v>1489</v>
      </c>
      <c r="F154">
        <v>4</v>
      </c>
      <c r="G154">
        <v>1</v>
      </c>
      <c r="H154">
        <v>2</v>
      </c>
      <c r="I154" t="s">
        <v>973</v>
      </c>
      <c r="J154" t="s">
        <v>1295</v>
      </c>
      <c r="K154" t="s">
        <v>15</v>
      </c>
      <c r="L154" t="s">
        <v>1494</v>
      </c>
      <c r="M154" t="s">
        <v>1519</v>
      </c>
      <c r="N154" t="s">
        <v>1489</v>
      </c>
      <c r="O154" t="s">
        <v>1300</v>
      </c>
      <c r="P154" t="s">
        <v>1377</v>
      </c>
      <c r="Q154" t="s">
        <v>1300</v>
      </c>
      <c r="R154" t="s">
        <v>1377</v>
      </c>
      <c r="S154" t="s">
        <v>1300</v>
      </c>
      <c r="T154" t="s">
        <v>1377</v>
      </c>
      <c r="U154" t="s">
        <v>1300</v>
      </c>
      <c r="V154" t="s">
        <v>1377</v>
      </c>
      <c r="W154" t="s">
        <v>1300</v>
      </c>
      <c r="X154" t="s">
        <v>1370</v>
      </c>
      <c r="Y154" t="s">
        <v>1255</v>
      </c>
      <c r="Z154" t="s">
        <v>1255</v>
      </c>
      <c r="AA154" t="s">
        <v>1255</v>
      </c>
      <c r="AB154" t="s">
        <v>1255</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1495</v>
      </c>
      <c r="CD154" t="s">
        <v>1489</v>
      </c>
      <c r="CE154" t="s">
        <v>1496</v>
      </c>
      <c r="CF154" t="s">
        <v>1492</v>
      </c>
      <c r="CG154" t="b">
        <v>1</v>
      </c>
      <c r="CH154">
        <v>0</v>
      </c>
      <c r="CI154" t="s">
        <v>1563</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x14ac:dyDescent="0.25">
      <c r="A155">
        <v>331</v>
      </c>
      <c r="B155">
        <v>490</v>
      </c>
      <c r="C155" t="s">
        <v>1248</v>
      </c>
      <c r="D155">
        <v>2</v>
      </c>
      <c r="E155" t="s">
        <v>1489</v>
      </c>
      <c r="F155">
        <v>30</v>
      </c>
      <c r="G155">
        <v>1</v>
      </c>
      <c r="H155">
        <v>2</v>
      </c>
      <c r="I155" t="s">
        <v>973</v>
      </c>
      <c r="J155" t="s">
        <v>1295</v>
      </c>
      <c r="K155" t="s">
        <v>15</v>
      </c>
      <c r="L155" t="s">
        <v>1518</v>
      </c>
      <c r="M155" t="s">
        <v>1519</v>
      </c>
      <c r="N155" t="s">
        <v>1489</v>
      </c>
      <c r="O155" t="s">
        <v>1283</v>
      </c>
      <c r="P155" t="s">
        <v>1381</v>
      </c>
      <c r="Q155" t="s">
        <v>1283</v>
      </c>
      <c r="R155" t="s">
        <v>1381</v>
      </c>
      <c r="S155" t="s">
        <v>1283</v>
      </c>
      <c r="T155" t="s">
        <v>1381</v>
      </c>
      <c r="U155" t="s">
        <v>1283</v>
      </c>
      <c r="V155" t="s">
        <v>1381</v>
      </c>
      <c r="W155" t="s">
        <v>1283</v>
      </c>
      <c r="X155" t="s">
        <v>1370</v>
      </c>
      <c r="Y155" t="s">
        <v>1255</v>
      </c>
      <c r="Z155" t="s">
        <v>1255</v>
      </c>
      <c r="AA155" t="s">
        <v>1255</v>
      </c>
      <c r="AB155" t="s">
        <v>1255</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1495</v>
      </c>
      <c r="CD155" t="s">
        <v>1489</v>
      </c>
      <c r="CE155" t="s">
        <v>1496</v>
      </c>
      <c r="CF155" t="s">
        <v>1492</v>
      </c>
      <c r="CG155" t="b">
        <v>1</v>
      </c>
      <c r="CH155">
        <v>0</v>
      </c>
      <c r="CI155" t="s">
        <v>1564</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x14ac:dyDescent="0.25">
      <c r="A156">
        <v>432</v>
      </c>
      <c r="B156">
        <v>695</v>
      </c>
      <c r="C156" t="s">
        <v>1248</v>
      </c>
      <c r="D156">
        <v>1</v>
      </c>
      <c r="E156" t="s">
        <v>1489</v>
      </c>
      <c r="F156">
        <v>4</v>
      </c>
      <c r="G156">
        <v>1</v>
      </c>
      <c r="H156">
        <v>2</v>
      </c>
      <c r="I156" t="s">
        <v>1489</v>
      </c>
      <c r="J156" t="s">
        <v>1295</v>
      </c>
      <c r="K156" t="s">
        <v>16</v>
      </c>
      <c r="L156" t="s">
        <v>1489</v>
      </c>
      <c r="M156" t="s">
        <v>1519</v>
      </c>
      <c r="N156" t="s">
        <v>1489</v>
      </c>
      <c r="O156" t="s">
        <v>1300</v>
      </c>
      <c r="P156" t="s">
        <v>1377</v>
      </c>
      <c r="Q156" t="s">
        <v>1300</v>
      </c>
      <c r="R156" t="s">
        <v>1377</v>
      </c>
      <c r="S156" t="s">
        <v>1300</v>
      </c>
      <c r="T156" t="s">
        <v>1377</v>
      </c>
      <c r="U156" t="s">
        <v>1300</v>
      </c>
      <c r="V156" t="s">
        <v>1377</v>
      </c>
      <c r="W156" t="s">
        <v>1300</v>
      </c>
      <c r="X156" t="s">
        <v>1370</v>
      </c>
      <c r="Y156" t="s">
        <v>1255</v>
      </c>
      <c r="Z156" t="s">
        <v>1255</v>
      </c>
      <c r="AA156" t="s">
        <v>1255</v>
      </c>
      <c r="AB156" t="s">
        <v>1255</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1251</v>
      </c>
      <c r="CD156" t="s">
        <v>1489</v>
      </c>
      <c r="CE156" t="s">
        <v>1496</v>
      </c>
      <c r="CF156" t="s">
        <v>1492</v>
      </c>
      <c r="CG156" t="b">
        <v>1</v>
      </c>
      <c r="CH156">
        <v>0</v>
      </c>
      <c r="CI156" t="s">
        <v>1565</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x14ac:dyDescent="0.25">
      <c r="A157">
        <v>431</v>
      </c>
      <c r="B157">
        <v>695</v>
      </c>
      <c r="C157" t="s">
        <v>1248</v>
      </c>
      <c r="D157">
        <v>2</v>
      </c>
      <c r="E157" t="s">
        <v>1489</v>
      </c>
      <c r="F157">
        <v>4</v>
      </c>
      <c r="G157">
        <v>1</v>
      </c>
      <c r="H157">
        <v>2</v>
      </c>
      <c r="I157" t="s">
        <v>1489</v>
      </c>
      <c r="J157" t="s">
        <v>1295</v>
      </c>
      <c r="K157" t="s">
        <v>16</v>
      </c>
      <c r="L157" t="s">
        <v>1489</v>
      </c>
      <c r="M157" t="s">
        <v>1519</v>
      </c>
      <c r="N157" t="s">
        <v>1489</v>
      </c>
      <c r="O157" t="s">
        <v>1300</v>
      </c>
      <c r="P157" t="s">
        <v>1377</v>
      </c>
      <c r="Q157" t="s">
        <v>1300</v>
      </c>
      <c r="R157" t="s">
        <v>1377</v>
      </c>
      <c r="S157" t="s">
        <v>1300</v>
      </c>
      <c r="T157" t="s">
        <v>1377</v>
      </c>
      <c r="U157" t="s">
        <v>1300</v>
      </c>
      <c r="V157" t="s">
        <v>1377</v>
      </c>
      <c r="W157" t="s">
        <v>1300</v>
      </c>
      <c r="X157" t="s">
        <v>1370</v>
      </c>
      <c r="Y157" t="s">
        <v>1255</v>
      </c>
      <c r="Z157" t="s">
        <v>1255</v>
      </c>
      <c r="AA157" t="s">
        <v>1255</v>
      </c>
      <c r="AB157" t="s">
        <v>1255</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1251</v>
      </c>
      <c r="CD157" t="s">
        <v>1489</v>
      </c>
      <c r="CE157" t="s">
        <v>1496</v>
      </c>
      <c r="CF157" t="s">
        <v>1492</v>
      </c>
      <c r="CG157" t="b">
        <v>1</v>
      </c>
      <c r="CH157">
        <v>0</v>
      </c>
      <c r="CI157" t="s">
        <v>1566</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x14ac:dyDescent="0.25">
      <c r="A158">
        <v>334</v>
      </c>
      <c r="B158">
        <v>492</v>
      </c>
      <c r="C158" t="s">
        <v>1248</v>
      </c>
      <c r="D158">
        <v>1</v>
      </c>
      <c r="E158" t="s">
        <v>1489</v>
      </c>
      <c r="F158">
        <v>4</v>
      </c>
      <c r="G158">
        <v>1</v>
      </c>
      <c r="H158">
        <v>2</v>
      </c>
      <c r="I158" t="s">
        <v>973</v>
      </c>
      <c r="J158" t="s">
        <v>1295</v>
      </c>
      <c r="K158" t="s">
        <v>15</v>
      </c>
      <c r="L158" t="s">
        <v>1494</v>
      </c>
      <c r="M158" t="s">
        <v>1519</v>
      </c>
      <c r="N158" t="s">
        <v>1489</v>
      </c>
      <c r="O158" t="s">
        <v>1300</v>
      </c>
      <c r="P158" t="s">
        <v>1377</v>
      </c>
      <c r="Q158" t="s">
        <v>1300</v>
      </c>
      <c r="R158" t="s">
        <v>1377</v>
      </c>
      <c r="S158" t="s">
        <v>1300</v>
      </c>
      <c r="T158" t="s">
        <v>1377</v>
      </c>
      <c r="U158" t="s">
        <v>1300</v>
      </c>
      <c r="V158" t="s">
        <v>1377</v>
      </c>
      <c r="W158" t="s">
        <v>1300</v>
      </c>
      <c r="X158" t="s">
        <v>1370</v>
      </c>
      <c r="Y158" t="s">
        <v>1255</v>
      </c>
      <c r="Z158" t="s">
        <v>1255</v>
      </c>
      <c r="AA158" t="s">
        <v>1255</v>
      </c>
      <c r="AB158" t="s">
        <v>1255</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1495</v>
      </c>
      <c r="CD158" t="s">
        <v>1489</v>
      </c>
      <c r="CE158" t="s">
        <v>1498</v>
      </c>
      <c r="CF158" t="s">
        <v>1492</v>
      </c>
      <c r="CG158" t="b">
        <v>1</v>
      </c>
      <c r="CH158">
        <v>0</v>
      </c>
      <c r="CI158" t="s">
        <v>1567</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x14ac:dyDescent="0.25">
      <c r="A159">
        <v>333</v>
      </c>
      <c r="B159">
        <v>492</v>
      </c>
      <c r="C159" t="s">
        <v>1248</v>
      </c>
      <c r="D159">
        <v>2</v>
      </c>
      <c r="E159" t="s">
        <v>1489</v>
      </c>
      <c r="F159">
        <v>4</v>
      </c>
      <c r="G159">
        <v>1</v>
      </c>
      <c r="H159">
        <v>2</v>
      </c>
      <c r="I159" t="s">
        <v>973</v>
      </c>
      <c r="J159" t="s">
        <v>1295</v>
      </c>
      <c r="K159" t="s">
        <v>15</v>
      </c>
      <c r="L159" t="s">
        <v>1494</v>
      </c>
      <c r="M159" t="s">
        <v>1519</v>
      </c>
      <c r="N159" t="s">
        <v>1489</v>
      </c>
      <c r="O159" t="s">
        <v>1300</v>
      </c>
      <c r="P159" t="s">
        <v>1377</v>
      </c>
      <c r="Q159" t="s">
        <v>1300</v>
      </c>
      <c r="R159" t="s">
        <v>1377</v>
      </c>
      <c r="S159" t="s">
        <v>1300</v>
      </c>
      <c r="T159" t="s">
        <v>1377</v>
      </c>
      <c r="U159" t="s">
        <v>1300</v>
      </c>
      <c r="V159" t="s">
        <v>1377</v>
      </c>
      <c r="W159" t="s">
        <v>1300</v>
      </c>
      <c r="X159" t="s">
        <v>1370</v>
      </c>
      <c r="Y159" t="s">
        <v>1255</v>
      </c>
      <c r="Z159" t="s">
        <v>1255</v>
      </c>
      <c r="AA159" t="s">
        <v>1255</v>
      </c>
      <c r="AB159" t="s">
        <v>1255</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1495</v>
      </c>
      <c r="CD159" t="s">
        <v>1489</v>
      </c>
      <c r="CE159" t="s">
        <v>1498</v>
      </c>
      <c r="CF159" t="s">
        <v>1492</v>
      </c>
      <c r="CG159" t="b">
        <v>1</v>
      </c>
      <c r="CH159">
        <v>0</v>
      </c>
      <c r="CI159" t="s">
        <v>1567</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x14ac:dyDescent="0.25">
      <c r="A160">
        <v>336</v>
      </c>
      <c r="B160">
        <v>493</v>
      </c>
      <c r="C160" t="s">
        <v>1248</v>
      </c>
      <c r="D160">
        <v>1</v>
      </c>
      <c r="E160" t="s">
        <v>1489</v>
      </c>
      <c r="F160">
        <v>3</v>
      </c>
      <c r="G160">
        <v>1</v>
      </c>
      <c r="H160">
        <v>2</v>
      </c>
      <c r="I160" t="s">
        <v>1489</v>
      </c>
      <c r="J160" t="s">
        <v>1295</v>
      </c>
      <c r="K160" t="s">
        <v>16</v>
      </c>
      <c r="L160" t="s">
        <v>1499</v>
      </c>
      <c r="M160" t="s">
        <v>1519</v>
      </c>
      <c r="N160" t="s">
        <v>1489</v>
      </c>
      <c r="O160" t="s">
        <v>1300</v>
      </c>
      <c r="P160" t="s">
        <v>1377</v>
      </c>
      <c r="Q160" t="s">
        <v>1300</v>
      </c>
      <c r="R160" t="s">
        <v>1377</v>
      </c>
      <c r="S160" t="s">
        <v>1300</v>
      </c>
      <c r="T160" t="s">
        <v>1377</v>
      </c>
      <c r="U160" t="s">
        <v>1300</v>
      </c>
      <c r="V160" t="s">
        <v>1377</v>
      </c>
      <c r="W160" t="s">
        <v>1300</v>
      </c>
      <c r="X160" t="s">
        <v>1370</v>
      </c>
      <c r="Y160" t="s">
        <v>1255</v>
      </c>
      <c r="Z160" t="s">
        <v>1255</v>
      </c>
      <c r="AA160" t="s">
        <v>1255</v>
      </c>
      <c r="AB160" t="s">
        <v>1255</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1495</v>
      </c>
      <c r="CD160" t="s">
        <v>1489</v>
      </c>
      <c r="CE160" t="s">
        <v>1498</v>
      </c>
      <c r="CF160" t="s">
        <v>1492</v>
      </c>
      <c r="CG160" t="b">
        <v>1</v>
      </c>
      <c r="CH160">
        <v>0</v>
      </c>
      <c r="CI160" t="s">
        <v>1568</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x14ac:dyDescent="0.25">
      <c r="A161">
        <v>335</v>
      </c>
      <c r="B161">
        <v>493</v>
      </c>
      <c r="C161" t="s">
        <v>1248</v>
      </c>
      <c r="D161">
        <v>2</v>
      </c>
      <c r="E161" t="s">
        <v>1489</v>
      </c>
      <c r="F161">
        <v>3</v>
      </c>
      <c r="G161">
        <v>1</v>
      </c>
      <c r="H161">
        <v>2</v>
      </c>
      <c r="I161" t="s">
        <v>1489</v>
      </c>
      <c r="J161" t="s">
        <v>1295</v>
      </c>
      <c r="K161" t="s">
        <v>16</v>
      </c>
      <c r="L161" t="s">
        <v>1499</v>
      </c>
      <c r="M161" t="s">
        <v>1519</v>
      </c>
      <c r="N161" t="s">
        <v>1489</v>
      </c>
      <c r="O161" t="s">
        <v>1300</v>
      </c>
      <c r="P161" t="s">
        <v>1377</v>
      </c>
      <c r="Q161" t="s">
        <v>1300</v>
      </c>
      <c r="R161" t="s">
        <v>1377</v>
      </c>
      <c r="S161" t="s">
        <v>1300</v>
      </c>
      <c r="T161" t="s">
        <v>1377</v>
      </c>
      <c r="U161" t="s">
        <v>1300</v>
      </c>
      <c r="V161" t="s">
        <v>1377</v>
      </c>
      <c r="W161" t="s">
        <v>1300</v>
      </c>
      <c r="X161" t="s">
        <v>1370</v>
      </c>
      <c r="Y161" t="s">
        <v>1255</v>
      </c>
      <c r="Z161" t="s">
        <v>1255</v>
      </c>
      <c r="AA161" t="s">
        <v>1255</v>
      </c>
      <c r="AB161" t="s">
        <v>1255</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1495</v>
      </c>
      <c r="CD161" t="s">
        <v>1489</v>
      </c>
      <c r="CE161" t="s">
        <v>1498</v>
      </c>
      <c r="CF161" t="s">
        <v>1492</v>
      </c>
      <c r="CG161" t="b">
        <v>1</v>
      </c>
      <c r="CH161">
        <v>0</v>
      </c>
      <c r="CI161" t="s">
        <v>1568</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x14ac:dyDescent="0.25">
      <c r="A162">
        <v>338</v>
      </c>
      <c r="B162">
        <v>496</v>
      </c>
      <c r="C162" t="s">
        <v>1248</v>
      </c>
      <c r="D162">
        <v>1</v>
      </c>
      <c r="E162" t="s">
        <v>1489</v>
      </c>
      <c r="F162">
        <v>10</v>
      </c>
      <c r="G162">
        <v>1</v>
      </c>
      <c r="H162">
        <v>2</v>
      </c>
      <c r="I162" t="s">
        <v>1001</v>
      </c>
      <c r="J162" t="s">
        <v>1295</v>
      </c>
      <c r="K162" t="s">
        <v>15</v>
      </c>
      <c r="L162" t="s">
        <v>1494</v>
      </c>
      <c r="M162" t="s">
        <v>1519</v>
      </c>
      <c r="N162" t="s">
        <v>1489</v>
      </c>
      <c r="O162" t="s">
        <v>1300</v>
      </c>
      <c r="P162" t="s">
        <v>1377</v>
      </c>
      <c r="Q162" t="s">
        <v>1300</v>
      </c>
      <c r="R162" t="s">
        <v>1377</v>
      </c>
      <c r="S162" t="s">
        <v>1300</v>
      </c>
      <c r="T162" t="s">
        <v>1377</v>
      </c>
      <c r="U162" t="s">
        <v>1300</v>
      </c>
      <c r="V162" t="s">
        <v>1377</v>
      </c>
      <c r="W162" t="s">
        <v>1300</v>
      </c>
      <c r="X162" t="s">
        <v>1370</v>
      </c>
      <c r="Y162" t="s">
        <v>1255</v>
      </c>
      <c r="Z162" t="s">
        <v>1255</v>
      </c>
      <c r="AA162" t="s">
        <v>1255</v>
      </c>
      <c r="AB162" t="s">
        <v>1255</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1495</v>
      </c>
      <c r="CD162" t="s">
        <v>1489</v>
      </c>
      <c r="CE162" t="s">
        <v>1496</v>
      </c>
      <c r="CF162" t="s">
        <v>1492</v>
      </c>
      <c r="CG162" t="b">
        <v>1</v>
      </c>
      <c r="CH162">
        <v>0</v>
      </c>
      <c r="CI162" t="s">
        <v>1569</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x14ac:dyDescent="0.25">
      <c r="A163">
        <v>337</v>
      </c>
      <c r="B163">
        <v>496</v>
      </c>
      <c r="C163" t="s">
        <v>1248</v>
      </c>
      <c r="D163">
        <v>2</v>
      </c>
      <c r="E163" t="s">
        <v>1489</v>
      </c>
      <c r="F163">
        <v>10</v>
      </c>
      <c r="G163">
        <v>1</v>
      </c>
      <c r="H163">
        <v>2</v>
      </c>
      <c r="I163" t="s">
        <v>1001</v>
      </c>
      <c r="J163" t="s">
        <v>1295</v>
      </c>
      <c r="K163" t="s">
        <v>15</v>
      </c>
      <c r="L163" t="s">
        <v>1494</v>
      </c>
      <c r="M163" t="s">
        <v>1519</v>
      </c>
      <c r="N163" t="s">
        <v>1489</v>
      </c>
      <c r="O163" t="s">
        <v>1300</v>
      </c>
      <c r="P163" t="s">
        <v>1377</v>
      </c>
      <c r="Q163" t="s">
        <v>1300</v>
      </c>
      <c r="R163" t="s">
        <v>1377</v>
      </c>
      <c r="S163" t="s">
        <v>1300</v>
      </c>
      <c r="T163" t="s">
        <v>1377</v>
      </c>
      <c r="U163" t="s">
        <v>1300</v>
      </c>
      <c r="V163" t="s">
        <v>1377</v>
      </c>
      <c r="W163" t="s">
        <v>1300</v>
      </c>
      <c r="X163" t="s">
        <v>1370</v>
      </c>
      <c r="Y163" t="s">
        <v>1255</v>
      </c>
      <c r="Z163" t="s">
        <v>1255</v>
      </c>
      <c r="AA163" t="s">
        <v>1255</v>
      </c>
      <c r="AB163" t="s">
        <v>1255</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1495</v>
      </c>
      <c r="CD163" t="s">
        <v>1489</v>
      </c>
      <c r="CE163" t="s">
        <v>1496</v>
      </c>
      <c r="CF163" t="s">
        <v>1492</v>
      </c>
      <c r="CG163" t="b">
        <v>1</v>
      </c>
      <c r="CH163">
        <v>0</v>
      </c>
      <c r="CI163" t="s">
        <v>1570</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x14ac:dyDescent="0.25">
      <c r="A164">
        <v>475</v>
      </c>
      <c r="B164">
        <v>100009</v>
      </c>
      <c r="C164" t="s">
        <v>1248</v>
      </c>
      <c r="D164">
        <v>1</v>
      </c>
      <c r="E164" t="s">
        <v>1489</v>
      </c>
      <c r="F164">
        <v>3</v>
      </c>
      <c r="G164">
        <v>1</v>
      </c>
      <c r="H164">
        <v>2</v>
      </c>
      <c r="I164" t="s">
        <v>1489</v>
      </c>
      <c r="J164" t="s">
        <v>1295</v>
      </c>
      <c r="K164" t="s">
        <v>16</v>
      </c>
      <c r="L164" t="s">
        <v>1489</v>
      </c>
      <c r="M164" t="s">
        <v>1519</v>
      </c>
      <c r="N164" t="s">
        <v>1489</v>
      </c>
      <c r="O164" t="s">
        <v>1300</v>
      </c>
      <c r="P164" t="s">
        <v>1377</v>
      </c>
      <c r="Q164" t="s">
        <v>1300</v>
      </c>
      <c r="R164" t="s">
        <v>1377</v>
      </c>
      <c r="S164" t="s">
        <v>1300</v>
      </c>
      <c r="T164" t="s">
        <v>1377</v>
      </c>
      <c r="U164" t="s">
        <v>1300</v>
      </c>
      <c r="V164" t="s">
        <v>1377</v>
      </c>
      <c r="W164" t="s">
        <v>1300</v>
      </c>
      <c r="X164" t="s">
        <v>1370</v>
      </c>
      <c r="Y164" t="s">
        <v>1255</v>
      </c>
      <c r="Z164" t="s">
        <v>1255</v>
      </c>
      <c r="AA164" t="s">
        <v>1255</v>
      </c>
      <c r="AB164" t="s">
        <v>1255</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1251</v>
      </c>
      <c r="CD164" t="s">
        <v>1489</v>
      </c>
      <c r="CE164" t="s">
        <v>1496</v>
      </c>
      <c r="CF164" t="s">
        <v>1492</v>
      </c>
      <c r="CG164" t="b">
        <v>1</v>
      </c>
      <c r="CH164">
        <v>0</v>
      </c>
      <c r="CI164" t="s">
        <v>1571</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x14ac:dyDescent="0.25">
      <c r="A165">
        <v>476</v>
      </c>
      <c r="B165">
        <v>100009</v>
      </c>
      <c r="C165" t="s">
        <v>1248</v>
      </c>
      <c r="D165">
        <v>2</v>
      </c>
      <c r="E165" t="s">
        <v>1489</v>
      </c>
      <c r="F165">
        <v>3</v>
      </c>
      <c r="G165">
        <v>1</v>
      </c>
      <c r="H165">
        <v>2</v>
      </c>
      <c r="I165" t="s">
        <v>1489</v>
      </c>
      <c r="J165" t="s">
        <v>1295</v>
      </c>
      <c r="K165" t="s">
        <v>16</v>
      </c>
      <c r="L165" t="s">
        <v>1494</v>
      </c>
      <c r="M165" t="s">
        <v>1519</v>
      </c>
      <c r="N165" t="s">
        <v>1489</v>
      </c>
      <c r="O165" t="s">
        <v>1300</v>
      </c>
      <c r="P165" t="s">
        <v>1377</v>
      </c>
      <c r="Q165" t="s">
        <v>1300</v>
      </c>
      <c r="R165" t="s">
        <v>1377</v>
      </c>
      <c r="S165" t="s">
        <v>1300</v>
      </c>
      <c r="T165" t="s">
        <v>1377</v>
      </c>
      <c r="U165" t="s">
        <v>1300</v>
      </c>
      <c r="V165" t="s">
        <v>1377</v>
      </c>
      <c r="W165" t="s">
        <v>1300</v>
      </c>
      <c r="X165" t="s">
        <v>1370</v>
      </c>
      <c r="Y165" t="s">
        <v>1255</v>
      </c>
      <c r="Z165" t="s">
        <v>1255</v>
      </c>
      <c r="AA165" t="s">
        <v>1255</v>
      </c>
      <c r="AB165" t="s">
        <v>1255</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1251</v>
      </c>
      <c r="CD165" t="s">
        <v>1489</v>
      </c>
      <c r="CE165" t="s">
        <v>1496</v>
      </c>
      <c r="CF165" t="s">
        <v>1492</v>
      </c>
      <c r="CG165" t="b">
        <v>1</v>
      </c>
      <c r="CH165">
        <v>0</v>
      </c>
      <c r="CI165" t="s">
        <v>1571</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x14ac:dyDescent="0.25">
      <c r="A166">
        <v>340</v>
      </c>
      <c r="B166">
        <v>499</v>
      </c>
      <c r="C166" t="s">
        <v>1248</v>
      </c>
      <c r="D166">
        <v>1</v>
      </c>
      <c r="E166" t="s">
        <v>1489</v>
      </c>
      <c r="F166">
        <v>10</v>
      </c>
      <c r="G166">
        <v>1</v>
      </c>
      <c r="H166">
        <v>2</v>
      </c>
      <c r="I166" t="s">
        <v>1001</v>
      </c>
      <c r="J166" t="s">
        <v>1295</v>
      </c>
      <c r="K166" t="s">
        <v>15</v>
      </c>
      <c r="L166" t="s">
        <v>1494</v>
      </c>
      <c r="M166" t="s">
        <v>1519</v>
      </c>
      <c r="N166" t="s">
        <v>1489</v>
      </c>
      <c r="O166" t="s">
        <v>1300</v>
      </c>
      <c r="P166" t="s">
        <v>1377</v>
      </c>
      <c r="Q166" t="s">
        <v>1300</v>
      </c>
      <c r="R166" t="s">
        <v>1377</v>
      </c>
      <c r="S166" t="s">
        <v>1300</v>
      </c>
      <c r="T166" t="s">
        <v>1377</v>
      </c>
      <c r="U166" t="s">
        <v>1300</v>
      </c>
      <c r="V166" t="s">
        <v>1377</v>
      </c>
      <c r="W166" t="s">
        <v>1300</v>
      </c>
      <c r="X166" t="s">
        <v>1370</v>
      </c>
      <c r="Y166" t="s">
        <v>1255</v>
      </c>
      <c r="Z166" t="s">
        <v>1255</v>
      </c>
      <c r="AA166" t="s">
        <v>1255</v>
      </c>
      <c r="AB166" t="s">
        <v>1255</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1495</v>
      </c>
      <c r="CD166" t="s">
        <v>1489</v>
      </c>
      <c r="CE166" t="s">
        <v>1498</v>
      </c>
      <c r="CF166" t="s">
        <v>1492</v>
      </c>
      <c r="CG166" t="b">
        <v>1</v>
      </c>
      <c r="CH166">
        <v>0</v>
      </c>
      <c r="CI166" t="s">
        <v>1572</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x14ac:dyDescent="0.25">
      <c r="A167">
        <v>339</v>
      </c>
      <c r="B167">
        <v>499</v>
      </c>
      <c r="C167" t="s">
        <v>1248</v>
      </c>
      <c r="D167">
        <v>2</v>
      </c>
      <c r="E167" t="s">
        <v>1489</v>
      </c>
      <c r="F167">
        <v>10</v>
      </c>
      <c r="G167">
        <v>1</v>
      </c>
      <c r="H167">
        <v>2</v>
      </c>
      <c r="I167" t="s">
        <v>1001</v>
      </c>
      <c r="J167" t="s">
        <v>1295</v>
      </c>
      <c r="K167" t="s">
        <v>15</v>
      </c>
      <c r="L167" t="s">
        <v>1494</v>
      </c>
      <c r="M167" t="s">
        <v>1519</v>
      </c>
      <c r="N167" t="s">
        <v>1489</v>
      </c>
      <c r="O167" t="s">
        <v>1300</v>
      </c>
      <c r="P167" t="s">
        <v>1377</v>
      </c>
      <c r="Q167" t="s">
        <v>1300</v>
      </c>
      <c r="R167" t="s">
        <v>1377</v>
      </c>
      <c r="S167" t="s">
        <v>1300</v>
      </c>
      <c r="T167" t="s">
        <v>1377</v>
      </c>
      <c r="U167" t="s">
        <v>1300</v>
      </c>
      <c r="V167" t="s">
        <v>1377</v>
      </c>
      <c r="W167" t="s">
        <v>1300</v>
      </c>
      <c r="X167" t="s">
        <v>1370</v>
      </c>
      <c r="Y167" t="s">
        <v>1255</v>
      </c>
      <c r="Z167" t="s">
        <v>1255</v>
      </c>
      <c r="AA167" t="s">
        <v>1255</v>
      </c>
      <c r="AB167" t="s">
        <v>1255</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1495</v>
      </c>
      <c r="CD167" t="s">
        <v>1489</v>
      </c>
      <c r="CE167" t="s">
        <v>1498</v>
      </c>
      <c r="CF167" t="s">
        <v>1492</v>
      </c>
      <c r="CG167" t="b">
        <v>1</v>
      </c>
      <c r="CH167">
        <v>0</v>
      </c>
      <c r="CI167" t="s">
        <v>1572</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x14ac:dyDescent="0.25">
      <c r="A168">
        <v>342</v>
      </c>
      <c r="B168">
        <v>500</v>
      </c>
      <c r="C168" t="s">
        <v>1248</v>
      </c>
      <c r="D168">
        <v>1</v>
      </c>
      <c r="E168" t="s">
        <v>1489</v>
      </c>
      <c r="F168">
        <v>4</v>
      </c>
      <c r="G168">
        <v>1</v>
      </c>
      <c r="H168">
        <v>2</v>
      </c>
      <c r="I168" t="s">
        <v>1489</v>
      </c>
      <c r="J168" t="s">
        <v>1295</v>
      </c>
      <c r="K168" t="s">
        <v>16</v>
      </c>
      <c r="L168" t="s">
        <v>1499</v>
      </c>
      <c r="M168" t="s">
        <v>1519</v>
      </c>
      <c r="N168" t="s">
        <v>1489</v>
      </c>
      <c r="O168" t="s">
        <v>1300</v>
      </c>
      <c r="P168" t="s">
        <v>1377</v>
      </c>
      <c r="Q168" t="s">
        <v>1300</v>
      </c>
      <c r="R168" t="s">
        <v>1377</v>
      </c>
      <c r="S168" t="s">
        <v>1300</v>
      </c>
      <c r="T168" t="s">
        <v>1377</v>
      </c>
      <c r="U168" t="s">
        <v>1300</v>
      </c>
      <c r="V168" t="s">
        <v>1377</v>
      </c>
      <c r="W168" t="s">
        <v>1300</v>
      </c>
      <c r="X168" t="s">
        <v>1370</v>
      </c>
      <c r="Y168" t="s">
        <v>1255</v>
      </c>
      <c r="Z168" t="s">
        <v>1255</v>
      </c>
      <c r="AA168" t="s">
        <v>1255</v>
      </c>
      <c r="AB168" t="s">
        <v>1255</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1495</v>
      </c>
      <c r="CD168" t="s">
        <v>1489</v>
      </c>
      <c r="CE168" t="s">
        <v>1498</v>
      </c>
      <c r="CF168" t="s">
        <v>1492</v>
      </c>
      <c r="CG168" t="b">
        <v>1</v>
      </c>
      <c r="CH168">
        <v>0</v>
      </c>
      <c r="CI168" t="s">
        <v>1573</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x14ac:dyDescent="0.25">
      <c r="A169">
        <v>341</v>
      </c>
      <c r="B169">
        <v>500</v>
      </c>
      <c r="C169" t="s">
        <v>1248</v>
      </c>
      <c r="D169">
        <v>2</v>
      </c>
      <c r="E169" t="s">
        <v>1489</v>
      </c>
      <c r="F169">
        <v>4</v>
      </c>
      <c r="G169">
        <v>1</v>
      </c>
      <c r="H169">
        <v>2</v>
      </c>
      <c r="I169" t="s">
        <v>1489</v>
      </c>
      <c r="J169" t="s">
        <v>1295</v>
      </c>
      <c r="K169" t="s">
        <v>16</v>
      </c>
      <c r="L169" t="s">
        <v>1499</v>
      </c>
      <c r="M169" t="s">
        <v>1519</v>
      </c>
      <c r="N169" t="s">
        <v>1489</v>
      </c>
      <c r="O169" t="s">
        <v>1300</v>
      </c>
      <c r="P169" t="s">
        <v>1377</v>
      </c>
      <c r="Q169" t="s">
        <v>1300</v>
      </c>
      <c r="R169" t="s">
        <v>1377</v>
      </c>
      <c r="S169" t="s">
        <v>1300</v>
      </c>
      <c r="T169" t="s">
        <v>1377</v>
      </c>
      <c r="U169" t="s">
        <v>1300</v>
      </c>
      <c r="V169" t="s">
        <v>1377</v>
      </c>
      <c r="W169" t="s">
        <v>1300</v>
      </c>
      <c r="X169" t="s">
        <v>1370</v>
      </c>
      <c r="Y169" t="s">
        <v>1255</v>
      </c>
      <c r="Z169" t="s">
        <v>1255</v>
      </c>
      <c r="AA169" t="s">
        <v>1255</v>
      </c>
      <c r="AB169" t="s">
        <v>1255</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1495</v>
      </c>
      <c r="CD169" t="s">
        <v>1489</v>
      </c>
      <c r="CE169" t="s">
        <v>1498</v>
      </c>
      <c r="CF169" t="s">
        <v>1492</v>
      </c>
      <c r="CG169" t="b">
        <v>1</v>
      </c>
      <c r="CH169">
        <v>0</v>
      </c>
      <c r="CI169" t="s">
        <v>1574</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x14ac:dyDescent="0.25">
      <c r="A170">
        <v>344</v>
      </c>
      <c r="B170">
        <v>501</v>
      </c>
      <c r="C170" t="s">
        <v>1248</v>
      </c>
      <c r="D170">
        <v>1</v>
      </c>
      <c r="E170" t="s">
        <v>1489</v>
      </c>
      <c r="F170">
        <v>6</v>
      </c>
      <c r="G170">
        <v>1</v>
      </c>
      <c r="H170">
        <v>2</v>
      </c>
      <c r="I170" t="s">
        <v>387</v>
      </c>
      <c r="J170" t="s">
        <v>1295</v>
      </c>
      <c r="K170" t="s">
        <v>15</v>
      </c>
      <c r="L170" t="s">
        <v>1494</v>
      </c>
      <c r="M170" t="s">
        <v>1519</v>
      </c>
      <c r="N170" t="s">
        <v>1489</v>
      </c>
      <c r="O170" t="s">
        <v>1300</v>
      </c>
      <c r="P170" t="s">
        <v>1377</v>
      </c>
      <c r="Q170" t="s">
        <v>1300</v>
      </c>
      <c r="R170" t="s">
        <v>1377</v>
      </c>
      <c r="S170" t="s">
        <v>1300</v>
      </c>
      <c r="T170" t="s">
        <v>1377</v>
      </c>
      <c r="U170" t="s">
        <v>1300</v>
      </c>
      <c r="V170" t="s">
        <v>1377</v>
      </c>
      <c r="W170" t="s">
        <v>1300</v>
      </c>
      <c r="X170" t="s">
        <v>1370</v>
      </c>
      <c r="Y170" t="s">
        <v>1255</v>
      </c>
      <c r="Z170" t="s">
        <v>1255</v>
      </c>
      <c r="AA170" t="s">
        <v>1255</v>
      </c>
      <c r="AB170" t="s">
        <v>1255</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1495</v>
      </c>
      <c r="CD170" t="s">
        <v>1489</v>
      </c>
      <c r="CE170" t="s">
        <v>1496</v>
      </c>
      <c r="CF170" t="s">
        <v>1492</v>
      </c>
      <c r="CG170" t="b">
        <v>1</v>
      </c>
      <c r="CH170">
        <v>0</v>
      </c>
      <c r="CI170" t="s">
        <v>1575</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x14ac:dyDescent="0.25">
      <c r="A171">
        <v>343</v>
      </c>
      <c r="B171">
        <v>501</v>
      </c>
      <c r="C171" t="s">
        <v>1248</v>
      </c>
      <c r="D171">
        <v>2</v>
      </c>
      <c r="E171" t="s">
        <v>1489</v>
      </c>
      <c r="F171">
        <v>6</v>
      </c>
      <c r="G171">
        <v>1</v>
      </c>
      <c r="H171">
        <v>2</v>
      </c>
      <c r="I171" t="s">
        <v>387</v>
      </c>
      <c r="J171" t="s">
        <v>1295</v>
      </c>
      <c r="K171" t="s">
        <v>15</v>
      </c>
      <c r="L171" t="s">
        <v>1494</v>
      </c>
      <c r="M171" t="s">
        <v>1519</v>
      </c>
      <c r="N171" t="s">
        <v>1489</v>
      </c>
      <c r="O171" t="s">
        <v>1300</v>
      </c>
      <c r="P171" t="s">
        <v>1377</v>
      </c>
      <c r="Q171" t="s">
        <v>1300</v>
      </c>
      <c r="R171" t="s">
        <v>1377</v>
      </c>
      <c r="S171" t="s">
        <v>1300</v>
      </c>
      <c r="T171" t="s">
        <v>1377</v>
      </c>
      <c r="U171" t="s">
        <v>1300</v>
      </c>
      <c r="V171" t="s">
        <v>1377</v>
      </c>
      <c r="W171" t="s">
        <v>1300</v>
      </c>
      <c r="X171" t="s">
        <v>1370</v>
      </c>
      <c r="Y171" t="s">
        <v>1255</v>
      </c>
      <c r="Z171" t="s">
        <v>1255</v>
      </c>
      <c r="AA171" t="s">
        <v>1255</v>
      </c>
      <c r="AB171" t="s">
        <v>1255</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1495</v>
      </c>
      <c r="CD171" t="s">
        <v>1489</v>
      </c>
      <c r="CE171" t="s">
        <v>1496</v>
      </c>
      <c r="CF171" t="s">
        <v>1492</v>
      </c>
      <c r="CG171" t="b">
        <v>1</v>
      </c>
      <c r="CH171">
        <v>0</v>
      </c>
      <c r="CI171" t="s">
        <v>1575</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x14ac:dyDescent="0.25">
      <c r="A172">
        <v>346</v>
      </c>
      <c r="B172">
        <v>502</v>
      </c>
      <c r="C172" t="s">
        <v>1248</v>
      </c>
      <c r="D172">
        <v>1</v>
      </c>
      <c r="E172" t="s">
        <v>1489</v>
      </c>
      <c r="F172">
        <v>2</v>
      </c>
      <c r="G172">
        <v>1</v>
      </c>
      <c r="H172">
        <v>2</v>
      </c>
      <c r="I172" t="s">
        <v>1489</v>
      </c>
      <c r="J172" t="s">
        <v>1295</v>
      </c>
      <c r="K172" t="s">
        <v>16</v>
      </c>
      <c r="L172" t="s">
        <v>1499</v>
      </c>
      <c r="M172" t="s">
        <v>1519</v>
      </c>
      <c r="N172" t="s">
        <v>1489</v>
      </c>
      <c r="O172" t="s">
        <v>1300</v>
      </c>
      <c r="P172" t="s">
        <v>1377</v>
      </c>
      <c r="Q172" t="s">
        <v>1300</v>
      </c>
      <c r="R172" t="s">
        <v>1377</v>
      </c>
      <c r="S172" t="s">
        <v>1300</v>
      </c>
      <c r="T172" t="s">
        <v>1377</v>
      </c>
      <c r="U172" t="s">
        <v>1300</v>
      </c>
      <c r="V172" t="s">
        <v>1377</v>
      </c>
      <c r="W172" t="s">
        <v>1300</v>
      </c>
      <c r="X172" t="s">
        <v>1370</v>
      </c>
      <c r="Y172" t="s">
        <v>1255</v>
      </c>
      <c r="Z172" t="s">
        <v>1255</v>
      </c>
      <c r="AA172" t="s">
        <v>1255</v>
      </c>
      <c r="AB172" t="s">
        <v>1255</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1251</v>
      </c>
      <c r="CD172" t="s">
        <v>1489</v>
      </c>
      <c r="CE172" t="s">
        <v>1496</v>
      </c>
      <c r="CF172" t="s">
        <v>1492</v>
      </c>
      <c r="CG172" t="b">
        <v>1</v>
      </c>
      <c r="CH172">
        <v>0</v>
      </c>
      <c r="CI172" t="s">
        <v>1576</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x14ac:dyDescent="0.25">
      <c r="A173">
        <v>345</v>
      </c>
      <c r="B173">
        <v>502</v>
      </c>
      <c r="C173" t="s">
        <v>1248</v>
      </c>
      <c r="D173">
        <v>2</v>
      </c>
      <c r="E173" t="s">
        <v>1489</v>
      </c>
      <c r="F173">
        <v>2</v>
      </c>
      <c r="G173">
        <v>1</v>
      </c>
      <c r="H173">
        <v>2</v>
      </c>
      <c r="I173" t="s">
        <v>1489</v>
      </c>
      <c r="J173" t="s">
        <v>1295</v>
      </c>
      <c r="K173" t="s">
        <v>16</v>
      </c>
      <c r="L173" t="s">
        <v>1499</v>
      </c>
      <c r="M173" t="s">
        <v>1519</v>
      </c>
      <c r="N173" t="s">
        <v>1489</v>
      </c>
      <c r="O173" t="s">
        <v>1300</v>
      </c>
      <c r="P173" t="s">
        <v>1377</v>
      </c>
      <c r="Q173" t="s">
        <v>1300</v>
      </c>
      <c r="R173" t="s">
        <v>1377</v>
      </c>
      <c r="S173" t="s">
        <v>1300</v>
      </c>
      <c r="T173" t="s">
        <v>1377</v>
      </c>
      <c r="U173" t="s">
        <v>1300</v>
      </c>
      <c r="V173" t="s">
        <v>1377</v>
      </c>
      <c r="W173" t="s">
        <v>1300</v>
      </c>
      <c r="X173" t="s">
        <v>1370</v>
      </c>
      <c r="Y173" t="s">
        <v>1255</v>
      </c>
      <c r="Z173" t="s">
        <v>1255</v>
      </c>
      <c r="AA173" t="s">
        <v>1255</v>
      </c>
      <c r="AB173" t="s">
        <v>1255</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1251</v>
      </c>
      <c r="CD173" t="s">
        <v>1489</v>
      </c>
      <c r="CE173" t="s">
        <v>1496</v>
      </c>
      <c r="CF173" t="s">
        <v>1492</v>
      </c>
      <c r="CG173" t="b">
        <v>1</v>
      </c>
      <c r="CH173">
        <v>0</v>
      </c>
      <c r="CI173" t="s">
        <v>1576</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x14ac:dyDescent="0.25">
      <c r="A174">
        <v>348</v>
      </c>
      <c r="B174">
        <v>503</v>
      </c>
      <c r="C174" t="s">
        <v>1248</v>
      </c>
      <c r="D174">
        <v>1</v>
      </c>
      <c r="E174" t="s">
        <v>1489</v>
      </c>
      <c r="F174">
        <v>5</v>
      </c>
      <c r="G174">
        <v>1</v>
      </c>
      <c r="H174">
        <v>2</v>
      </c>
      <c r="I174" t="s">
        <v>973</v>
      </c>
      <c r="J174" t="s">
        <v>1295</v>
      </c>
      <c r="K174" t="s">
        <v>15</v>
      </c>
      <c r="L174" t="s">
        <v>1494</v>
      </c>
      <c r="M174" t="s">
        <v>1519</v>
      </c>
      <c r="N174" t="s">
        <v>1489</v>
      </c>
      <c r="O174" t="s">
        <v>1300</v>
      </c>
      <c r="P174" t="s">
        <v>1377</v>
      </c>
      <c r="Q174" t="s">
        <v>1300</v>
      </c>
      <c r="R174" t="s">
        <v>1377</v>
      </c>
      <c r="S174" t="s">
        <v>1300</v>
      </c>
      <c r="T174" t="s">
        <v>1377</v>
      </c>
      <c r="U174" t="s">
        <v>1300</v>
      </c>
      <c r="V174" t="s">
        <v>1377</v>
      </c>
      <c r="W174" t="s">
        <v>1300</v>
      </c>
      <c r="X174" t="s">
        <v>1370</v>
      </c>
      <c r="Y174" t="s">
        <v>1255</v>
      </c>
      <c r="Z174" t="s">
        <v>1255</v>
      </c>
      <c r="AA174" t="s">
        <v>1255</v>
      </c>
      <c r="AB174" t="s">
        <v>1255</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1495</v>
      </c>
      <c r="CD174" t="s">
        <v>1489</v>
      </c>
      <c r="CE174" t="s">
        <v>1496</v>
      </c>
      <c r="CF174" t="s">
        <v>1492</v>
      </c>
      <c r="CG174" t="b">
        <v>1</v>
      </c>
      <c r="CH174">
        <v>0</v>
      </c>
      <c r="CI174" t="s">
        <v>1577</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x14ac:dyDescent="0.25">
      <c r="A175">
        <v>347</v>
      </c>
      <c r="B175">
        <v>503</v>
      </c>
      <c r="C175" t="s">
        <v>1248</v>
      </c>
      <c r="D175">
        <v>2</v>
      </c>
      <c r="E175" t="s">
        <v>1489</v>
      </c>
      <c r="F175">
        <v>5</v>
      </c>
      <c r="G175">
        <v>1</v>
      </c>
      <c r="H175">
        <v>2</v>
      </c>
      <c r="I175" t="s">
        <v>973</v>
      </c>
      <c r="J175" t="s">
        <v>1295</v>
      </c>
      <c r="K175" t="s">
        <v>15</v>
      </c>
      <c r="L175" t="s">
        <v>1494</v>
      </c>
      <c r="M175" t="s">
        <v>1519</v>
      </c>
      <c r="N175" t="s">
        <v>1489</v>
      </c>
      <c r="O175" t="s">
        <v>1300</v>
      </c>
      <c r="P175" t="s">
        <v>1377</v>
      </c>
      <c r="Q175" t="s">
        <v>1300</v>
      </c>
      <c r="R175" t="s">
        <v>1377</v>
      </c>
      <c r="S175" t="s">
        <v>1300</v>
      </c>
      <c r="T175" t="s">
        <v>1377</v>
      </c>
      <c r="U175" t="s">
        <v>1300</v>
      </c>
      <c r="V175" t="s">
        <v>1377</v>
      </c>
      <c r="W175" t="s">
        <v>1300</v>
      </c>
      <c r="X175" t="s">
        <v>1370</v>
      </c>
      <c r="Y175" t="s">
        <v>1255</v>
      </c>
      <c r="Z175" t="s">
        <v>1255</v>
      </c>
      <c r="AA175" t="s">
        <v>1255</v>
      </c>
      <c r="AB175" t="s">
        <v>1255</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1495</v>
      </c>
      <c r="CD175" t="s">
        <v>1489</v>
      </c>
      <c r="CE175" t="s">
        <v>1496</v>
      </c>
      <c r="CF175" t="s">
        <v>1492</v>
      </c>
      <c r="CG175" t="b">
        <v>1</v>
      </c>
      <c r="CH175">
        <v>0</v>
      </c>
      <c r="CI175" t="s">
        <v>1577</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x14ac:dyDescent="0.25">
      <c r="A176">
        <v>350</v>
      </c>
      <c r="B176">
        <v>504</v>
      </c>
      <c r="C176" t="s">
        <v>1248</v>
      </c>
      <c r="D176">
        <v>1</v>
      </c>
      <c r="E176" t="s">
        <v>1489</v>
      </c>
      <c r="F176">
        <v>3</v>
      </c>
      <c r="G176">
        <v>1</v>
      </c>
      <c r="H176">
        <v>2</v>
      </c>
      <c r="I176" t="s">
        <v>1489</v>
      </c>
      <c r="J176" t="s">
        <v>1295</v>
      </c>
      <c r="K176" t="s">
        <v>16</v>
      </c>
      <c r="L176" t="s">
        <v>1499</v>
      </c>
      <c r="M176" t="s">
        <v>1519</v>
      </c>
      <c r="N176" t="s">
        <v>1489</v>
      </c>
      <c r="O176" t="s">
        <v>1300</v>
      </c>
      <c r="P176" t="s">
        <v>1377</v>
      </c>
      <c r="Q176" t="s">
        <v>1300</v>
      </c>
      <c r="R176" t="s">
        <v>1377</v>
      </c>
      <c r="S176" t="s">
        <v>1300</v>
      </c>
      <c r="T176" t="s">
        <v>1377</v>
      </c>
      <c r="U176" t="s">
        <v>1300</v>
      </c>
      <c r="V176" t="s">
        <v>1377</v>
      </c>
      <c r="W176" t="s">
        <v>1300</v>
      </c>
      <c r="X176" t="s">
        <v>1370</v>
      </c>
      <c r="Y176" t="s">
        <v>1255</v>
      </c>
      <c r="Z176" t="s">
        <v>1255</v>
      </c>
      <c r="AA176" t="s">
        <v>1255</v>
      </c>
      <c r="AB176" t="s">
        <v>1255</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1495</v>
      </c>
      <c r="CD176" t="s">
        <v>1489</v>
      </c>
      <c r="CE176" t="s">
        <v>1496</v>
      </c>
      <c r="CF176" t="s">
        <v>1492</v>
      </c>
      <c r="CG176" t="b">
        <v>1</v>
      </c>
      <c r="CH176">
        <v>0</v>
      </c>
      <c r="CI176" t="s">
        <v>1578</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x14ac:dyDescent="0.25">
      <c r="A177">
        <v>349</v>
      </c>
      <c r="B177">
        <v>504</v>
      </c>
      <c r="C177" t="s">
        <v>1248</v>
      </c>
      <c r="D177">
        <v>2</v>
      </c>
      <c r="E177" t="s">
        <v>1489</v>
      </c>
      <c r="F177">
        <v>3</v>
      </c>
      <c r="G177">
        <v>1</v>
      </c>
      <c r="H177">
        <v>2</v>
      </c>
      <c r="I177" t="s">
        <v>1489</v>
      </c>
      <c r="J177" t="s">
        <v>1295</v>
      </c>
      <c r="K177" t="s">
        <v>16</v>
      </c>
      <c r="L177" t="s">
        <v>1499</v>
      </c>
      <c r="M177" t="s">
        <v>1519</v>
      </c>
      <c r="N177" t="s">
        <v>1489</v>
      </c>
      <c r="O177" t="s">
        <v>1300</v>
      </c>
      <c r="P177" t="s">
        <v>1377</v>
      </c>
      <c r="Q177" t="s">
        <v>1300</v>
      </c>
      <c r="R177" t="s">
        <v>1377</v>
      </c>
      <c r="S177" t="s">
        <v>1300</v>
      </c>
      <c r="T177" t="s">
        <v>1377</v>
      </c>
      <c r="U177" t="s">
        <v>1300</v>
      </c>
      <c r="V177" t="s">
        <v>1377</v>
      </c>
      <c r="W177" t="s">
        <v>1300</v>
      </c>
      <c r="X177" t="s">
        <v>1370</v>
      </c>
      <c r="Y177" t="s">
        <v>1255</v>
      </c>
      <c r="Z177" t="s">
        <v>1255</v>
      </c>
      <c r="AA177" t="s">
        <v>1255</v>
      </c>
      <c r="AB177" t="s">
        <v>1255</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1495</v>
      </c>
      <c r="CD177" t="s">
        <v>1489</v>
      </c>
      <c r="CE177" t="s">
        <v>1496</v>
      </c>
      <c r="CF177" t="s">
        <v>1492</v>
      </c>
      <c r="CG177" t="b">
        <v>1</v>
      </c>
      <c r="CH177">
        <v>0</v>
      </c>
      <c r="CI177" t="s">
        <v>1578</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x14ac:dyDescent="0.25">
      <c r="A178">
        <v>357</v>
      </c>
      <c r="B178">
        <v>509</v>
      </c>
      <c r="C178" t="s">
        <v>1248</v>
      </c>
      <c r="D178">
        <v>1</v>
      </c>
      <c r="E178" t="s">
        <v>1489</v>
      </c>
      <c r="F178">
        <v>2</v>
      </c>
      <c r="G178">
        <v>1</v>
      </c>
      <c r="H178">
        <v>2</v>
      </c>
      <c r="I178" t="s">
        <v>973</v>
      </c>
      <c r="J178" t="s">
        <v>1295</v>
      </c>
      <c r="K178" t="s">
        <v>15</v>
      </c>
      <c r="L178" t="s">
        <v>1494</v>
      </c>
      <c r="M178" t="s">
        <v>1519</v>
      </c>
      <c r="N178" t="s">
        <v>1489</v>
      </c>
      <c r="O178" t="s">
        <v>1300</v>
      </c>
      <c r="P178" t="s">
        <v>1377</v>
      </c>
      <c r="Q178" t="s">
        <v>1300</v>
      </c>
      <c r="R178" t="s">
        <v>1377</v>
      </c>
      <c r="S178" t="s">
        <v>1300</v>
      </c>
      <c r="T178" t="s">
        <v>1377</v>
      </c>
      <c r="U178" t="s">
        <v>1300</v>
      </c>
      <c r="V178" t="s">
        <v>1377</v>
      </c>
      <c r="W178" t="s">
        <v>1300</v>
      </c>
      <c r="X178" t="s">
        <v>1370</v>
      </c>
      <c r="Y178" t="s">
        <v>1255</v>
      </c>
      <c r="Z178" t="s">
        <v>1255</v>
      </c>
      <c r="AA178" t="s">
        <v>1255</v>
      </c>
      <c r="AB178" t="s">
        <v>1255</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1495</v>
      </c>
      <c r="CD178" t="s">
        <v>1489</v>
      </c>
      <c r="CE178" t="s">
        <v>1496</v>
      </c>
      <c r="CF178" t="s">
        <v>1492</v>
      </c>
      <c r="CG178" t="b">
        <v>1</v>
      </c>
      <c r="CH178">
        <v>0</v>
      </c>
      <c r="CI178" t="s">
        <v>1579</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x14ac:dyDescent="0.25">
      <c r="A179">
        <v>358</v>
      </c>
      <c r="B179">
        <v>509</v>
      </c>
      <c r="C179" t="s">
        <v>1248</v>
      </c>
      <c r="D179">
        <v>2</v>
      </c>
      <c r="E179" t="s">
        <v>1489</v>
      </c>
      <c r="F179">
        <v>2</v>
      </c>
      <c r="G179">
        <v>1</v>
      </c>
      <c r="H179">
        <v>2</v>
      </c>
      <c r="I179" t="s">
        <v>973</v>
      </c>
      <c r="J179" t="s">
        <v>1295</v>
      </c>
      <c r="K179" t="s">
        <v>15</v>
      </c>
      <c r="L179" t="s">
        <v>1494</v>
      </c>
      <c r="M179" t="s">
        <v>1519</v>
      </c>
      <c r="N179" t="s">
        <v>1489</v>
      </c>
      <c r="O179" t="s">
        <v>1300</v>
      </c>
      <c r="P179" t="s">
        <v>1377</v>
      </c>
      <c r="Q179" t="s">
        <v>1300</v>
      </c>
      <c r="R179" t="s">
        <v>1377</v>
      </c>
      <c r="S179" t="s">
        <v>1300</v>
      </c>
      <c r="T179" t="s">
        <v>1377</v>
      </c>
      <c r="U179" t="s">
        <v>1300</v>
      </c>
      <c r="V179" t="s">
        <v>1377</v>
      </c>
      <c r="W179" t="s">
        <v>1300</v>
      </c>
      <c r="X179" t="s">
        <v>1370</v>
      </c>
      <c r="Y179" t="s">
        <v>1255</v>
      </c>
      <c r="Z179" t="s">
        <v>1255</v>
      </c>
      <c r="AA179" t="s">
        <v>1255</v>
      </c>
      <c r="AB179" t="s">
        <v>1255</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1495</v>
      </c>
      <c r="CD179" t="s">
        <v>1489</v>
      </c>
      <c r="CE179" t="s">
        <v>1496</v>
      </c>
      <c r="CF179" t="s">
        <v>1492</v>
      </c>
      <c r="CG179" t="b">
        <v>1</v>
      </c>
      <c r="CH179">
        <v>0</v>
      </c>
      <c r="CI179" t="s">
        <v>1580</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x14ac:dyDescent="0.25">
      <c r="A180">
        <v>356</v>
      </c>
      <c r="B180">
        <v>508</v>
      </c>
      <c r="C180" t="s">
        <v>1248</v>
      </c>
      <c r="D180">
        <v>1</v>
      </c>
      <c r="E180" t="s">
        <v>1489</v>
      </c>
      <c r="F180">
        <v>2</v>
      </c>
      <c r="G180">
        <v>1</v>
      </c>
      <c r="H180">
        <v>2</v>
      </c>
      <c r="I180" t="s">
        <v>1489</v>
      </c>
      <c r="J180" t="s">
        <v>1295</v>
      </c>
      <c r="K180" t="s">
        <v>16</v>
      </c>
      <c r="L180" t="s">
        <v>1499</v>
      </c>
      <c r="M180" t="s">
        <v>1519</v>
      </c>
      <c r="N180" t="s">
        <v>1489</v>
      </c>
      <c r="O180" t="s">
        <v>1300</v>
      </c>
      <c r="P180" t="s">
        <v>1377</v>
      </c>
      <c r="Q180" t="s">
        <v>1300</v>
      </c>
      <c r="R180" t="s">
        <v>1377</v>
      </c>
      <c r="S180" t="s">
        <v>1300</v>
      </c>
      <c r="T180" t="s">
        <v>1377</v>
      </c>
      <c r="U180" t="s">
        <v>1300</v>
      </c>
      <c r="V180" t="s">
        <v>1377</v>
      </c>
      <c r="W180" t="s">
        <v>1300</v>
      </c>
      <c r="X180" t="s">
        <v>1370</v>
      </c>
      <c r="Y180" t="s">
        <v>1255</v>
      </c>
      <c r="Z180" t="s">
        <v>1255</v>
      </c>
      <c r="AA180" t="s">
        <v>1255</v>
      </c>
      <c r="AB180" t="s">
        <v>1255</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1495</v>
      </c>
      <c r="CD180" t="s">
        <v>1489</v>
      </c>
      <c r="CE180" t="s">
        <v>1496</v>
      </c>
      <c r="CF180" t="s">
        <v>1492</v>
      </c>
      <c r="CG180" t="b">
        <v>1</v>
      </c>
      <c r="CH180">
        <v>0</v>
      </c>
      <c r="CI180" t="s">
        <v>1581</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x14ac:dyDescent="0.25">
      <c r="A181">
        <v>355</v>
      </c>
      <c r="B181">
        <v>508</v>
      </c>
      <c r="C181" t="s">
        <v>1248</v>
      </c>
      <c r="D181">
        <v>2</v>
      </c>
      <c r="E181" t="s">
        <v>1489</v>
      </c>
      <c r="F181">
        <v>2</v>
      </c>
      <c r="G181">
        <v>1</v>
      </c>
      <c r="H181">
        <v>2</v>
      </c>
      <c r="I181" t="s">
        <v>1489</v>
      </c>
      <c r="J181" t="s">
        <v>1295</v>
      </c>
      <c r="K181" t="s">
        <v>16</v>
      </c>
      <c r="L181" t="s">
        <v>1499</v>
      </c>
      <c r="M181" t="s">
        <v>1519</v>
      </c>
      <c r="N181" t="s">
        <v>1489</v>
      </c>
      <c r="O181" t="s">
        <v>1300</v>
      </c>
      <c r="P181" t="s">
        <v>1377</v>
      </c>
      <c r="Q181" t="s">
        <v>1300</v>
      </c>
      <c r="R181" t="s">
        <v>1377</v>
      </c>
      <c r="S181" t="s">
        <v>1300</v>
      </c>
      <c r="T181" t="s">
        <v>1377</v>
      </c>
      <c r="U181" t="s">
        <v>1300</v>
      </c>
      <c r="V181" t="s">
        <v>1377</v>
      </c>
      <c r="W181" t="s">
        <v>1300</v>
      </c>
      <c r="X181" t="s">
        <v>1370</v>
      </c>
      <c r="Y181" t="s">
        <v>1255</v>
      </c>
      <c r="Z181" t="s">
        <v>1255</v>
      </c>
      <c r="AA181" t="s">
        <v>1255</v>
      </c>
      <c r="AB181" t="s">
        <v>1255</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1495</v>
      </c>
      <c r="CD181" t="s">
        <v>1489</v>
      </c>
      <c r="CE181" t="s">
        <v>1496</v>
      </c>
      <c r="CF181" t="s">
        <v>1492</v>
      </c>
      <c r="CG181" t="b">
        <v>1</v>
      </c>
      <c r="CH181">
        <v>0</v>
      </c>
      <c r="CI181" t="s">
        <v>1581</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x14ac:dyDescent="0.25">
      <c r="A182">
        <v>360</v>
      </c>
      <c r="B182">
        <v>511</v>
      </c>
      <c r="C182" t="s">
        <v>1248</v>
      </c>
      <c r="D182">
        <v>1</v>
      </c>
      <c r="E182" t="s">
        <v>1489</v>
      </c>
      <c r="F182">
        <v>2</v>
      </c>
      <c r="G182">
        <v>1</v>
      </c>
      <c r="H182">
        <v>2</v>
      </c>
      <c r="I182" t="s">
        <v>1001</v>
      </c>
      <c r="J182" t="s">
        <v>1295</v>
      </c>
      <c r="K182" t="s">
        <v>15</v>
      </c>
      <c r="L182" t="s">
        <v>1494</v>
      </c>
      <c r="M182" t="s">
        <v>1519</v>
      </c>
      <c r="N182" t="s">
        <v>1489</v>
      </c>
      <c r="O182" t="s">
        <v>1300</v>
      </c>
      <c r="P182" t="s">
        <v>1377</v>
      </c>
      <c r="Q182" t="s">
        <v>1300</v>
      </c>
      <c r="R182" t="s">
        <v>1377</v>
      </c>
      <c r="S182" t="s">
        <v>1300</v>
      </c>
      <c r="T182" t="s">
        <v>1377</v>
      </c>
      <c r="U182" t="s">
        <v>1300</v>
      </c>
      <c r="V182" t="s">
        <v>1377</v>
      </c>
      <c r="W182" t="s">
        <v>1300</v>
      </c>
      <c r="X182" t="s">
        <v>1370</v>
      </c>
      <c r="Y182" t="s">
        <v>1255</v>
      </c>
      <c r="Z182" t="s">
        <v>1255</v>
      </c>
      <c r="AA182" t="s">
        <v>1255</v>
      </c>
      <c r="AB182" t="s">
        <v>1255</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1495</v>
      </c>
      <c r="CD182" t="s">
        <v>1489</v>
      </c>
      <c r="CE182" t="s">
        <v>1498</v>
      </c>
      <c r="CF182" t="s">
        <v>1492</v>
      </c>
      <c r="CG182" t="b">
        <v>1</v>
      </c>
      <c r="CH182">
        <v>0</v>
      </c>
      <c r="CI182" t="s">
        <v>1582</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x14ac:dyDescent="0.25">
      <c r="A183">
        <v>359</v>
      </c>
      <c r="B183">
        <v>511</v>
      </c>
      <c r="C183" t="s">
        <v>1248</v>
      </c>
      <c r="D183">
        <v>2</v>
      </c>
      <c r="E183" t="s">
        <v>1489</v>
      </c>
      <c r="F183">
        <v>2</v>
      </c>
      <c r="G183">
        <v>1</v>
      </c>
      <c r="H183">
        <v>2</v>
      </c>
      <c r="I183" t="s">
        <v>1001</v>
      </c>
      <c r="J183" t="s">
        <v>1295</v>
      </c>
      <c r="K183" t="s">
        <v>15</v>
      </c>
      <c r="L183" t="s">
        <v>1494</v>
      </c>
      <c r="M183" t="s">
        <v>1519</v>
      </c>
      <c r="N183" t="s">
        <v>1489</v>
      </c>
      <c r="O183" t="s">
        <v>1300</v>
      </c>
      <c r="P183" t="s">
        <v>1377</v>
      </c>
      <c r="Q183" t="s">
        <v>1300</v>
      </c>
      <c r="R183" t="s">
        <v>1377</v>
      </c>
      <c r="S183" t="s">
        <v>1300</v>
      </c>
      <c r="T183" t="s">
        <v>1377</v>
      </c>
      <c r="U183" t="s">
        <v>1300</v>
      </c>
      <c r="V183" t="s">
        <v>1377</v>
      </c>
      <c r="W183" t="s">
        <v>1300</v>
      </c>
      <c r="X183" t="s">
        <v>1370</v>
      </c>
      <c r="Y183" t="s">
        <v>1255</v>
      </c>
      <c r="Z183" t="s">
        <v>1255</v>
      </c>
      <c r="AA183" t="s">
        <v>1255</v>
      </c>
      <c r="AB183" t="s">
        <v>1255</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1495</v>
      </c>
      <c r="CD183" t="s">
        <v>1489</v>
      </c>
      <c r="CE183" t="s">
        <v>1498</v>
      </c>
      <c r="CF183" t="s">
        <v>1492</v>
      </c>
      <c r="CG183" t="b">
        <v>1</v>
      </c>
      <c r="CH183">
        <v>0</v>
      </c>
      <c r="CI183" t="s">
        <v>1582</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x14ac:dyDescent="0.25">
      <c r="A184">
        <v>362</v>
      </c>
      <c r="B184">
        <v>512</v>
      </c>
      <c r="C184" t="s">
        <v>1248</v>
      </c>
      <c r="D184">
        <v>1</v>
      </c>
      <c r="E184" t="s">
        <v>1489</v>
      </c>
      <c r="F184">
        <v>3</v>
      </c>
      <c r="G184">
        <v>1</v>
      </c>
      <c r="H184">
        <v>2</v>
      </c>
      <c r="I184" t="s">
        <v>1489</v>
      </c>
      <c r="J184" t="s">
        <v>1295</v>
      </c>
      <c r="K184" t="s">
        <v>16</v>
      </c>
      <c r="L184" t="s">
        <v>1499</v>
      </c>
      <c r="M184" t="s">
        <v>1519</v>
      </c>
      <c r="N184" t="s">
        <v>1489</v>
      </c>
      <c r="O184" t="s">
        <v>1300</v>
      </c>
      <c r="P184" t="s">
        <v>1377</v>
      </c>
      <c r="Q184" t="s">
        <v>1300</v>
      </c>
      <c r="R184" t="s">
        <v>1377</v>
      </c>
      <c r="S184" t="s">
        <v>1300</v>
      </c>
      <c r="T184" t="s">
        <v>1377</v>
      </c>
      <c r="U184" t="s">
        <v>1300</v>
      </c>
      <c r="V184" t="s">
        <v>1377</v>
      </c>
      <c r="W184" t="s">
        <v>1300</v>
      </c>
      <c r="X184" t="s">
        <v>1370</v>
      </c>
      <c r="Y184" t="s">
        <v>1255</v>
      </c>
      <c r="Z184" t="s">
        <v>1255</v>
      </c>
      <c r="AA184" t="s">
        <v>1255</v>
      </c>
      <c r="AB184" t="s">
        <v>1255</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1495</v>
      </c>
      <c r="CD184" t="s">
        <v>1489</v>
      </c>
      <c r="CE184" t="s">
        <v>1498</v>
      </c>
      <c r="CF184" t="s">
        <v>1492</v>
      </c>
      <c r="CG184" t="b">
        <v>1</v>
      </c>
      <c r="CH184">
        <v>0</v>
      </c>
      <c r="CI184" t="s">
        <v>1583</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x14ac:dyDescent="0.25">
      <c r="A185">
        <v>361</v>
      </c>
      <c r="B185">
        <v>512</v>
      </c>
      <c r="C185" t="s">
        <v>1248</v>
      </c>
      <c r="D185">
        <v>2</v>
      </c>
      <c r="E185" t="s">
        <v>1489</v>
      </c>
      <c r="F185">
        <v>3</v>
      </c>
      <c r="G185">
        <v>1</v>
      </c>
      <c r="H185">
        <v>2</v>
      </c>
      <c r="I185" t="s">
        <v>1489</v>
      </c>
      <c r="J185" t="s">
        <v>1295</v>
      </c>
      <c r="K185" t="s">
        <v>16</v>
      </c>
      <c r="L185" t="s">
        <v>1499</v>
      </c>
      <c r="M185" t="s">
        <v>1519</v>
      </c>
      <c r="N185" t="s">
        <v>1489</v>
      </c>
      <c r="O185" t="s">
        <v>1300</v>
      </c>
      <c r="P185" t="s">
        <v>1377</v>
      </c>
      <c r="Q185" t="s">
        <v>1300</v>
      </c>
      <c r="R185" t="s">
        <v>1377</v>
      </c>
      <c r="S185" t="s">
        <v>1300</v>
      </c>
      <c r="T185" t="s">
        <v>1377</v>
      </c>
      <c r="U185" t="s">
        <v>1300</v>
      </c>
      <c r="V185" t="s">
        <v>1377</v>
      </c>
      <c r="W185" t="s">
        <v>1300</v>
      </c>
      <c r="X185" t="s">
        <v>1370</v>
      </c>
      <c r="Y185" t="s">
        <v>1255</v>
      </c>
      <c r="Z185" t="s">
        <v>1255</v>
      </c>
      <c r="AA185" t="s">
        <v>1255</v>
      </c>
      <c r="AB185" t="s">
        <v>1255</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1495</v>
      </c>
      <c r="CD185" t="s">
        <v>1489</v>
      </c>
      <c r="CE185" t="s">
        <v>1498</v>
      </c>
      <c r="CF185" t="s">
        <v>1492</v>
      </c>
      <c r="CG185" t="b">
        <v>1</v>
      </c>
      <c r="CH185">
        <v>0</v>
      </c>
      <c r="CI185" t="s">
        <v>1583</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x14ac:dyDescent="0.25">
      <c r="A186">
        <v>363</v>
      </c>
      <c r="B186">
        <v>513</v>
      </c>
      <c r="C186" t="s">
        <v>1248</v>
      </c>
      <c r="D186">
        <v>1</v>
      </c>
      <c r="E186" t="s">
        <v>1489</v>
      </c>
      <c r="F186">
        <v>15</v>
      </c>
      <c r="G186">
        <v>1</v>
      </c>
      <c r="H186">
        <v>2</v>
      </c>
      <c r="I186" t="s">
        <v>1013</v>
      </c>
      <c r="J186" t="s">
        <v>1295</v>
      </c>
      <c r="K186" t="s">
        <v>15</v>
      </c>
      <c r="L186" t="s">
        <v>1489</v>
      </c>
      <c r="M186" t="s">
        <v>1519</v>
      </c>
      <c r="N186" t="s">
        <v>1489</v>
      </c>
      <c r="O186" t="s">
        <v>1300</v>
      </c>
      <c r="P186" t="s">
        <v>1377</v>
      </c>
      <c r="Q186" t="s">
        <v>1300</v>
      </c>
      <c r="R186" t="s">
        <v>1377</v>
      </c>
      <c r="S186" t="s">
        <v>1300</v>
      </c>
      <c r="T186" t="s">
        <v>1377</v>
      </c>
      <c r="U186" t="s">
        <v>1300</v>
      </c>
      <c r="V186" t="s">
        <v>1377</v>
      </c>
      <c r="W186" t="s">
        <v>1300</v>
      </c>
      <c r="X186" t="s">
        <v>1370</v>
      </c>
      <c r="Y186" t="s">
        <v>1255</v>
      </c>
      <c r="Z186" t="s">
        <v>1255</v>
      </c>
      <c r="AA186" t="s">
        <v>1255</v>
      </c>
      <c r="AB186" t="s">
        <v>1255</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1495</v>
      </c>
      <c r="CD186" t="s">
        <v>1489</v>
      </c>
      <c r="CE186" t="s">
        <v>1496</v>
      </c>
      <c r="CF186" t="s">
        <v>1492</v>
      </c>
      <c r="CG186" t="b">
        <v>1</v>
      </c>
      <c r="CH186">
        <v>0</v>
      </c>
      <c r="CI186" t="s">
        <v>1541</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x14ac:dyDescent="0.25">
      <c r="A187">
        <v>364</v>
      </c>
      <c r="B187">
        <v>513</v>
      </c>
      <c r="C187" t="s">
        <v>1248</v>
      </c>
      <c r="D187">
        <v>2</v>
      </c>
      <c r="E187" t="s">
        <v>1489</v>
      </c>
      <c r="F187">
        <v>15</v>
      </c>
      <c r="G187">
        <v>1</v>
      </c>
      <c r="H187">
        <v>2</v>
      </c>
      <c r="I187" t="s">
        <v>1013</v>
      </c>
      <c r="J187" t="s">
        <v>1295</v>
      </c>
      <c r="K187" t="s">
        <v>15</v>
      </c>
      <c r="L187" t="s">
        <v>1494</v>
      </c>
      <c r="M187" t="s">
        <v>1519</v>
      </c>
      <c r="N187" t="s">
        <v>1489</v>
      </c>
      <c r="O187" t="s">
        <v>1300</v>
      </c>
      <c r="P187" t="s">
        <v>1377</v>
      </c>
      <c r="Q187" t="s">
        <v>1300</v>
      </c>
      <c r="R187" t="s">
        <v>1377</v>
      </c>
      <c r="S187" t="s">
        <v>1300</v>
      </c>
      <c r="T187" t="s">
        <v>1377</v>
      </c>
      <c r="U187" t="s">
        <v>1300</v>
      </c>
      <c r="V187" t="s">
        <v>1377</v>
      </c>
      <c r="W187" t="s">
        <v>1300</v>
      </c>
      <c r="X187" t="s">
        <v>1370</v>
      </c>
      <c r="Y187" t="s">
        <v>1255</v>
      </c>
      <c r="Z187" t="s">
        <v>1255</v>
      </c>
      <c r="AA187" t="s">
        <v>1255</v>
      </c>
      <c r="AB187" t="s">
        <v>1255</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1251</v>
      </c>
      <c r="CD187" t="s">
        <v>1489</v>
      </c>
      <c r="CE187" t="s">
        <v>1496</v>
      </c>
      <c r="CF187" t="s">
        <v>1492</v>
      </c>
      <c r="CG187" t="b">
        <v>1</v>
      </c>
      <c r="CH187">
        <v>0</v>
      </c>
      <c r="CI187" t="s">
        <v>1541</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x14ac:dyDescent="0.25">
      <c r="A188">
        <v>571</v>
      </c>
      <c r="B188">
        <v>100063</v>
      </c>
      <c r="C188" t="s">
        <v>1248</v>
      </c>
      <c r="D188">
        <v>1</v>
      </c>
      <c r="E188" t="s">
        <v>1489</v>
      </c>
      <c r="F188">
        <v>15</v>
      </c>
      <c r="G188">
        <v>1</v>
      </c>
      <c r="H188">
        <v>2</v>
      </c>
      <c r="I188" t="s">
        <v>1013</v>
      </c>
      <c r="J188" t="s">
        <v>1295</v>
      </c>
      <c r="K188" t="s">
        <v>15</v>
      </c>
      <c r="L188" t="s">
        <v>1494</v>
      </c>
      <c r="M188" t="s">
        <v>1519</v>
      </c>
      <c r="N188" t="s">
        <v>1489</v>
      </c>
      <c r="O188" t="s">
        <v>1300</v>
      </c>
      <c r="P188" t="s">
        <v>1377</v>
      </c>
      <c r="Q188" t="s">
        <v>1300</v>
      </c>
      <c r="R188" t="s">
        <v>1377</v>
      </c>
      <c r="S188" t="s">
        <v>1300</v>
      </c>
      <c r="T188" t="s">
        <v>1377</v>
      </c>
      <c r="U188" t="s">
        <v>1300</v>
      </c>
      <c r="V188" t="s">
        <v>1377</v>
      </c>
      <c r="W188" t="s">
        <v>1300</v>
      </c>
      <c r="X188" t="s">
        <v>1370</v>
      </c>
      <c r="Y188" t="s">
        <v>1255</v>
      </c>
      <c r="Z188" t="s">
        <v>1255</v>
      </c>
      <c r="AA188" t="s">
        <v>1255</v>
      </c>
      <c r="AB188" t="s">
        <v>1255</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1251</v>
      </c>
      <c r="CD188" t="s">
        <v>1489</v>
      </c>
      <c r="CE188" t="s">
        <v>1498</v>
      </c>
      <c r="CF188" t="s">
        <v>1492</v>
      </c>
      <c r="CG188" t="b">
        <v>1</v>
      </c>
      <c r="CH188">
        <v>0</v>
      </c>
      <c r="CI188" t="s">
        <v>1584</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x14ac:dyDescent="0.25">
      <c r="A189">
        <v>572</v>
      </c>
      <c r="B189">
        <v>100063</v>
      </c>
      <c r="C189" t="s">
        <v>1248</v>
      </c>
      <c r="D189">
        <v>2</v>
      </c>
      <c r="E189" t="s">
        <v>1489</v>
      </c>
      <c r="F189">
        <v>15</v>
      </c>
      <c r="G189">
        <v>1</v>
      </c>
      <c r="H189">
        <v>2</v>
      </c>
      <c r="I189" t="s">
        <v>1013</v>
      </c>
      <c r="J189" t="s">
        <v>1295</v>
      </c>
      <c r="K189" t="s">
        <v>15</v>
      </c>
      <c r="L189" t="s">
        <v>1494</v>
      </c>
      <c r="M189" t="s">
        <v>1519</v>
      </c>
      <c r="N189" t="s">
        <v>1489</v>
      </c>
      <c r="O189" t="s">
        <v>1300</v>
      </c>
      <c r="P189" t="s">
        <v>1377</v>
      </c>
      <c r="Q189" t="s">
        <v>1300</v>
      </c>
      <c r="R189" t="s">
        <v>1377</v>
      </c>
      <c r="S189" t="s">
        <v>1300</v>
      </c>
      <c r="T189" t="s">
        <v>1377</v>
      </c>
      <c r="U189" t="s">
        <v>1300</v>
      </c>
      <c r="V189" t="s">
        <v>1377</v>
      </c>
      <c r="W189" t="s">
        <v>1300</v>
      </c>
      <c r="X189" t="s">
        <v>1370</v>
      </c>
      <c r="Y189" t="s">
        <v>1255</v>
      </c>
      <c r="Z189" t="s">
        <v>1255</v>
      </c>
      <c r="AA189" t="s">
        <v>1255</v>
      </c>
      <c r="AB189" t="s">
        <v>1255</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1251</v>
      </c>
      <c r="CD189" t="s">
        <v>1489</v>
      </c>
      <c r="CE189" t="s">
        <v>1498</v>
      </c>
      <c r="CF189" t="s">
        <v>1492</v>
      </c>
      <c r="CG189" t="b">
        <v>1</v>
      </c>
      <c r="CH189">
        <v>0</v>
      </c>
      <c r="CI189" t="s">
        <v>1585</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x14ac:dyDescent="0.25">
      <c r="A190">
        <v>365</v>
      </c>
      <c r="B190">
        <v>514</v>
      </c>
      <c r="C190" t="s">
        <v>1248</v>
      </c>
      <c r="D190">
        <v>1</v>
      </c>
      <c r="E190" t="s">
        <v>1489</v>
      </c>
      <c r="F190">
        <v>10</v>
      </c>
      <c r="G190">
        <v>1</v>
      </c>
      <c r="H190">
        <v>2</v>
      </c>
      <c r="I190" t="s">
        <v>1489</v>
      </c>
      <c r="J190" t="s">
        <v>1295</v>
      </c>
      <c r="K190" t="s">
        <v>16</v>
      </c>
      <c r="L190" t="s">
        <v>1489</v>
      </c>
      <c r="M190" t="s">
        <v>1519</v>
      </c>
      <c r="N190" t="s">
        <v>1489</v>
      </c>
      <c r="O190" t="s">
        <v>1300</v>
      </c>
      <c r="P190" t="s">
        <v>1377</v>
      </c>
      <c r="Q190" t="s">
        <v>1300</v>
      </c>
      <c r="R190" t="s">
        <v>1377</v>
      </c>
      <c r="S190" t="s">
        <v>1300</v>
      </c>
      <c r="T190" t="s">
        <v>1377</v>
      </c>
      <c r="U190" t="s">
        <v>1300</v>
      </c>
      <c r="V190" t="s">
        <v>1377</v>
      </c>
      <c r="W190" t="s">
        <v>1300</v>
      </c>
      <c r="X190" t="s">
        <v>1370</v>
      </c>
      <c r="Y190" t="s">
        <v>1255</v>
      </c>
      <c r="Z190" t="s">
        <v>1255</v>
      </c>
      <c r="AA190" t="s">
        <v>1255</v>
      </c>
      <c r="AB190" t="s">
        <v>1255</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1251</v>
      </c>
      <c r="CD190" t="s">
        <v>1489</v>
      </c>
      <c r="CE190" t="s">
        <v>1496</v>
      </c>
      <c r="CF190" t="s">
        <v>1492</v>
      </c>
      <c r="CG190" t="b">
        <v>1</v>
      </c>
      <c r="CH190">
        <v>0</v>
      </c>
      <c r="CI190" t="s">
        <v>1586</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x14ac:dyDescent="0.25">
      <c r="A191">
        <v>366</v>
      </c>
      <c r="B191">
        <v>514</v>
      </c>
      <c r="C191" t="s">
        <v>1248</v>
      </c>
      <c r="D191">
        <v>2</v>
      </c>
      <c r="E191" t="s">
        <v>1489</v>
      </c>
      <c r="F191">
        <v>10</v>
      </c>
      <c r="G191">
        <v>1</v>
      </c>
      <c r="H191">
        <v>2</v>
      </c>
      <c r="I191" t="s">
        <v>1489</v>
      </c>
      <c r="J191" t="s">
        <v>1295</v>
      </c>
      <c r="K191" t="s">
        <v>16</v>
      </c>
      <c r="L191" t="s">
        <v>1499</v>
      </c>
      <c r="M191" t="s">
        <v>1519</v>
      </c>
      <c r="N191" t="s">
        <v>1489</v>
      </c>
      <c r="O191" t="s">
        <v>1300</v>
      </c>
      <c r="P191" t="s">
        <v>1377</v>
      </c>
      <c r="Q191" t="s">
        <v>1300</v>
      </c>
      <c r="R191" t="s">
        <v>1377</v>
      </c>
      <c r="S191" t="s">
        <v>1300</v>
      </c>
      <c r="T191" t="s">
        <v>1377</v>
      </c>
      <c r="U191" t="s">
        <v>1300</v>
      </c>
      <c r="V191" t="s">
        <v>1377</v>
      </c>
      <c r="W191" t="s">
        <v>1300</v>
      </c>
      <c r="X191" t="s">
        <v>1370</v>
      </c>
      <c r="Y191" t="s">
        <v>1255</v>
      </c>
      <c r="Z191" t="s">
        <v>1255</v>
      </c>
      <c r="AA191" t="s">
        <v>1255</v>
      </c>
      <c r="AB191" t="s">
        <v>1255</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1251</v>
      </c>
      <c r="CD191" t="s">
        <v>1489</v>
      </c>
      <c r="CE191" t="s">
        <v>1496</v>
      </c>
      <c r="CF191" t="s">
        <v>1492</v>
      </c>
      <c r="CG191" t="b">
        <v>1</v>
      </c>
      <c r="CH191">
        <v>0</v>
      </c>
      <c r="CI191" t="s">
        <v>1586</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x14ac:dyDescent="0.25">
      <c r="A192">
        <v>573</v>
      </c>
      <c r="B192">
        <v>100064</v>
      </c>
      <c r="C192" t="s">
        <v>1248</v>
      </c>
      <c r="D192">
        <v>1</v>
      </c>
      <c r="E192" t="s">
        <v>1489</v>
      </c>
      <c r="F192">
        <v>10</v>
      </c>
      <c r="G192">
        <v>1</v>
      </c>
      <c r="H192">
        <v>2</v>
      </c>
      <c r="I192" t="s">
        <v>1489</v>
      </c>
      <c r="J192" t="s">
        <v>1295</v>
      </c>
      <c r="K192" t="s">
        <v>16</v>
      </c>
      <c r="L192" t="s">
        <v>1489</v>
      </c>
      <c r="M192" t="s">
        <v>1519</v>
      </c>
      <c r="N192" t="s">
        <v>1489</v>
      </c>
      <c r="O192" t="s">
        <v>1300</v>
      </c>
      <c r="P192" t="s">
        <v>1377</v>
      </c>
      <c r="Q192" t="s">
        <v>1300</v>
      </c>
      <c r="R192" t="s">
        <v>1377</v>
      </c>
      <c r="S192" t="s">
        <v>1300</v>
      </c>
      <c r="T192" t="s">
        <v>1377</v>
      </c>
      <c r="U192" t="s">
        <v>1300</v>
      </c>
      <c r="V192" t="s">
        <v>1377</v>
      </c>
      <c r="W192" t="s">
        <v>1300</v>
      </c>
      <c r="X192" t="s">
        <v>1370</v>
      </c>
      <c r="Y192" t="s">
        <v>1255</v>
      </c>
      <c r="Z192" t="s">
        <v>1255</v>
      </c>
      <c r="AA192" t="s">
        <v>1255</v>
      </c>
      <c r="AB192" t="s">
        <v>1255</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1251</v>
      </c>
      <c r="CD192" t="s">
        <v>1489</v>
      </c>
      <c r="CE192" t="s">
        <v>1498</v>
      </c>
      <c r="CF192" t="s">
        <v>1492</v>
      </c>
      <c r="CG192" t="b">
        <v>1</v>
      </c>
      <c r="CH192">
        <v>0</v>
      </c>
      <c r="CI192" t="s">
        <v>1585</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x14ac:dyDescent="0.25">
      <c r="A193">
        <v>574</v>
      </c>
      <c r="B193">
        <v>100064</v>
      </c>
      <c r="C193" t="s">
        <v>1248</v>
      </c>
      <c r="D193">
        <v>2</v>
      </c>
      <c r="E193" t="s">
        <v>1489</v>
      </c>
      <c r="F193">
        <v>10</v>
      </c>
      <c r="G193">
        <v>1</v>
      </c>
      <c r="H193">
        <v>2</v>
      </c>
      <c r="I193" t="s">
        <v>1489</v>
      </c>
      <c r="J193" t="s">
        <v>1295</v>
      </c>
      <c r="K193" t="s">
        <v>16</v>
      </c>
      <c r="L193" t="s">
        <v>1489</v>
      </c>
      <c r="M193" t="s">
        <v>1519</v>
      </c>
      <c r="N193" t="s">
        <v>1489</v>
      </c>
      <c r="O193" t="s">
        <v>1300</v>
      </c>
      <c r="P193" t="s">
        <v>1377</v>
      </c>
      <c r="Q193" t="s">
        <v>1300</v>
      </c>
      <c r="R193" t="s">
        <v>1377</v>
      </c>
      <c r="S193" t="s">
        <v>1300</v>
      </c>
      <c r="T193" t="s">
        <v>1377</v>
      </c>
      <c r="U193" t="s">
        <v>1300</v>
      </c>
      <c r="V193" t="s">
        <v>1377</v>
      </c>
      <c r="W193" t="s">
        <v>1300</v>
      </c>
      <c r="X193" t="s">
        <v>1370</v>
      </c>
      <c r="Y193" t="s">
        <v>1255</v>
      </c>
      <c r="Z193" t="s">
        <v>1255</v>
      </c>
      <c r="AA193" t="s">
        <v>1255</v>
      </c>
      <c r="AB193" t="s">
        <v>1255</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1251</v>
      </c>
      <c r="CD193" t="s">
        <v>1489</v>
      </c>
      <c r="CE193" t="s">
        <v>1498</v>
      </c>
      <c r="CF193" t="s">
        <v>1492</v>
      </c>
      <c r="CG193" t="b">
        <v>1</v>
      </c>
      <c r="CH193">
        <v>0</v>
      </c>
      <c r="CI193" t="s">
        <v>1585</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x14ac:dyDescent="0.25">
      <c r="A194">
        <v>477</v>
      </c>
      <c r="B194">
        <v>100010</v>
      </c>
      <c r="C194" t="s">
        <v>1248</v>
      </c>
      <c r="D194">
        <v>1</v>
      </c>
      <c r="E194" t="s">
        <v>1489</v>
      </c>
      <c r="F194">
        <v>1</v>
      </c>
      <c r="G194">
        <v>1</v>
      </c>
      <c r="H194">
        <v>2</v>
      </c>
      <c r="I194" t="s">
        <v>1001</v>
      </c>
      <c r="J194" t="s">
        <v>1295</v>
      </c>
      <c r="K194" t="s">
        <v>15</v>
      </c>
      <c r="L194" t="s">
        <v>1494</v>
      </c>
      <c r="M194" t="s">
        <v>1519</v>
      </c>
      <c r="N194" t="s">
        <v>1489</v>
      </c>
      <c r="O194" t="s">
        <v>1300</v>
      </c>
      <c r="P194" t="s">
        <v>1377</v>
      </c>
      <c r="Q194" t="s">
        <v>1300</v>
      </c>
      <c r="R194" t="s">
        <v>1377</v>
      </c>
      <c r="S194" t="s">
        <v>1300</v>
      </c>
      <c r="T194" t="s">
        <v>1377</v>
      </c>
      <c r="U194" t="s">
        <v>1300</v>
      </c>
      <c r="V194" t="s">
        <v>1377</v>
      </c>
      <c r="W194" t="s">
        <v>1300</v>
      </c>
      <c r="X194" t="s">
        <v>1370</v>
      </c>
      <c r="Y194" t="s">
        <v>1255</v>
      </c>
      <c r="Z194" t="s">
        <v>1255</v>
      </c>
      <c r="AA194" t="s">
        <v>1255</v>
      </c>
      <c r="AB194" t="s">
        <v>1255</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1251</v>
      </c>
      <c r="CD194" t="s">
        <v>1489</v>
      </c>
      <c r="CE194" t="s">
        <v>1498</v>
      </c>
      <c r="CF194" t="s">
        <v>1492</v>
      </c>
      <c r="CG194" t="b">
        <v>1</v>
      </c>
      <c r="CH194">
        <v>0</v>
      </c>
      <c r="CI194" t="s">
        <v>1587</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x14ac:dyDescent="0.25">
      <c r="A195">
        <v>478</v>
      </c>
      <c r="B195">
        <v>100010</v>
      </c>
      <c r="C195" t="s">
        <v>1248</v>
      </c>
      <c r="D195">
        <v>2</v>
      </c>
      <c r="E195" t="s">
        <v>1489</v>
      </c>
      <c r="F195">
        <v>1</v>
      </c>
      <c r="G195">
        <v>1</v>
      </c>
      <c r="H195">
        <v>2</v>
      </c>
      <c r="I195" t="s">
        <v>1001</v>
      </c>
      <c r="J195" t="s">
        <v>1295</v>
      </c>
      <c r="K195" t="s">
        <v>15</v>
      </c>
      <c r="L195" t="s">
        <v>1494</v>
      </c>
      <c r="M195" t="s">
        <v>1519</v>
      </c>
      <c r="N195" t="s">
        <v>1489</v>
      </c>
      <c r="O195" t="s">
        <v>1300</v>
      </c>
      <c r="P195" t="s">
        <v>1377</v>
      </c>
      <c r="Q195" t="s">
        <v>1300</v>
      </c>
      <c r="R195" t="s">
        <v>1377</v>
      </c>
      <c r="S195" t="s">
        <v>1300</v>
      </c>
      <c r="T195" t="s">
        <v>1377</v>
      </c>
      <c r="U195" t="s">
        <v>1300</v>
      </c>
      <c r="V195" t="s">
        <v>1377</v>
      </c>
      <c r="W195" t="s">
        <v>1300</v>
      </c>
      <c r="X195" t="s">
        <v>1370</v>
      </c>
      <c r="Y195" t="s">
        <v>1255</v>
      </c>
      <c r="Z195" t="s">
        <v>1255</v>
      </c>
      <c r="AA195" t="s">
        <v>1255</v>
      </c>
      <c r="AB195" t="s">
        <v>1255</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1251</v>
      </c>
      <c r="CD195" t="s">
        <v>1489</v>
      </c>
      <c r="CE195" t="s">
        <v>1498</v>
      </c>
      <c r="CF195" t="s">
        <v>1492</v>
      </c>
      <c r="CG195" t="b">
        <v>1</v>
      </c>
      <c r="CH195">
        <v>0</v>
      </c>
      <c r="CI195" t="s">
        <v>1587</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x14ac:dyDescent="0.25">
      <c r="A196">
        <v>374</v>
      </c>
      <c r="B196">
        <v>518</v>
      </c>
      <c r="C196" t="s">
        <v>1248</v>
      </c>
      <c r="D196">
        <v>1</v>
      </c>
      <c r="E196" t="s">
        <v>1489</v>
      </c>
      <c r="F196">
        <v>2</v>
      </c>
      <c r="G196">
        <v>1</v>
      </c>
      <c r="H196">
        <v>2</v>
      </c>
      <c r="I196" t="s">
        <v>1489</v>
      </c>
      <c r="J196" t="s">
        <v>1295</v>
      </c>
      <c r="K196" t="s">
        <v>16</v>
      </c>
      <c r="L196" t="s">
        <v>1499</v>
      </c>
      <c r="M196" t="s">
        <v>1519</v>
      </c>
      <c r="N196" t="s">
        <v>1489</v>
      </c>
      <c r="O196" t="s">
        <v>1300</v>
      </c>
      <c r="P196" t="s">
        <v>1377</v>
      </c>
      <c r="Q196" t="s">
        <v>1300</v>
      </c>
      <c r="R196" t="s">
        <v>1377</v>
      </c>
      <c r="S196" t="s">
        <v>1300</v>
      </c>
      <c r="T196" t="s">
        <v>1377</v>
      </c>
      <c r="U196" t="s">
        <v>1300</v>
      </c>
      <c r="V196" t="s">
        <v>1377</v>
      </c>
      <c r="W196" t="s">
        <v>1300</v>
      </c>
      <c r="X196" t="s">
        <v>1370</v>
      </c>
      <c r="Y196" t="s">
        <v>1255</v>
      </c>
      <c r="Z196" t="s">
        <v>1255</v>
      </c>
      <c r="AA196" t="s">
        <v>1255</v>
      </c>
      <c r="AB196" t="s">
        <v>1255</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1495</v>
      </c>
      <c r="CD196" t="s">
        <v>1489</v>
      </c>
      <c r="CE196" t="s">
        <v>1498</v>
      </c>
      <c r="CF196" t="s">
        <v>1492</v>
      </c>
      <c r="CG196" t="b">
        <v>1</v>
      </c>
      <c r="CH196">
        <v>0</v>
      </c>
      <c r="CI196" t="s">
        <v>1588</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x14ac:dyDescent="0.25">
      <c r="A197">
        <v>373</v>
      </c>
      <c r="B197">
        <v>518</v>
      </c>
      <c r="C197" t="s">
        <v>1248</v>
      </c>
      <c r="D197">
        <v>2</v>
      </c>
      <c r="E197" t="s">
        <v>1489</v>
      </c>
      <c r="F197">
        <v>2</v>
      </c>
      <c r="G197">
        <v>1</v>
      </c>
      <c r="H197">
        <v>2</v>
      </c>
      <c r="I197" t="s">
        <v>1489</v>
      </c>
      <c r="J197" t="s">
        <v>1295</v>
      </c>
      <c r="K197" t="s">
        <v>16</v>
      </c>
      <c r="L197" t="s">
        <v>1499</v>
      </c>
      <c r="M197" t="s">
        <v>1519</v>
      </c>
      <c r="N197" t="s">
        <v>1489</v>
      </c>
      <c r="O197" t="s">
        <v>1300</v>
      </c>
      <c r="P197" t="s">
        <v>1377</v>
      </c>
      <c r="Q197" t="s">
        <v>1300</v>
      </c>
      <c r="R197" t="s">
        <v>1377</v>
      </c>
      <c r="S197" t="s">
        <v>1300</v>
      </c>
      <c r="T197" t="s">
        <v>1377</v>
      </c>
      <c r="U197" t="s">
        <v>1300</v>
      </c>
      <c r="V197" t="s">
        <v>1377</v>
      </c>
      <c r="W197" t="s">
        <v>1300</v>
      </c>
      <c r="X197" t="s">
        <v>1370</v>
      </c>
      <c r="Y197" t="s">
        <v>1255</v>
      </c>
      <c r="Z197" t="s">
        <v>1255</v>
      </c>
      <c r="AA197" t="s">
        <v>1255</v>
      </c>
      <c r="AB197" t="s">
        <v>1255</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1495</v>
      </c>
      <c r="CD197" t="s">
        <v>1489</v>
      </c>
      <c r="CE197" t="s">
        <v>1498</v>
      </c>
      <c r="CF197" t="s">
        <v>1492</v>
      </c>
      <c r="CG197" t="b">
        <v>1</v>
      </c>
      <c r="CH197">
        <v>0</v>
      </c>
      <c r="CI197" t="s">
        <v>1588</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x14ac:dyDescent="0.25">
      <c r="A198">
        <v>376</v>
      </c>
      <c r="B198">
        <v>532</v>
      </c>
      <c r="C198" t="s">
        <v>1248</v>
      </c>
      <c r="D198">
        <v>1</v>
      </c>
      <c r="E198" t="s">
        <v>1489</v>
      </c>
      <c r="F198">
        <v>10</v>
      </c>
      <c r="G198">
        <v>1</v>
      </c>
      <c r="H198">
        <v>2</v>
      </c>
      <c r="I198" t="s">
        <v>284</v>
      </c>
      <c r="J198" t="s">
        <v>1295</v>
      </c>
      <c r="K198" t="s">
        <v>15</v>
      </c>
      <c r="L198" t="s">
        <v>1494</v>
      </c>
      <c r="M198" t="s">
        <v>1519</v>
      </c>
      <c r="N198" t="s">
        <v>1489</v>
      </c>
      <c r="O198" t="s">
        <v>1300</v>
      </c>
      <c r="P198" t="s">
        <v>1377</v>
      </c>
      <c r="Q198" t="s">
        <v>1300</v>
      </c>
      <c r="R198" t="s">
        <v>1377</v>
      </c>
      <c r="S198" t="s">
        <v>1300</v>
      </c>
      <c r="T198" t="s">
        <v>1377</v>
      </c>
      <c r="U198" t="s">
        <v>1300</v>
      </c>
      <c r="V198" t="s">
        <v>1377</v>
      </c>
      <c r="W198" t="s">
        <v>1300</v>
      </c>
      <c r="X198" t="s">
        <v>1370</v>
      </c>
      <c r="Y198" t="s">
        <v>1255</v>
      </c>
      <c r="Z198" t="s">
        <v>1255</v>
      </c>
      <c r="AA198" t="s">
        <v>1255</v>
      </c>
      <c r="AB198" t="s">
        <v>1255</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1495</v>
      </c>
      <c r="CD198" t="s">
        <v>1489</v>
      </c>
      <c r="CE198" t="s">
        <v>1496</v>
      </c>
      <c r="CF198" t="s">
        <v>1492</v>
      </c>
      <c r="CG198" t="b">
        <v>1</v>
      </c>
      <c r="CH198">
        <v>0</v>
      </c>
      <c r="CI198" t="s">
        <v>1541</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x14ac:dyDescent="0.25">
      <c r="A199">
        <v>375</v>
      </c>
      <c r="B199">
        <v>532</v>
      </c>
      <c r="C199" t="s">
        <v>1248</v>
      </c>
      <c r="D199">
        <v>2</v>
      </c>
      <c r="E199" t="s">
        <v>1489</v>
      </c>
      <c r="F199">
        <v>10</v>
      </c>
      <c r="G199">
        <v>1</v>
      </c>
      <c r="H199">
        <v>2</v>
      </c>
      <c r="I199" t="s">
        <v>284</v>
      </c>
      <c r="J199" t="s">
        <v>1295</v>
      </c>
      <c r="K199" t="s">
        <v>15</v>
      </c>
      <c r="L199" t="s">
        <v>1494</v>
      </c>
      <c r="M199" t="s">
        <v>1519</v>
      </c>
      <c r="N199" t="s">
        <v>1489</v>
      </c>
      <c r="O199" t="s">
        <v>1300</v>
      </c>
      <c r="P199" t="s">
        <v>1377</v>
      </c>
      <c r="Q199" t="s">
        <v>1300</v>
      </c>
      <c r="R199" t="s">
        <v>1377</v>
      </c>
      <c r="S199" t="s">
        <v>1300</v>
      </c>
      <c r="T199" t="s">
        <v>1377</v>
      </c>
      <c r="U199" t="s">
        <v>1300</v>
      </c>
      <c r="V199" t="s">
        <v>1377</v>
      </c>
      <c r="W199" t="s">
        <v>1300</v>
      </c>
      <c r="X199" t="s">
        <v>1370</v>
      </c>
      <c r="Y199" t="s">
        <v>1255</v>
      </c>
      <c r="Z199" t="s">
        <v>1255</v>
      </c>
      <c r="AA199" t="s">
        <v>1255</v>
      </c>
      <c r="AB199" t="s">
        <v>1255</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1495</v>
      </c>
      <c r="CD199" t="s">
        <v>1489</v>
      </c>
      <c r="CE199" t="s">
        <v>1496</v>
      </c>
      <c r="CF199" t="s">
        <v>1492</v>
      </c>
      <c r="CG199" t="b">
        <v>1</v>
      </c>
      <c r="CH199">
        <v>0</v>
      </c>
      <c r="CI199" t="s">
        <v>1541</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x14ac:dyDescent="0.25">
      <c r="A200">
        <v>565</v>
      </c>
      <c r="B200">
        <v>100060</v>
      </c>
      <c r="C200" t="s">
        <v>1248</v>
      </c>
      <c r="D200">
        <v>1</v>
      </c>
      <c r="E200" t="s">
        <v>1489</v>
      </c>
      <c r="F200">
        <v>5</v>
      </c>
      <c r="G200">
        <v>1</v>
      </c>
      <c r="H200">
        <v>2</v>
      </c>
      <c r="I200" t="s">
        <v>1489</v>
      </c>
      <c r="J200" t="s">
        <v>1295</v>
      </c>
      <c r="K200" t="s">
        <v>16</v>
      </c>
      <c r="L200" t="s">
        <v>1489</v>
      </c>
      <c r="M200" t="s">
        <v>1519</v>
      </c>
      <c r="N200" t="s">
        <v>1489</v>
      </c>
      <c r="O200" t="s">
        <v>1300</v>
      </c>
      <c r="P200" t="s">
        <v>1377</v>
      </c>
      <c r="Q200" t="s">
        <v>1300</v>
      </c>
      <c r="R200" t="s">
        <v>1377</v>
      </c>
      <c r="S200" t="s">
        <v>1300</v>
      </c>
      <c r="T200" t="s">
        <v>1377</v>
      </c>
      <c r="U200" t="s">
        <v>1300</v>
      </c>
      <c r="V200" t="s">
        <v>1377</v>
      </c>
      <c r="W200" t="s">
        <v>1300</v>
      </c>
      <c r="X200" t="s">
        <v>1370</v>
      </c>
      <c r="Y200" t="s">
        <v>1255</v>
      </c>
      <c r="Z200" t="s">
        <v>1255</v>
      </c>
      <c r="AA200" t="s">
        <v>1255</v>
      </c>
      <c r="AB200" t="s">
        <v>1255</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1251</v>
      </c>
      <c r="CD200" t="s">
        <v>1489</v>
      </c>
      <c r="CE200" t="s">
        <v>1496</v>
      </c>
      <c r="CF200" t="s">
        <v>1492</v>
      </c>
      <c r="CG200" t="b">
        <v>1</v>
      </c>
      <c r="CH200">
        <v>0</v>
      </c>
      <c r="CI200" t="s">
        <v>1541</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x14ac:dyDescent="0.25">
      <c r="A201">
        <v>566</v>
      </c>
      <c r="B201">
        <v>100060</v>
      </c>
      <c r="C201" t="s">
        <v>1248</v>
      </c>
      <c r="D201">
        <v>2</v>
      </c>
      <c r="E201" t="s">
        <v>1489</v>
      </c>
      <c r="F201">
        <v>5</v>
      </c>
      <c r="G201">
        <v>1</v>
      </c>
      <c r="H201">
        <v>2</v>
      </c>
      <c r="I201" t="s">
        <v>1489</v>
      </c>
      <c r="J201" t="s">
        <v>1295</v>
      </c>
      <c r="K201" t="s">
        <v>16</v>
      </c>
      <c r="L201" t="s">
        <v>1489</v>
      </c>
      <c r="M201" t="s">
        <v>1519</v>
      </c>
      <c r="N201" t="s">
        <v>1489</v>
      </c>
      <c r="O201" t="s">
        <v>1300</v>
      </c>
      <c r="P201" t="s">
        <v>1377</v>
      </c>
      <c r="Q201" t="s">
        <v>1300</v>
      </c>
      <c r="R201" t="s">
        <v>1377</v>
      </c>
      <c r="S201" t="s">
        <v>1300</v>
      </c>
      <c r="T201" t="s">
        <v>1377</v>
      </c>
      <c r="U201" t="s">
        <v>1300</v>
      </c>
      <c r="V201" t="s">
        <v>1377</v>
      </c>
      <c r="W201" t="s">
        <v>1300</v>
      </c>
      <c r="X201" t="s">
        <v>1370</v>
      </c>
      <c r="Y201" t="s">
        <v>1255</v>
      </c>
      <c r="Z201" t="s">
        <v>1255</v>
      </c>
      <c r="AA201" t="s">
        <v>1255</v>
      </c>
      <c r="AB201" t="s">
        <v>1255</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1251</v>
      </c>
      <c r="CD201" t="s">
        <v>1489</v>
      </c>
      <c r="CE201" t="s">
        <v>1496</v>
      </c>
      <c r="CF201" t="s">
        <v>1492</v>
      </c>
      <c r="CG201" t="b">
        <v>1</v>
      </c>
      <c r="CH201">
        <v>0</v>
      </c>
      <c r="CI201" t="s">
        <v>1541</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x14ac:dyDescent="0.25">
      <c r="A202">
        <v>380</v>
      </c>
      <c r="B202">
        <v>534</v>
      </c>
      <c r="C202" t="s">
        <v>1248</v>
      </c>
      <c r="D202">
        <v>1</v>
      </c>
      <c r="E202" t="s">
        <v>1489</v>
      </c>
      <c r="F202">
        <v>6</v>
      </c>
      <c r="G202">
        <v>1</v>
      </c>
      <c r="H202">
        <v>2</v>
      </c>
      <c r="I202" t="s">
        <v>1113</v>
      </c>
      <c r="J202" t="s">
        <v>1295</v>
      </c>
      <c r="K202" t="s">
        <v>15</v>
      </c>
      <c r="L202" t="s">
        <v>1494</v>
      </c>
      <c r="M202" t="s">
        <v>1519</v>
      </c>
      <c r="N202" t="s">
        <v>1489</v>
      </c>
      <c r="O202" t="s">
        <v>1300</v>
      </c>
      <c r="P202" t="s">
        <v>1377</v>
      </c>
      <c r="Q202" t="s">
        <v>1300</v>
      </c>
      <c r="R202" t="s">
        <v>1377</v>
      </c>
      <c r="S202" t="s">
        <v>1300</v>
      </c>
      <c r="T202" t="s">
        <v>1377</v>
      </c>
      <c r="U202" t="s">
        <v>1300</v>
      </c>
      <c r="V202" t="s">
        <v>1377</v>
      </c>
      <c r="W202" t="s">
        <v>1300</v>
      </c>
      <c r="X202" t="s">
        <v>1370</v>
      </c>
      <c r="Y202" t="s">
        <v>1255</v>
      </c>
      <c r="Z202" t="s">
        <v>1255</v>
      </c>
      <c r="AA202" t="s">
        <v>1255</v>
      </c>
      <c r="AB202" t="s">
        <v>1255</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1495</v>
      </c>
      <c r="CD202" t="s">
        <v>1489</v>
      </c>
      <c r="CE202" t="s">
        <v>1496</v>
      </c>
      <c r="CF202" t="s">
        <v>1492</v>
      </c>
      <c r="CG202" t="b">
        <v>1</v>
      </c>
      <c r="CH202">
        <v>0</v>
      </c>
      <c r="CI202" t="s">
        <v>1541</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x14ac:dyDescent="0.25">
      <c r="A203">
        <v>379</v>
      </c>
      <c r="B203">
        <v>534</v>
      </c>
      <c r="C203" t="s">
        <v>1248</v>
      </c>
      <c r="D203">
        <v>2</v>
      </c>
      <c r="E203" t="s">
        <v>1489</v>
      </c>
      <c r="F203">
        <v>6</v>
      </c>
      <c r="G203">
        <v>1</v>
      </c>
      <c r="H203">
        <v>2</v>
      </c>
      <c r="I203" t="s">
        <v>1113</v>
      </c>
      <c r="J203" t="s">
        <v>1295</v>
      </c>
      <c r="K203" t="s">
        <v>15</v>
      </c>
      <c r="L203" t="s">
        <v>1494</v>
      </c>
      <c r="M203" t="s">
        <v>1519</v>
      </c>
      <c r="N203" t="s">
        <v>1489</v>
      </c>
      <c r="O203" t="s">
        <v>1300</v>
      </c>
      <c r="P203" t="s">
        <v>1377</v>
      </c>
      <c r="Q203" t="s">
        <v>1300</v>
      </c>
      <c r="R203" t="s">
        <v>1377</v>
      </c>
      <c r="S203" t="s">
        <v>1300</v>
      </c>
      <c r="T203" t="s">
        <v>1377</v>
      </c>
      <c r="U203" t="s">
        <v>1300</v>
      </c>
      <c r="V203" t="s">
        <v>1377</v>
      </c>
      <c r="W203" t="s">
        <v>1300</v>
      </c>
      <c r="X203" t="s">
        <v>1370</v>
      </c>
      <c r="Y203" t="s">
        <v>1255</v>
      </c>
      <c r="Z203" t="s">
        <v>1255</v>
      </c>
      <c r="AA203" t="s">
        <v>1255</v>
      </c>
      <c r="AB203" t="s">
        <v>1255</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1495</v>
      </c>
      <c r="CD203" t="s">
        <v>1489</v>
      </c>
      <c r="CE203" t="s">
        <v>1496</v>
      </c>
      <c r="CF203" t="s">
        <v>1492</v>
      </c>
      <c r="CG203" t="b">
        <v>1</v>
      </c>
      <c r="CH203">
        <v>0</v>
      </c>
      <c r="CI203" t="s">
        <v>1541</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x14ac:dyDescent="0.25">
      <c r="A204">
        <v>567</v>
      </c>
      <c r="B204">
        <v>100061</v>
      </c>
      <c r="C204" t="s">
        <v>1248</v>
      </c>
      <c r="D204">
        <v>1</v>
      </c>
      <c r="E204" t="s">
        <v>1489</v>
      </c>
      <c r="F204">
        <v>5</v>
      </c>
      <c r="G204">
        <v>1</v>
      </c>
      <c r="H204">
        <v>2</v>
      </c>
      <c r="I204" t="s">
        <v>1489</v>
      </c>
      <c r="J204" t="s">
        <v>1295</v>
      </c>
      <c r="K204" t="s">
        <v>16</v>
      </c>
      <c r="L204" t="s">
        <v>1489</v>
      </c>
      <c r="M204" t="s">
        <v>1519</v>
      </c>
      <c r="N204" t="s">
        <v>1489</v>
      </c>
      <c r="O204" t="s">
        <v>1300</v>
      </c>
      <c r="P204" t="s">
        <v>1377</v>
      </c>
      <c r="Q204" t="s">
        <v>1300</v>
      </c>
      <c r="R204" t="s">
        <v>1377</v>
      </c>
      <c r="S204" t="s">
        <v>1300</v>
      </c>
      <c r="T204" t="s">
        <v>1377</v>
      </c>
      <c r="U204" t="s">
        <v>1300</v>
      </c>
      <c r="V204" t="s">
        <v>1377</v>
      </c>
      <c r="W204" t="s">
        <v>1300</v>
      </c>
      <c r="X204" t="s">
        <v>1370</v>
      </c>
      <c r="Y204" t="s">
        <v>1255</v>
      </c>
      <c r="Z204" t="s">
        <v>1255</v>
      </c>
      <c r="AA204" t="s">
        <v>1255</v>
      </c>
      <c r="AB204" t="s">
        <v>1255</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1251</v>
      </c>
      <c r="CD204" t="s">
        <v>1489</v>
      </c>
      <c r="CE204" t="s">
        <v>1496</v>
      </c>
      <c r="CF204" t="s">
        <v>1492</v>
      </c>
      <c r="CG204" t="b">
        <v>1</v>
      </c>
      <c r="CH204">
        <v>0</v>
      </c>
      <c r="CI204" t="s">
        <v>1541</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x14ac:dyDescent="0.25">
      <c r="A205">
        <v>568</v>
      </c>
      <c r="B205">
        <v>100061</v>
      </c>
      <c r="C205" t="s">
        <v>1248</v>
      </c>
      <c r="D205">
        <v>2</v>
      </c>
      <c r="E205" t="s">
        <v>1489</v>
      </c>
      <c r="F205">
        <v>5</v>
      </c>
      <c r="G205">
        <v>1</v>
      </c>
      <c r="H205">
        <v>2</v>
      </c>
      <c r="I205" t="s">
        <v>1489</v>
      </c>
      <c r="J205" t="s">
        <v>1295</v>
      </c>
      <c r="K205" t="s">
        <v>16</v>
      </c>
      <c r="L205" t="s">
        <v>1489</v>
      </c>
      <c r="M205" t="s">
        <v>1519</v>
      </c>
      <c r="N205" t="s">
        <v>1489</v>
      </c>
      <c r="O205" t="s">
        <v>1291</v>
      </c>
      <c r="P205" t="s">
        <v>1377</v>
      </c>
      <c r="Q205" t="s">
        <v>1300</v>
      </c>
      <c r="R205" t="s">
        <v>1377</v>
      </c>
      <c r="S205" t="s">
        <v>1300</v>
      </c>
      <c r="T205" t="s">
        <v>1377</v>
      </c>
      <c r="U205" t="s">
        <v>1300</v>
      </c>
      <c r="V205" t="s">
        <v>1377</v>
      </c>
      <c r="W205" t="s">
        <v>1300</v>
      </c>
      <c r="X205" t="s">
        <v>1370</v>
      </c>
      <c r="Y205" t="s">
        <v>1255</v>
      </c>
      <c r="Z205" t="s">
        <v>1255</v>
      </c>
      <c r="AA205" t="s">
        <v>1255</v>
      </c>
      <c r="AB205" t="s">
        <v>1255</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1251</v>
      </c>
      <c r="CD205" t="s">
        <v>1489</v>
      </c>
      <c r="CE205" t="s">
        <v>1496</v>
      </c>
      <c r="CF205" t="s">
        <v>1492</v>
      </c>
      <c r="CG205" t="b">
        <v>1</v>
      </c>
      <c r="CH205">
        <v>0</v>
      </c>
      <c r="CI205" t="s">
        <v>1541</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x14ac:dyDescent="0.25">
      <c r="A206">
        <v>381</v>
      </c>
      <c r="B206">
        <v>535</v>
      </c>
      <c r="C206" t="s">
        <v>1248</v>
      </c>
      <c r="D206">
        <v>1</v>
      </c>
      <c r="E206" t="s">
        <v>1489</v>
      </c>
      <c r="F206">
        <v>1</v>
      </c>
      <c r="G206">
        <v>1</v>
      </c>
      <c r="H206">
        <v>2</v>
      </c>
      <c r="I206" t="s">
        <v>284</v>
      </c>
      <c r="J206" t="s">
        <v>1295</v>
      </c>
      <c r="K206" t="s">
        <v>15</v>
      </c>
      <c r="L206" t="s">
        <v>1494</v>
      </c>
      <c r="M206" t="s">
        <v>1519</v>
      </c>
      <c r="N206" t="s">
        <v>1489</v>
      </c>
      <c r="O206" t="s">
        <v>1300</v>
      </c>
      <c r="P206" t="s">
        <v>1377</v>
      </c>
      <c r="Q206" t="s">
        <v>1300</v>
      </c>
      <c r="R206" t="s">
        <v>1377</v>
      </c>
      <c r="S206" t="s">
        <v>1300</v>
      </c>
      <c r="T206" t="s">
        <v>1377</v>
      </c>
      <c r="U206" t="s">
        <v>1300</v>
      </c>
      <c r="V206" t="s">
        <v>1377</v>
      </c>
      <c r="W206" t="s">
        <v>1300</v>
      </c>
      <c r="X206" t="s">
        <v>1370</v>
      </c>
      <c r="Y206" t="s">
        <v>1255</v>
      </c>
      <c r="Z206" t="s">
        <v>1255</v>
      </c>
      <c r="AA206" t="s">
        <v>1255</v>
      </c>
      <c r="AB206" t="s">
        <v>1255</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1495</v>
      </c>
      <c r="CD206" t="s">
        <v>1489</v>
      </c>
      <c r="CE206" t="s">
        <v>1498</v>
      </c>
      <c r="CF206" t="s">
        <v>1492</v>
      </c>
      <c r="CG206" t="b">
        <v>1</v>
      </c>
      <c r="CH206">
        <v>0</v>
      </c>
      <c r="CI206" t="s">
        <v>1541</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x14ac:dyDescent="0.25">
      <c r="A207">
        <v>382</v>
      </c>
      <c r="B207">
        <v>535</v>
      </c>
      <c r="C207" t="s">
        <v>1248</v>
      </c>
      <c r="D207">
        <v>2</v>
      </c>
      <c r="E207" t="s">
        <v>1489</v>
      </c>
      <c r="F207">
        <v>1</v>
      </c>
      <c r="G207">
        <v>1</v>
      </c>
      <c r="H207">
        <v>2</v>
      </c>
      <c r="I207" t="s">
        <v>284</v>
      </c>
      <c r="J207" t="s">
        <v>1295</v>
      </c>
      <c r="K207" t="s">
        <v>15</v>
      </c>
      <c r="L207" t="s">
        <v>1494</v>
      </c>
      <c r="M207" t="s">
        <v>1519</v>
      </c>
      <c r="N207" t="s">
        <v>1489</v>
      </c>
      <c r="O207" t="s">
        <v>1300</v>
      </c>
      <c r="P207" t="s">
        <v>1377</v>
      </c>
      <c r="Q207" t="s">
        <v>1300</v>
      </c>
      <c r="R207" t="s">
        <v>1377</v>
      </c>
      <c r="S207" t="s">
        <v>1300</v>
      </c>
      <c r="T207" t="s">
        <v>1377</v>
      </c>
      <c r="U207" t="s">
        <v>1300</v>
      </c>
      <c r="V207" t="s">
        <v>1377</v>
      </c>
      <c r="W207" t="s">
        <v>1300</v>
      </c>
      <c r="X207" t="s">
        <v>1370</v>
      </c>
      <c r="Y207" t="s">
        <v>1255</v>
      </c>
      <c r="Z207" t="s">
        <v>1255</v>
      </c>
      <c r="AA207" t="s">
        <v>1255</v>
      </c>
      <c r="AB207" t="s">
        <v>1255</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1495</v>
      </c>
      <c r="CD207" t="s">
        <v>1489</v>
      </c>
      <c r="CE207" t="s">
        <v>1498</v>
      </c>
      <c r="CF207" t="s">
        <v>1492</v>
      </c>
      <c r="CG207" t="b">
        <v>1</v>
      </c>
      <c r="CH207">
        <v>0</v>
      </c>
      <c r="CI207" t="s">
        <v>1541</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x14ac:dyDescent="0.25">
      <c r="A208">
        <v>569</v>
      </c>
      <c r="B208">
        <v>100062</v>
      </c>
      <c r="C208" t="s">
        <v>1248</v>
      </c>
      <c r="D208">
        <v>1</v>
      </c>
      <c r="E208" t="s">
        <v>1489</v>
      </c>
      <c r="F208">
        <v>5</v>
      </c>
      <c r="G208">
        <v>1</v>
      </c>
      <c r="H208">
        <v>2</v>
      </c>
      <c r="I208" t="s">
        <v>1489</v>
      </c>
      <c r="J208" t="s">
        <v>1295</v>
      </c>
      <c r="K208" t="s">
        <v>16</v>
      </c>
      <c r="L208" t="s">
        <v>1489</v>
      </c>
      <c r="M208" t="s">
        <v>1519</v>
      </c>
      <c r="N208" t="s">
        <v>1489</v>
      </c>
      <c r="O208" t="s">
        <v>1300</v>
      </c>
      <c r="P208" t="s">
        <v>1377</v>
      </c>
      <c r="Q208" t="s">
        <v>1300</v>
      </c>
      <c r="R208" t="s">
        <v>1377</v>
      </c>
      <c r="S208" t="s">
        <v>1300</v>
      </c>
      <c r="T208" t="s">
        <v>1377</v>
      </c>
      <c r="U208" t="s">
        <v>1300</v>
      </c>
      <c r="V208" t="s">
        <v>1377</v>
      </c>
      <c r="W208" t="s">
        <v>1300</v>
      </c>
      <c r="X208" t="s">
        <v>1377</v>
      </c>
      <c r="Y208" t="s">
        <v>1255</v>
      </c>
      <c r="Z208" t="s">
        <v>1255</v>
      </c>
      <c r="AA208" t="s">
        <v>1255</v>
      </c>
      <c r="AB208" t="s">
        <v>1255</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1251</v>
      </c>
      <c r="CD208" t="s">
        <v>1489</v>
      </c>
      <c r="CE208" t="s">
        <v>1498</v>
      </c>
      <c r="CF208" t="s">
        <v>1492</v>
      </c>
      <c r="CG208" t="b">
        <v>1</v>
      </c>
      <c r="CH208">
        <v>0</v>
      </c>
      <c r="CI208" t="s">
        <v>1585</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x14ac:dyDescent="0.25">
      <c r="A209">
        <v>570</v>
      </c>
      <c r="B209">
        <v>100062</v>
      </c>
      <c r="C209" t="s">
        <v>1248</v>
      </c>
      <c r="D209">
        <v>2</v>
      </c>
      <c r="E209" t="s">
        <v>1489</v>
      </c>
      <c r="F209">
        <v>5</v>
      </c>
      <c r="G209">
        <v>1</v>
      </c>
      <c r="H209">
        <v>2</v>
      </c>
      <c r="I209" t="s">
        <v>1489</v>
      </c>
      <c r="J209" t="s">
        <v>1295</v>
      </c>
      <c r="K209" t="s">
        <v>16</v>
      </c>
      <c r="L209" t="s">
        <v>1489</v>
      </c>
      <c r="M209" t="s">
        <v>1519</v>
      </c>
      <c r="N209" t="s">
        <v>1489</v>
      </c>
      <c r="O209" t="s">
        <v>1300</v>
      </c>
      <c r="P209" t="s">
        <v>1377</v>
      </c>
      <c r="Q209" t="s">
        <v>1300</v>
      </c>
      <c r="R209" t="s">
        <v>1377</v>
      </c>
      <c r="S209" t="s">
        <v>1300</v>
      </c>
      <c r="T209" t="s">
        <v>1377</v>
      </c>
      <c r="U209" t="s">
        <v>1300</v>
      </c>
      <c r="V209" t="s">
        <v>1377</v>
      </c>
      <c r="W209" t="s">
        <v>1300</v>
      </c>
      <c r="X209" t="s">
        <v>1370</v>
      </c>
      <c r="Y209" t="s">
        <v>1255</v>
      </c>
      <c r="Z209" t="s">
        <v>1255</v>
      </c>
      <c r="AA209" t="s">
        <v>1255</v>
      </c>
      <c r="AB209" t="s">
        <v>1255</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1251</v>
      </c>
      <c r="CD209" t="s">
        <v>1489</v>
      </c>
      <c r="CE209" t="s">
        <v>1498</v>
      </c>
      <c r="CF209" t="s">
        <v>1492</v>
      </c>
      <c r="CG209" t="b">
        <v>1</v>
      </c>
      <c r="CH209">
        <v>0</v>
      </c>
      <c r="CI209" t="s">
        <v>1585</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x14ac:dyDescent="0.25">
      <c r="A210">
        <v>384</v>
      </c>
      <c r="B210">
        <v>537</v>
      </c>
      <c r="C210" t="s">
        <v>1248</v>
      </c>
      <c r="D210">
        <v>1</v>
      </c>
      <c r="E210" t="s">
        <v>1489</v>
      </c>
      <c r="F210">
        <v>7</v>
      </c>
      <c r="G210">
        <v>1</v>
      </c>
      <c r="H210">
        <v>2</v>
      </c>
      <c r="I210" t="s">
        <v>1113</v>
      </c>
      <c r="J210" t="s">
        <v>1295</v>
      </c>
      <c r="K210" t="s">
        <v>15</v>
      </c>
      <c r="L210" t="s">
        <v>1494</v>
      </c>
      <c r="M210" t="s">
        <v>1489</v>
      </c>
      <c r="N210" t="s">
        <v>1489</v>
      </c>
      <c r="O210" t="s">
        <v>1283</v>
      </c>
      <c r="P210" t="s">
        <v>1377</v>
      </c>
      <c r="Q210" t="s">
        <v>1283</v>
      </c>
      <c r="R210" t="s">
        <v>1377</v>
      </c>
      <c r="S210" t="s">
        <v>1283</v>
      </c>
      <c r="T210" t="s">
        <v>1377</v>
      </c>
      <c r="U210" t="s">
        <v>1283</v>
      </c>
      <c r="V210" t="s">
        <v>1377</v>
      </c>
      <c r="W210" t="s">
        <v>1283</v>
      </c>
      <c r="X210" t="s">
        <v>1370</v>
      </c>
      <c r="Y210" t="s">
        <v>1255</v>
      </c>
      <c r="Z210" t="s">
        <v>1255</v>
      </c>
      <c r="AA210" t="s">
        <v>1255</v>
      </c>
      <c r="AB210" t="s">
        <v>1255</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1495</v>
      </c>
      <c r="CD210" t="s">
        <v>1489</v>
      </c>
      <c r="CE210" t="s">
        <v>1498</v>
      </c>
      <c r="CF210" t="s">
        <v>1492</v>
      </c>
      <c r="CG210" t="b">
        <v>0</v>
      </c>
      <c r="CH210">
        <v>0</v>
      </c>
      <c r="CI210" t="s">
        <v>1541</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x14ac:dyDescent="0.25">
      <c r="A211">
        <v>383</v>
      </c>
      <c r="B211">
        <v>537</v>
      </c>
      <c r="C211" t="s">
        <v>1248</v>
      </c>
      <c r="D211">
        <v>2</v>
      </c>
      <c r="E211" t="s">
        <v>1489</v>
      </c>
      <c r="F211">
        <v>7</v>
      </c>
      <c r="G211">
        <v>1</v>
      </c>
      <c r="H211">
        <v>2</v>
      </c>
      <c r="I211" t="s">
        <v>1113</v>
      </c>
      <c r="J211" t="s">
        <v>1295</v>
      </c>
      <c r="K211" t="s">
        <v>15</v>
      </c>
      <c r="L211" t="s">
        <v>1494</v>
      </c>
      <c r="M211" t="s">
        <v>1489</v>
      </c>
      <c r="N211" t="s">
        <v>1489</v>
      </c>
      <c r="O211" t="s">
        <v>1283</v>
      </c>
      <c r="P211" t="s">
        <v>1377</v>
      </c>
      <c r="Q211" t="s">
        <v>1283</v>
      </c>
      <c r="R211" t="s">
        <v>1377</v>
      </c>
      <c r="S211" t="s">
        <v>1283</v>
      </c>
      <c r="T211" t="s">
        <v>1377</v>
      </c>
      <c r="U211" t="s">
        <v>1283</v>
      </c>
      <c r="V211" t="s">
        <v>1377</v>
      </c>
      <c r="W211" t="s">
        <v>1283</v>
      </c>
      <c r="X211" t="s">
        <v>1370</v>
      </c>
      <c r="Y211" t="s">
        <v>1255</v>
      </c>
      <c r="Z211" t="s">
        <v>1255</v>
      </c>
      <c r="AA211" t="s">
        <v>1255</v>
      </c>
      <c r="AB211" t="s">
        <v>1255</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1495</v>
      </c>
      <c r="CD211" t="s">
        <v>1489</v>
      </c>
      <c r="CE211" t="s">
        <v>1498</v>
      </c>
      <c r="CF211" t="s">
        <v>1492</v>
      </c>
      <c r="CG211" t="b">
        <v>0</v>
      </c>
      <c r="CH211">
        <v>0</v>
      </c>
      <c r="CI211" t="s">
        <v>1541</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x14ac:dyDescent="0.25">
      <c r="A212">
        <v>386</v>
      </c>
      <c r="B212">
        <v>539</v>
      </c>
      <c r="C212" t="s">
        <v>1248</v>
      </c>
      <c r="D212">
        <v>1</v>
      </c>
      <c r="E212" t="s">
        <v>1489</v>
      </c>
      <c r="F212">
        <v>6</v>
      </c>
      <c r="G212">
        <v>1</v>
      </c>
      <c r="H212">
        <v>2</v>
      </c>
      <c r="I212" t="s">
        <v>1113</v>
      </c>
      <c r="J212" t="s">
        <v>1252</v>
      </c>
      <c r="K212" t="s">
        <v>15</v>
      </c>
      <c r="L212" t="s">
        <v>1490</v>
      </c>
      <c r="M212" t="s">
        <v>1489</v>
      </c>
      <c r="N212" t="s">
        <v>1489</v>
      </c>
      <c r="O212" t="s">
        <v>1283</v>
      </c>
      <c r="P212" t="s">
        <v>1377</v>
      </c>
      <c r="Q212" t="s">
        <v>1283</v>
      </c>
      <c r="R212" t="s">
        <v>1377</v>
      </c>
      <c r="S212" t="s">
        <v>1283</v>
      </c>
      <c r="T212" t="s">
        <v>1377</v>
      </c>
      <c r="U212" t="s">
        <v>1283</v>
      </c>
      <c r="V212" t="s">
        <v>1377</v>
      </c>
      <c r="W212" t="s">
        <v>1283</v>
      </c>
      <c r="X212" t="s">
        <v>1370</v>
      </c>
      <c r="Y212" t="s">
        <v>1255</v>
      </c>
      <c r="Z212" t="s">
        <v>1255</v>
      </c>
      <c r="AA212" t="s">
        <v>1255</v>
      </c>
      <c r="AB212" t="s">
        <v>1255</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1495</v>
      </c>
      <c r="CD212" t="s">
        <v>1489</v>
      </c>
      <c r="CE212" t="s">
        <v>1496</v>
      </c>
      <c r="CF212" t="s">
        <v>1492</v>
      </c>
      <c r="CG212" t="b">
        <v>0</v>
      </c>
      <c r="CH212">
        <v>0</v>
      </c>
      <c r="CI212" t="s">
        <v>1525</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x14ac:dyDescent="0.25">
      <c r="A213">
        <v>385</v>
      </c>
      <c r="B213">
        <v>539</v>
      </c>
      <c r="C213" t="s">
        <v>1248</v>
      </c>
      <c r="D213">
        <v>2</v>
      </c>
      <c r="E213" t="s">
        <v>1489</v>
      </c>
      <c r="F213">
        <v>6</v>
      </c>
      <c r="G213">
        <v>1</v>
      </c>
      <c r="H213">
        <v>2</v>
      </c>
      <c r="I213" t="s">
        <v>1113</v>
      </c>
      <c r="J213" t="s">
        <v>1252</v>
      </c>
      <c r="K213" t="s">
        <v>15</v>
      </c>
      <c r="L213" t="s">
        <v>1490</v>
      </c>
      <c r="M213" t="s">
        <v>1489</v>
      </c>
      <c r="N213" t="s">
        <v>1489</v>
      </c>
      <c r="O213" t="s">
        <v>1283</v>
      </c>
      <c r="P213" t="s">
        <v>1377</v>
      </c>
      <c r="Q213" t="s">
        <v>1283</v>
      </c>
      <c r="R213" t="s">
        <v>1377</v>
      </c>
      <c r="S213" t="s">
        <v>1283</v>
      </c>
      <c r="T213" t="s">
        <v>1377</v>
      </c>
      <c r="U213" t="s">
        <v>1283</v>
      </c>
      <c r="V213" t="s">
        <v>1377</v>
      </c>
      <c r="W213" t="s">
        <v>1283</v>
      </c>
      <c r="X213" t="s">
        <v>1370</v>
      </c>
      <c r="Y213" t="s">
        <v>1255</v>
      </c>
      <c r="Z213" t="s">
        <v>1255</v>
      </c>
      <c r="AA213" t="s">
        <v>1255</v>
      </c>
      <c r="AB213" t="s">
        <v>1255</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1495</v>
      </c>
      <c r="CD213" t="s">
        <v>1489</v>
      </c>
      <c r="CE213" t="s">
        <v>1496</v>
      </c>
      <c r="CF213" t="s">
        <v>1559</v>
      </c>
      <c r="CG213" t="b">
        <v>0</v>
      </c>
      <c r="CH213">
        <v>0</v>
      </c>
      <c r="CI213" t="s">
        <v>1589</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x14ac:dyDescent="0.25">
      <c r="A214">
        <v>388</v>
      </c>
      <c r="B214">
        <v>541</v>
      </c>
      <c r="C214" t="s">
        <v>1248</v>
      </c>
      <c r="D214">
        <v>1</v>
      </c>
      <c r="E214" t="s">
        <v>1489</v>
      </c>
      <c r="F214">
        <v>3</v>
      </c>
      <c r="G214">
        <v>1</v>
      </c>
      <c r="H214">
        <v>2</v>
      </c>
      <c r="I214" t="s">
        <v>1113</v>
      </c>
      <c r="J214" t="s">
        <v>1252</v>
      </c>
      <c r="K214" t="s">
        <v>15</v>
      </c>
      <c r="L214" t="s">
        <v>1490</v>
      </c>
      <c r="M214" t="s">
        <v>1489</v>
      </c>
      <c r="N214" t="s">
        <v>1489</v>
      </c>
      <c r="O214" t="s">
        <v>1283</v>
      </c>
      <c r="P214" t="s">
        <v>1377</v>
      </c>
      <c r="Q214" t="s">
        <v>1283</v>
      </c>
      <c r="R214" t="s">
        <v>1377</v>
      </c>
      <c r="S214" t="s">
        <v>1283</v>
      </c>
      <c r="T214" t="s">
        <v>1377</v>
      </c>
      <c r="U214" t="s">
        <v>1283</v>
      </c>
      <c r="V214" t="s">
        <v>1377</v>
      </c>
      <c r="W214" t="s">
        <v>1283</v>
      </c>
      <c r="X214" t="s">
        <v>1370</v>
      </c>
      <c r="Y214" t="s">
        <v>1255</v>
      </c>
      <c r="Z214" t="s">
        <v>1255</v>
      </c>
      <c r="AA214" t="s">
        <v>1255</v>
      </c>
      <c r="AB214" t="s">
        <v>1255</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1495</v>
      </c>
      <c r="CD214" t="s">
        <v>1489</v>
      </c>
      <c r="CE214" t="s">
        <v>1498</v>
      </c>
      <c r="CF214" t="s">
        <v>1492</v>
      </c>
      <c r="CG214" t="b">
        <v>0</v>
      </c>
      <c r="CH214">
        <v>0</v>
      </c>
      <c r="CI214" t="s">
        <v>1541</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x14ac:dyDescent="0.25">
      <c r="A215">
        <v>387</v>
      </c>
      <c r="B215">
        <v>541</v>
      </c>
      <c r="C215" t="s">
        <v>1248</v>
      </c>
      <c r="D215">
        <v>2</v>
      </c>
      <c r="E215" t="s">
        <v>1489</v>
      </c>
      <c r="F215">
        <v>3</v>
      </c>
      <c r="G215">
        <v>1</v>
      </c>
      <c r="H215">
        <v>2</v>
      </c>
      <c r="I215" t="s">
        <v>1113</v>
      </c>
      <c r="J215" t="s">
        <v>1252</v>
      </c>
      <c r="K215" t="s">
        <v>15</v>
      </c>
      <c r="L215" t="s">
        <v>1490</v>
      </c>
      <c r="M215" t="s">
        <v>1489</v>
      </c>
      <c r="N215" t="s">
        <v>1489</v>
      </c>
      <c r="O215" t="s">
        <v>1283</v>
      </c>
      <c r="P215" t="s">
        <v>1377</v>
      </c>
      <c r="Q215" t="s">
        <v>1283</v>
      </c>
      <c r="R215" t="s">
        <v>1377</v>
      </c>
      <c r="S215" t="s">
        <v>1283</v>
      </c>
      <c r="T215" t="s">
        <v>1377</v>
      </c>
      <c r="U215" t="s">
        <v>1283</v>
      </c>
      <c r="V215" t="s">
        <v>1377</v>
      </c>
      <c r="W215" t="s">
        <v>1283</v>
      </c>
      <c r="X215" t="s">
        <v>1370</v>
      </c>
      <c r="Y215" t="s">
        <v>1255</v>
      </c>
      <c r="Z215" t="s">
        <v>1255</v>
      </c>
      <c r="AA215" t="s">
        <v>1255</v>
      </c>
      <c r="AB215" t="s">
        <v>1255</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1495</v>
      </c>
      <c r="CD215" t="s">
        <v>1489</v>
      </c>
      <c r="CE215" t="s">
        <v>1498</v>
      </c>
      <c r="CF215" t="s">
        <v>1492</v>
      </c>
      <c r="CG215" t="b">
        <v>0</v>
      </c>
      <c r="CH215">
        <v>0</v>
      </c>
      <c r="CI215" t="s">
        <v>1541</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x14ac:dyDescent="0.25">
      <c r="A216">
        <v>575</v>
      </c>
      <c r="B216">
        <v>100065</v>
      </c>
      <c r="C216" t="s">
        <v>1271</v>
      </c>
      <c r="D216">
        <v>1</v>
      </c>
      <c r="E216" t="s">
        <v>1489</v>
      </c>
      <c r="F216">
        <v>30</v>
      </c>
      <c r="G216">
        <v>1</v>
      </c>
      <c r="H216">
        <v>2</v>
      </c>
      <c r="I216" t="s">
        <v>1590</v>
      </c>
      <c r="J216" t="s">
        <v>1295</v>
      </c>
      <c r="K216" t="s">
        <v>15</v>
      </c>
      <c r="L216" t="s">
        <v>1494</v>
      </c>
      <c r="M216" t="s">
        <v>1519</v>
      </c>
      <c r="N216" t="s">
        <v>1489</v>
      </c>
      <c r="O216" t="s">
        <v>1255</v>
      </c>
      <c r="P216" t="s">
        <v>1255</v>
      </c>
      <c r="Q216" t="s">
        <v>1255</v>
      </c>
      <c r="R216" t="s">
        <v>1255</v>
      </c>
      <c r="S216" t="s">
        <v>1370</v>
      </c>
      <c r="T216" t="s">
        <v>1381</v>
      </c>
      <c r="U216" t="s">
        <v>1255</v>
      </c>
      <c r="V216" t="s">
        <v>1255</v>
      </c>
      <c r="W216" t="s">
        <v>1255</v>
      </c>
      <c r="X216" t="s">
        <v>1255</v>
      </c>
      <c r="Y216" t="s">
        <v>1255</v>
      </c>
      <c r="Z216" t="s">
        <v>1255</v>
      </c>
      <c r="AA216" t="s">
        <v>1255</v>
      </c>
      <c r="AB216" t="s">
        <v>1255</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1251</v>
      </c>
      <c r="CD216" t="s">
        <v>1489</v>
      </c>
      <c r="CE216" t="s">
        <v>1591</v>
      </c>
      <c r="CF216" t="s">
        <v>1492</v>
      </c>
      <c r="CG216" t="b">
        <v>1</v>
      </c>
      <c r="CH216">
        <v>0</v>
      </c>
      <c r="CI216" t="s">
        <v>1592</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x14ac:dyDescent="0.25">
      <c r="A217">
        <v>530</v>
      </c>
      <c r="B217">
        <v>100039</v>
      </c>
      <c r="C217" t="s">
        <v>1271</v>
      </c>
      <c r="D217">
        <v>1</v>
      </c>
      <c r="E217" t="s">
        <v>1489</v>
      </c>
      <c r="F217">
        <v>10</v>
      </c>
      <c r="G217">
        <v>1</v>
      </c>
      <c r="H217">
        <v>2</v>
      </c>
      <c r="I217" t="s">
        <v>1593</v>
      </c>
      <c r="J217" t="s">
        <v>1295</v>
      </c>
      <c r="K217" t="s">
        <v>16</v>
      </c>
      <c r="L217" t="s">
        <v>1489</v>
      </c>
      <c r="M217" t="s">
        <v>1519</v>
      </c>
      <c r="N217" t="s">
        <v>1489</v>
      </c>
      <c r="O217" t="s">
        <v>1255</v>
      </c>
      <c r="P217" t="s">
        <v>1255</v>
      </c>
      <c r="Q217" t="s">
        <v>1255</v>
      </c>
      <c r="R217" t="s">
        <v>1255</v>
      </c>
      <c r="S217" t="s">
        <v>1370</v>
      </c>
      <c r="T217" t="s">
        <v>1381</v>
      </c>
      <c r="U217" t="s">
        <v>1255</v>
      </c>
      <c r="V217" t="s">
        <v>1255</v>
      </c>
      <c r="W217" t="s">
        <v>1255</v>
      </c>
      <c r="X217" t="s">
        <v>1255</v>
      </c>
      <c r="Y217" t="s">
        <v>1255</v>
      </c>
      <c r="Z217" t="s">
        <v>1255</v>
      </c>
      <c r="AA217" t="s">
        <v>1255</v>
      </c>
      <c r="AB217" t="s">
        <v>1255</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1251</v>
      </c>
      <c r="CD217" t="s">
        <v>1489</v>
      </c>
      <c r="CE217" t="s">
        <v>1591</v>
      </c>
      <c r="CF217" t="s">
        <v>1492</v>
      </c>
      <c r="CG217" t="b">
        <v>1</v>
      </c>
      <c r="CH217">
        <v>0</v>
      </c>
      <c r="CI217" t="s">
        <v>1594</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x14ac:dyDescent="0.25">
      <c r="A218">
        <v>398</v>
      </c>
      <c r="B218">
        <v>616</v>
      </c>
      <c r="C218" t="s">
        <v>1248</v>
      </c>
      <c r="D218">
        <v>1</v>
      </c>
      <c r="E218" t="s">
        <v>1489</v>
      </c>
      <c r="F218">
        <v>25</v>
      </c>
      <c r="G218">
        <v>2</v>
      </c>
      <c r="H218">
        <v>2</v>
      </c>
      <c r="I218" t="s">
        <v>284</v>
      </c>
      <c r="J218" t="s">
        <v>1295</v>
      </c>
      <c r="K218" t="s">
        <v>15</v>
      </c>
      <c r="L218" t="s">
        <v>1494</v>
      </c>
      <c r="M218" t="s">
        <v>1489</v>
      </c>
      <c r="N218" t="s">
        <v>1489</v>
      </c>
      <c r="O218" t="s">
        <v>1283</v>
      </c>
      <c r="P218" t="s">
        <v>1377</v>
      </c>
      <c r="Q218" t="s">
        <v>1283</v>
      </c>
      <c r="R218" t="s">
        <v>1377</v>
      </c>
      <c r="S218" t="s">
        <v>1283</v>
      </c>
      <c r="T218" t="s">
        <v>1377</v>
      </c>
      <c r="U218" t="s">
        <v>1283</v>
      </c>
      <c r="V218" t="s">
        <v>1377</v>
      </c>
      <c r="W218" t="s">
        <v>1283</v>
      </c>
      <c r="X218" t="s">
        <v>1370</v>
      </c>
      <c r="Y218" t="s">
        <v>1255</v>
      </c>
      <c r="Z218" t="s">
        <v>1255</v>
      </c>
      <c r="AA218" t="s">
        <v>1255</v>
      </c>
      <c r="AB218" t="s">
        <v>1255</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1495</v>
      </c>
      <c r="CD218" t="s">
        <v>1489</v>
      </c>
      <c r="CE218" t="s">
        <v>1498</v>
      </c>
      <c r="CF218" t="s">
        <v>1492</v>
      </c>
      <c r="CG218" t="b">
        <v>0</v>
      </c>
      <c r="CH218">
        <v>0</v>
      </c>
      <c r="CI218" t="s">
        <v>1541</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x14ac:dyDescent="0.25">
      <c r="A219">
        <v>397</v>
      </c>
      <c r="B219">
        <v>616</v>
      </c>
      <c r="C219" t="s">
        <v>1248</v>
      </c>
      <c r="D219">
        <v>2</v>
      </c>
      <c r="E219" t="s">
        <v>1489</v>
      </c>
      <c r="F219">
        <v>25</v>
      </c>
      <c r="G219">
        <v>2</v>
      </c>
      <c r="H219">
        <v>2</v>
      </c>
      <c r="I219" t="s">
        <v>284</v>
      </c>
      <c r="J219" t="s">
        <v>1295</v>
      </c>
      <c r="K219" t="s">
        <v>15</v>
      </c>
      <c r="L219" t="s">
        <v>1494</v>
      </c>
      <c r="M219" t="s">
        <v>1489</v>
      </c>
      <c r="N219" t="s">
        <v>1489</v>
      </c>
      <c r="O219" t="s">
        <v>1283</v>
      </c>
      <c r="P219" t="s">
        <v>1377</v>
      </c>
      <c r="Q219" t="s">
        <v>1283</v>
      </c>
      <c r="R219" t="s">
        <v>1377</v>
      </c>
      <c r="S219" t="s">
        <v>1283</v>
      </c>
      <c r="T219" t="s">
        <v>1377</v>
      </c>
      <c r="U219" t="s">
        <v>1283</v>
      </c>
      <c r="V219" t="s">
        <v>1377</v>
      </c>
      <c r="W219" t="s">
        <v>1283</v>
      </c>
      <c r="X219" t="s">
        <v>1370</v>
      </c>
      <c r="Y219" t="s">
        <v>1255</v>
      </c>
      <c r="Z219" t="s">
        <v>1255</v>
      </c>
      <c r="AA219" t="s">
        <v>1255</v>
      </c>
      <c r="AB219" t="s">
        <v>1255</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1495</v>
      </c>
      <c r="CD219" t="s">
        <v>1489</v>
      </c>
      <c r="CE219" t="s">
        <v>1498</v>
      </c>
      <c r="CF219" t="s">
        <v>1492</v>
      </c>
      <c r="CG219" t="b">
        <v>0</v>
      </c>
      <c r="CH219">
        <v>0</v>
      </c>
      <c r="CI219" t="s">
        <v>1541</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x14ac:dyDescent="0.25">
      <c r="A220">
        <v>401</v>
      </c>
      <c r="B220">
        <v>618</v>
      </c>
      <c r="C220" t="s">
        <v>1248</v>
      </c>
      <c r="D220">
        <v>1</v>
      </c>
      <c r="E220" t="s">
        <v>1489</v>
      </c>
      <c r="F220">
        <v>25</v>
      </c>
      <c r="G220">
        <v>2</v>
      </c>
      <c r="H220">
        <v>2</v>
      </c>
      <c r="I220" t="s">
        <v>387</v>
      </c>
      <c r="J220" t="s">
        <v>1295</v>
      </c>
      <c r="K220" t="s">
        <v>15</v>
      </c>
      <c r="L220" t="s">
        <v>1494</v>
      </c>
      <c r="M220" t="s">
        <v>1489</v>
      </c>
      <c r="N220" t="s">
        <v>1489</v>
      </c>
      <c r="O220" t="s">
        <v>1283</v>
      </c>
      <c r="P220" t="s">
        <v>1377</v>
      </c>
      <c r="Q220" t="s">
        <v>1283</v>
      </c>
      <c r="R220" t="s">
        <v>1377</v>
      </c>
      <c r="S220" t="s">
        <v>1283</v>
      </c>
      <c r="T220" t="s">
        <v>1377</v>
      </c>
      <c r="U220" t="s">
        <v>1283</v>
      </c>
      <c r="V220" t="s">
        <v>1377</v>
      </c>
      <c r="W220" t="s">
        <v>1283</v>
      </c>
      <c r="X220" t="s">
        <v>1370</v>
      </c>
      <c r="Y220" t="s">
        <v>1255</v>
      </c>
      <c r="Z220" t="s">
        <v>1255</v>
      </c>
      <c r="AA220" t="s">
        <v>1255</v>
      </c>
      <c r="AB220" t="s">
        <v>1255</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1495</v>
      </c>
      <c r="CD220" t="s">
        <v>1489</v>
      </c>
      <c r="CE220" t="s">
        <v>1496</v>
      </c>
      <c r="CF220" t="s">
        <v>1492</v>
      </c>
      <c r="CG220" t="b">
        <v>0</v>
      </c>
      <c r="CH220">
        <v>0</v>
      </c>
      <c r="CI220" t="s">
        <v>1541</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x14ac:dyDescent="0.25">
      <c r="A221">
        <v>402</v>
      </c>
      <c r="B221">
        <v>618</v>
      </c>
      <c r="C221" t="s">
        <v>1248</v>
      </c>
      <c r="D221">
        <v>2</v>
      </c>
      <c r="E221" t="s">
        <v>1489</v>
      </c>
      <c r="F221">
        <v>25</v>
      </c>
      <c r="G221">
        <v>2</v>
      </c>
      <c r="H221">
        <v>2</v>
      </c>
      <c r="I221" t="s">
        <v>387</v>
      </c>
      <c r="J221" t="s">
        <v>1295</v>
      </c>
      <c r="K221" t="s">
        <v>15</v>
      </c>
      <c r="L221" t="s">
        <v>1494</v>
      </c>
      <c r="M221" t="s">
        <v>1489</v>
      </c>
      <c r="N221" t="s">
        <v>1489</v>
      </c>
      <c r="O221" t="s">
        <v>1283</v>
      </c>
      <c r="P221" t="s">
        <v>1377</v>
      </c>
      <c r="Q221" t="s">
        <v>1283</v>
      </c>
      <c r="R221" t="s">
        <v>1377</v>
      </c>
      <c r="S221" t="s">
        <v>1283</v>
      </c>
      <c r="T221" t="s">
        <v>1377</v>
      </c>
      <c r="U221" t="s">
        <v>1283</v>
      </c>
      <c r="V221" t="s">
        <v>1377</v>
      </c>
      <c r="W221" t="s">
        <v>1283</v>
      </c>
      <c r="X221" t="s">
        <v>1370</v>
      </c>
      <c r="Y221" t="s">
        <v>1255</v>
      </c>
      <c r="Z221" t="s">
        <v>1255</v>
      </c>
      <c r="AA221" t="s">
        <v>1255</v>
      </c>
      <c r="AB221" t="s">
        <v>1255</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1495</v>
      </c>
      <c r="CD221" t="s">
        <v>1489</v>
      </c>
      <c r="CE221" t="s">
        <v>1496</v>
      </c>
      <c r="CF221" t="s">
        <v>1492</v>
      </c>
      <c r="CG221" t="b">
        <v>0</v>
      </c>
      <c r="CH221">
        <v>0</v>
      </c>
      <c r="CI221" t="s">
        <v>1541</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x14ac:dyDescent="0.25">
      <c r="A222">
        <v>408</v>
      </c>
      <c r="B222">
        <v>621</v>
      </c>
      <c r="C222" t="s">
        <v>1248</v>
      </c>
      <c r="D222">
        <v>1</v>
      </c>
      <c r="E222" t="s">
        <v>1489</v>
      </c>
      <c r="F222">
        <v>25</v>
      </c>
      <c r="G222">
        <v>2</v>
      </c>
      <c r="H222">
        <v>2</v>
      </c>
      <c r="I222" t="s">
        <v>842</v>
      </c>
      <c r="J222" t="s">
        <v>1295</v>
      </c>
      <c r="K222" t="s">
        <v>15</v>
      </c>
      <c r="L222" t="s">
        <v>1494</v>
      </c>
      <c r="M222" t="s">
        <v>1489</v>
      </c>
      <c r="N222" t="s">
        <v>1489</v>
      </c>
      <c r="O222" t="s">
        <v>1283</v>
      </c>
      <c r="P222" t="s">
        <v>1377</v>
      </c>
      <c r="Q222" t="s">
        <v>1283</v>
      </c>
      <c r="R222" t="s">
        <v>1377</v>
      </c>
      <c r="S222" t="s">
        <v>1283</v>
      </c>
      <c r="T222" t="s">
        <v>1377</v>
      </c>
      <c r="U222" t="s">
        <v>1283</v>
      </c>
      <c r="V222" t="s">
        <v>1377</v>
      </c>
      <c r="W222" t="s">
        <v>1283</v>
      </c>
      <c r="X222" t="s">
        <v>1370</v>
      </c>
      <c r="Y222" t="s">
        <v>1255</v>
      </c>
      <c r="Z222" t="s">
        <v>1255</v>
      </c>
      <c r="AA222" t="s">
        <v>1255</v>
      </c>
      <c r="AB222" t="s">
        <v>1255</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1495</v>
      </c>
      <c r="CD222" t="s">
        <v>1489</v>
      </c>
      <c r="CE222" t="s">
        <v>1496</v>
      </c>
      <c r="CF222" t="s">
        <v>1492</v>
      </c>
      <c r="CG222" t="b">
        <v>0</v>
      </c>
      <c r="CH222">
        <v>0</v>
      </c>
      <c r="CI222" t="s">
        <v>1541</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x14ac:dyDescent="0.25">
      <c r="A223">
        <v>407</v>
      </c>
      <c r="B223">
        <v>621</v>
      </c>
      <c r="C223" t="s">
        <v>1248</v>
      </c>
      <c r="D223">
        <v>2</v>
      </c>
      <c r="E223" t="s">
        <v>1489</v>
      </c>
      <c r="F223">
        <v>25</v>
      </c>
      <c r="G223">
        <v>2</v>
      </c>
      <c r="H223">
        <v>2</v>
      </c>
      <c r="I223" t="s">
        <v>842</v>
      </c>
      <c r="J223" t="s">
        <v>1295</v>
      </c>
      <c r="K223" t="s">
        <v>15</v>
      </c>
      <c r="L223" t="s">
        <v>1494</v>
      </c>
      <c r="M223" t="s">
        <v>1489</v>
      </c>
      <c r="N223" t="s">
        <v>1489</v>
      </c>
      <c r="O223" t="s">
        <v>1283</v>
      </c>
      <c r="P223" t="s">
        <v>1377</v>
      </c>
      <c r="Q223" t="s">
        <v>1283</v>
      </c>
      <c r="R223" t="s">
        <v>1377</v>
      </c>
      <c r="S223" t="s">
        <v>1283</v>
      </c>
      <c r="T223" t="s">
        <v>1377</v>
      </c>
      <c r="U223" t="s">
        <v>1283</v>
      </c>
      <c r="V223" t="s">
        <v>1377</v>
      </c>
      <c r="W223" t="s">
        <v>1283</v>
      </c>
      <c r="X223" t="s">
        <v>1370</v>
      </c>
      <c r="Y223" t="s">
        <v>1255</v>
      </c>
      <c r="Z223" t="s">
        <v>1255</v>
      </c>
      <c r="AA223" t="s">
        <v>1255</v>
      </c>
      <c r="AB223" t="s">
        <v>1255</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1495</v>
      </c>
      <c r="CD223" t="s">
        <v>1489</v>
      </c>
      <c r="CE223" t="s">
        <v>1496</v>
      </c>
      <c r="CF223" t="s">
        <v>1492</v>
      </c>
      <c r="CG223" t="b">
        <v>0</v>
      </c>
      <c r="CH223">
        <v>0</v>
      </c>
      <c r="CI223" t="s">
        <v>1541</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x14ac:dyDescent="0.25">
      <c r="A224">
        <v>576</v>
      </c>
      <c r="B224">
        <v>697</v>
      </c>
      <c r="C224" t="s">
        <v>1248</v>
      </c>
      <c r="D224">
        <v>1</v>
      </c>
      <c r="E224" t="s">
        <v>46</v>
      </c>
      <c r="F224">
        <v>45</v>
      </c>
      <c r="G224">
        <v>3</v>
      </c>
      <c r="H224">
        <v>1</v>
      </c>
      <c r="I224" t="s">
        <v>2223</v>
      </c>
      <c r="J224" t="s">
        <v>1295</v>
      </c>
      <c r="K224" t="s">
        <v>15</v>
      </c>
      <c r="L224" t="s">
        <v>1606</v>
      </c>
      <c r="M224" t="s">
        <v>1661</v>
      </c>
      <c r="O224" s="14" t="s">
        <v>1283</v>
      </c>
      <c r="P224" s="14" t="s">
        <v>1381</v>
      </c>
      <c r="Q224" s="14" t="s">
        <v>1283</v>
      </c>
      <c r="R224" s="14" t="s">
        <v>1381</v>
      </c>
      <c r="S224" s="14" t="s">
        <v>1283</v>
      </c>
      <c r="T224" s="14" t="s">
        <v>1381</v>
      </c>
      <c r="U224" s="14" t="s">
        <v>1283</v>
      </c>
      <c r="V224" s="14" t="s">
        <v>1381</v>
      </c>
      <c r="W224" s="14" t="s">
        <v>1283</v>
      </c>
      <c r="X224" s="14" t="s">
        <v>1381</v>
      </c>
      <c r="Y224" s="14" t="s">
        <v>1255</v>
      </c>
      <c r="Z224" s="14" t="s">
        <v>1255</v>
      </c>
      <c r="AA224" s="14" t="s">
        <v>1255</v>
      </c>
      <c r="AB224" s="14" t="s">
        <v>1255</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1251</v>
      </c>
      <c r="CE224" t="s">
        <v>1496</v>
      </c>
      <c r="CF224" t="s">
        <v>2116</v>
      </c>
      <c r="CG224" t="b">
        <v>1</v>
      </c>
      <c r="CH224">
        <v>14</v>
      </c>
      <c r="CI224" t="s">
        <v>54</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x14ac:dyDescent="0.25">
      <c r="A225">
        <v>577</v>
      </c>
      <c r="B225">
        <v>697</v>
      </c>
      <c r="C225" t="s">
        <v>1248</v>
      </c>
      <c r="D225">
        <v>2</v>
      </c>
      <c r="E225" t="s">
        <v>2273</v>
      </c>
      <c r="F225">
        <v>24</v>
      </c>
      <c r="G225">
        <v>2</v>
      </c>
      <c r="H225">
        <v>2</v>
      </c>
      <c r="I225" t="s">
        <v>2274</v>
      </c>
      <c r="J225" t="s">
        <v>1295</v>
      </c>
      <c r="K225" t="s">
        <v>15</v>
      </c>
      <c r="L225" t="s">
        <v>1650</v>
      </c>
      <c r="M225" t="s">
        <v>2275</v>
      </c>
      <c r="N225" t="s">
        <v>1735</v>
      </c>
      <c r="O225" s="14" t="s">
        <v>1283</v>
      </c>
      <c r="P225" s="14" t="s">
        <v>1381</v>
      </c>
      <c r="Q225" s="14" t="s">
        <v>1283</v>
      </c>
      <c r="R225" s="14" t="s">
        <v>1381</v>
      </c>
      <c r="S225" s="14" t="s">
        <v>1283</v>
      </c>
      <c r="T225" s="14" t="s">
        <v>1381</v>
      </c>
      <c r="U225" s="14" t="s">
        <v>1283</v>
      </c>
      <c r="V225" s="14" t="s">
        <v>1381</v>
      </c>
      <c r="W225" s="14" t="s">
        <v>1283</v>
      </c>
      <c r="X225" s="14" t="s">
        <v>1381</v>
      </c>
      <c r="Y225" s="14" t="s">
        <v>1255</v>
      </c>
      <c r="Z225" s="14" t="s">
        <v>1255</v>
      </c>
      <c r="AA225" s="14" t="s">
        <v>1255</v>
      </c>
      <c r="AB225" s="14" t="s">
        <v>1255</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1270</v>
      </c>
      <c r="CE225" t="s">
        <v>1496</v>
      </c>
      <c r="CF225" t="s">
        <v>2116</v>
      </c>
      <c r="CG225" t="b">
        <v>1</v>
      </c>
      <c r="CH225">
        <v>14</v>
      </c>
      <c r="CI225" t="s">
        <v>2276</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5" x14ac:dyDescent="0.25"/>
  <cols>
    <col min="1" max="1" width="4.7109375" bestFit="1" customWidth="1"/>
    <col min="2" max="2" width="19.7109375" bestFit="1" customWidth="1"/>
    <col min="3" max="3" width="26.140625" bestFit="1" customWidth="1"/>
    <col min="4" max="4" width="9.140625" bestFit="1" customWidth="1"/>
    <col min="6" max="6" width="8.7109375" bestFit="1" customWidth="1"/>
    <col min="7" max="7" width="8.5703125" bestFit="1" customWidth="1"/>
    <col min="8" max="8" width="9.140625" bestFit="1" customWidth="1"/>
    <col min="10" max="10" width="8.7109375" bestFit="1" customWidth="1"/>
    <col min="11" max="11" width="8.5703125" bestFit="1" customWidth="1"/>
    <col min="12" max="12" width="7.5703125" bestFit="1" customWidth="1"/>
    <col min="13" max="13" width="7.42578125" bestFit="1" customWidth="1"/>
    <col min="14" max="14" width="8.140625" bestFit="1" customWidth="1"/>
    <col min="15" max="15" width="8" bestFit="1" customWidth="1"/>
    <col min="16" max="16" width="8.7109375" bestFit="1" customWidth="1"/>
    <col min="17" max="17" width="8.5703125" bestFit="1" customWidth="1"/>
  </cols>
  <sheetData>
    <row r="1" spans="1:17" x14ac:dyDescent="0.25">
      <c r="A1" t="s">
        <v>188</v>
      </c>
      <c r="B1" t="s">
        <v>2099</v>
      </c>
      <c r="C1" t="s">
        <v>2100</v>
      </c>
      <c r="D1" t="s">
        <v>2101</v>
      </c>
      <c r="E1" t="s">
        <v>2102</v>
      </c>
      <c r="F1" t="s">
        <v>2103</v>
      </c>
      <c r="G1" t="s">
        <v>2104</v>
      </c>
      <c r="H1" t="s">
        <v>2105</v>
      </c>
      <c r="I1" t="s">
        <v>2106</v>
      </c>
      <c r="J1" t="s">
        <v>2107</v>
      </c>
      <c r="K1" t="s">
        <v>2108</v>
      </c>
      <c r="L1" t="s">
        <v>2109</v>
      </c>
      <c r="M1" t="s">
        <v>2110</v>
      </c>
      <c r="N1" t="s">
        <v>2111</v>
      </c>
      <c r="O1" t="s">
        <v>2112</v>
      </c>
      <c r="P1" t="s">
        <v>2113</v>
      </c>
      <c r="Q1" t="s">
        <v>2114</v>
      </c>
    </row>
    <row r="2" spans="1:17" x14ac:dyDescent="0.25">
      <c r="A2">
        <v>1</v>
      </c>
      <c r="B2" t="s">
        <v>1492</v>
      </c>
      <c r="C2" t="s">
        <v>1492</v>
      </c>
      <c r="D2" t="s">
        <v>1255</v>
      </c>
      <c r="E2" t="s">
        <v>1255</v>
      </c>
      <c r="F2" t="s">
        <v>1255</v>
      </c>
      <c r="G2" t="s">
        <v>1255</v>
      </c>
      <c r="H2" t="s">
        <v>1255</v>
      </c>
      <c r="I2" t="s">
        <v>1255</v>
      </c>
      <c r="J2" t="s">
        <v>1255</v>
      </c>
      <c r="K2" t="s">
        <v>1255</v>
      </c>
      <c r="L2" t="s">
        <v>1255</v>
      </c>
      <c r="M2" t="s">
        <v>1255</v>
      </c>
      <c r="N2" t="s">
        <v>1255</v>
      </c>
      <c r="O2" t="s">
        <v>1255</v>
      </c>
      <c r="P2" t="s">
        <v>1255</v>
      </c>
      <c r="Q2" t="s">
        <v>1255</v>
      </c>
    </row>
    <row r="3" spans="1:17" x14ac:dyDescent="0.25">
      <c r="A3">
        <v>2</v>
      </c>
      <c r="B3" t="s">
        <v>2115</v>
      </c>
      <c r="C3" t="s">
        <v>2116</v>
      </c>
      <c r="D3" t="s">
        <v>1283</v>
      </c>
      <c r="E3" t="s">
        <v>1381</v>
      </c>
      <c r="F3" t="s">
        <v>1283</v>
      </c>
      <c r="G3" t="s">
        <v>1381</v>
      </c>
      <c r="H3" t="s">
        <v>1283</v>
      </c>
      <c r="I3" t="s">
        <v>1381</v>
      </c>
      <c r="J3" t="s">
        <v>1283</v>
      </c>
      <c r="K3" t="s">
        <v>1381</v>
      </c>
      <c r="L3" t="s">
        <v>1283</v>
      </c>
      <c r="M3" t="s">
        <v>1381</v>
      </c>
      <c r="N3" t="s">
        <v>1255</v>
      </c>
      <c r="O3" t="s">
        <v>1255</v>
      </c>
      <c r="P3" t="s">
        <v>1255</v>
      </c>
      <c r="Q3" t="s">
        <v>1255</v>
      </c>
    </row>
    <row r="4" spans="1:17" x14ac:dyDescent="0.25">
      <c r="A4">
        <v>3</v>
      </c>
      <c r="B4" t="s">
        <v>2117</v>
      </c>
      <c r="C4" t="s">
        <v>2118</v>
      </c>
      <c r="D4" t="s">
        <v>1283</v>
      </c>
      <c r="E4" t="s">
        <v>1381</v>
      </c>
      <c r="F4" t="s">
        <v>1283</v>
      </c>
      <c r="G4" t="s">
        <v>1381</v>
      </c>
      <c r="H4" t="s">
        <v>1283</v>
      </c>
      <c r="I4" t="s">
        <v>1381</v>
      </c>
      <c r="J4" t="s">
        <v>1283</v>
      </c>
      <c r="K4" t="s">
        <v>1381</v>
      </c>
      <c r="L4" t="s">
        <v>1283</v>
      </c>
      <c r="M4" t="s">
        <v>1342</v>
      </c>
      <c r="N4" t="s">
        <v>1255</v>
      </c>
      <c r="O4" t="s">
        <v>1255</v>
      </c>
      <c r="P4" t="s">
        <v>1255</v>
      </c>
      <c r="Q4" t="s">
        <v>1255</v>
      </c>
    </row>
    <row r="5" spans="1:17" x14ac:dyDescent="0.25">
      <c r="A5">
        <v>4</v>
      </c>
      <c r="B5" t="s">
        <v>2119</v>
      </c>
      <c r="C5" t="s">
        <v>2120</v>
      </c>
      <c r="D5" t="s">
        <v>1300</v>
      </c>
      <c r="E5" t="s">
        <v>1370</v>
      </c>
      <c r="F5" t="s">
        <v>1300</v>
      </c>
      <c r="G5" t="s">
        <v>1370</v>
      </c>
      <c r="H5" t="s">
        <v>1300</v>
      </c>
      <c r="I5" t="s">
        <v>1370</v>
      </c>
      <c r="J5" t="s">
        <v>1300</v>
      </c>
      <c r="K5" t="s">
        <v>1370</v>
      </c>
      <c r="L5" t="s">
        <v>1300</v>
      </c>
      <c r="M5" t="s">
        <v>1370</v>
      </c>
      <c r="N5" t="s">
        <v>1255</v>
      </c>
      <c r="O5" t="s">
        <v>1255</v>
      </c>
      <c r="P5" t="s">
        <v>1255</v>
      </c>
      <c r="Q5" t="s">
        <v>1255</v>
      </c>
    </row>
    <row r="6" spans="1:17" x14ac:dyDescent="0.25">
      <c r="A6">
        <v>5</v>
      </c>
      <c r="B6" t="s">
        <v>2121</v>
      </c>
      <c r="C6" t="s">
        <v>2122</v>
      </c>
      <c r="D6" t="s">
        <v>1283</v>
      </c>
      <c r="E6" t="s">
        <v>1381</v>
      </c>
      <c r="F6" t="s">
        <v>1283</v>
      </c>
      <c r="G6" t="s">
        <v>1381</v>
      </c>
      <c r="H6" t="s">
        <v>1283</v>
      </c>
      <c r="I6" t="s">
        <v>1381</v>
      </c>
      <c r="J6" t="s">
        <v>1283</v>
      </c>
      <c r="K6" t="s">
        <v>1381</v>
      </c>
      <c r="L6" t="s">
        <v>1283</v>
      </c>
      <c r="M6" t="s">
        <v>1370</v>
      </c>
      <c r="N6" t="s">
        <v>1255</v>
      </c>
      <c r="O6" t="s">
        <v>1255</v>
      </c>
      <c r="P6" t="s">
        <v>1255</v>
      </c>
      <c r="Q6" t="s">
        <v>1255</v>
      </c>
    </row>
    <row r="7" spans="1:17" x14ac:dyDescent="0.25">
      <c r="A7">
        <v>6</v>
      </c>
      <c r="B7" t="s">
        <v>2123</v>
      </c>
      <c r="C7" t="s">
        <v>2124</v>
      </c>
      <c r="D7" t="s">
        <v>1255</v>
      </c>
      <c r="E7" t="s">
        <v>1255</v>
      </c>
      <c r="F7" t="s">
        <v>1255</v>
      </c>
      <c r="G7" t="s">
        <v>1255</v>
      </c>
      <c r="H7" t="s">
        <v>1255</v>
      </c>
      <c r="I7" t="s">
        <v>1255</v>
      </c>
      <c r="J7" t="s">
        <v>1255</v>
      </c>
      <c r="K7" t="s">
        <v>1255</v>
      </c>
      <c r="L7" t="s">
        <v>1283</v>
      </c>
      <c r="M7" t="s">
        <v>1370</v>
      </c>
      <c r="N7" t="s">
        <v>1255</v>
      </c>
      <c r="O7" t="s">
        <v>1255</v>
      </c>
      <c r="P7" t="s">
        <v>1255</v>
      </c>
      <c r="Q7" t="s">
        <v>1255</v>
      </c>
    </row>
    <row r="8" spans="1:17" x14ac:dyDescent="0.25">
      <c r="A8">
        <v>7</v>
      </c>
      <c r="B8" t="s">
        <v>2125</v>
      </c>
      <c r="C8" t="s">
        <v>2126</v>
      </c>
      <c r="D8" t="s">
        <v>1255</v>
      </c>
      <c r="E8" t="s">
        <v>1255</v>
      </c>
      <c r="F8" t="s">
        <v>1255</v>
      </c>
      <c r="G8" t="s">
        <v>1255</v>
      </c>
      <c r="H8" t="s">
        <v>1255</v>
      </c>
      <c r="I8" t="s">
        <v>1255</v>
      </c>
      <c r="J8" t="s">
        <v>1255</v>
      </c>
      <c r="K8" t="s">
        <v>1255</v>
      </c>
      <c r="L8" t="s">
        <v>1291</v>
      </c>
      <c r="M8" t="s">
        <v>1366</v>
      </c>
      <c r="N8" t="s">
        <v>1255</v>
      </c>
      <c r="O8" t="s">
        <v>1255</v>
      </c>
      <c r="P8" t="s">
        <v>1255</v>
      </c>
      <c r="Q8" t="s">
        <v>1255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5" x14ac:dyDescent="0.25"/>
  <cols>
    <col min="1" max="1" width="4.7109375" bestFit="1" customWidth="1"/>
    <col min="2" max="2" width="24.140625" bestFit="1" customWidth="1"/>
    <col min="3" max="3" width="23" bestFit="1" customWidth="1"/>
    <col min="4" max="12" width="5.140625" bestFit="1" customWidth="1"/>
    <col min="13" max="55" width="6.140625" bestFit="1" customWidth="1"/>
    <col min="56" max="56" width="13.7109375" bestFit="1" customWidth="1"/>
    <col min="57" max="57" width="54.28515625" bestFit="1" customWidth="1"/>
  </cols>
  <sheetData>
    <row r="1" spans="1:57" x14ac:dyDescent="0.25">
      <c r="A1" t="s">
        <v>188</v>
      </c>
      <c r="B1" t="s">
        <v>2127</v>
      </c>
      <c r="C1" t="s">
        <v>2128</v>
      </c>
      <c r="D1" t="s">
        <v>2129</v>
      </c>
      <c r="E1" t="s">
        <v>2130</v>
      </c>
      <c r="F1" t="s">
        <v>2131</v>
      </c>
      <c r="G1" t="s">
        <v>2132</v>
      </c>
      <c r="H1" t="s">
        <v>2133</v>
      </c>
      <c r="I1" t="s">
        <v>2134</v>
      </c>
      <c r="J1" t="s">
        <v>2135</v>
      </c>
      <c r="K1" t="s">
        <v>2136</v>
      </c>
      <c r="L1" t="s">
        <v>2137</v>
      </c>
      <c r="M1" t="s">
        <v>2138</v>
      </c>
      <c r="N1" t="s">
        <v>2139</v>
      </c>
      <c r="O1" t="s">
        <v>2140</v>
      </c>
      <c r="P1" t="s">
        <v>2141</v>
      </c>
      <c r="Q1" t="s">
        <v>2142</v>
      </c>
      <c r="R1" t="s">
        <v>2143</v>
      </c>
      <c r="S1" t="s">
        <v>2144</v>
      </c>
      <c r="T1" t="s">
        <v>2145</v>
      </c>
      <c r="U1" t="s">
        <v>2146</v>
      </c>
      <c r="V1" t="s">
        <v>2147</v>
      </c>
      <c r="W1" t="s">
        <v>2148</v>
      </c>
      <c r="X1" t="s">
        <v>2149</v>
      </c>
      <c r="Y1" t="s">
        <v>2150</v>
      </c>
      <c r="Z1" t="s">
        <v>2151</v>
      </c>
      <c r="AA1" t="s">
        <v>2152</v>
      </c>
      <c r="AB1" t="s">
        <v>2153</v>
      </c>
      <c r="AC1" t="s">
        <v>2154</v>
      </c>
      <c r="AD1" t="s">
        <v>2155</v>
      </c>
      <c r="AE1" t="s">
        <v>2156</v>
      </c>
      <c r="AF1" t="s">
        <v>2157</v>
      </c>
      <c r="AG1" t="s">
        <v>2158</v>
      </c>
      <c r="AH1" t="s">
        <v>2159</v>
      </c>
      <c r="AI1" t="s">
        <v>2160</v>
      </c>
      <c r="AJ1" t="s">
        <v>2161</v>
      </c>
      <c r="AK1" t="s">
        <v>2162</v>
      </c>
      <c r="AL1" t="s">
        <v>2163</v>
      </c>
      <c r="AM1" t="s">
        <v>2164</v>
      </c>
      <c r="AN1" t="s">
        <v>2165</v>
      </c>
      <c r="AO1" t="s">
        <v>2166</v>
      </c>
      <c r="AP1" t="s">
        <v>2167</v>
      </c>
      <c r="AQ1" t="s">
        <v>2168</v>
      </c>
      <c r="AR1" t="s">
        <v>2169</v>
      </c>
      <c r="AS1" t="s">
        <v>2170</v>
      </c>
      <c r="AT1" t="s">
        <v>2171</v>
      </c>
      <c r="AU1" t="s">
        <v>2172</v>
      </c>
      <c r="AV1" t="s">
        <v>2173</v>
      </c>
      <c r="AW1" t="s">
        <v>2174</v>
      </c>
      <c r="AX1" t="s">
        <v>2175</v>
      </c>
      <c r="AY1" t="s">
        <v>2176</v>
      </c>
      <c r="AZ1" t="s">
        <v>2177</v>
      </c>
      <c r="BA1" t="s">
        <v>2178</v>
      </c>
      <c r="BB1" t="s">
        <v>2179</v>
      </c>
      <c r="BC1" t="s">
        <v>2180</v>
      </c>
      <c r="BD1" t="s">
        <v>2181</v>
      </c>
      <c r="BE1" t="s">
        <v>2219</v>
      </c>
    </row>
    <row r="2" spans="1:57" x14ac:dyDescent="0.25">
      <c r="A2">
        <v>21</v>
      </c>
      <c r="B2" t="s">
        <v>1492</v>
      </c>
    </row>
    <row r="3" spans="1:57" x14ac:dyDescent="0.25">
      <c r="A3">
        <v>22</v>
      </c>
      <c r="B3" t="s">
        <v>2182</v>
      </c>
      <c r="C3" t="s">
        <v>2183</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x14ac:dyDescent="0.25">
      <c r="A4">
        <v>23</v>
      </c>
      <c r="B4" t="s">
        <v>2184</v>
      </c>
      <c r="C4" t="s">
        <v>2185</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x14ac:dyDescent="0.25">
      <c r="A5">
        <v>24</v>
      </c>
      <c r="B5" t="s">
        <v>2186</v>
      </c>
      <c r="C5" t="s">
        <v>2187</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x14ac:dyDescent="0.25">
      <c r="A6">
        <v>25</v>
      </c>
      <c r="B6" t="s">
        <v>2188</v>
      </c>
      <c r="C6" t="s">
        <v>2189</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x14ac:dyDescent="0.25">
      <c r="A7">
        <v>26</v>
      </c>
      <c r="B7" t="s">
        <v>2190</v>
      </c>
      <c r="C7" t="s">
        <v>2191</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x14ac:dyDescent="0.25">
      <c r="A8">
        <v>27</v>
      </c>
      <c r="B8" t="s">
        <v>2192</v>
      </c>
      <c r="C8" t="s">
        <v>2193</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x14ac:dyDescent="0.25">
      <c r="A9">
        <v>28</v>
      </c>
      <c r="B9" t="s">
        <v>2194</v>
      </c>
      <c r="C9" t="s">
        <v>2195</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x14ac:dyDescent="0.25">
      <c r="A10">
        <v>29</v>
      </c>
      <c r="B10" t="s">
        <v>2196</v>
      </c>
      <c r="C10" t="s">
        <v>2197</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x14ac:dyDescent="0.25">
      <c r="A11">
        <v>30</v>
      </c>
      <c r="B11" t="s">
        <v>2198</v>
      </c>
      <c r="C11" t="s">
        <v>2199</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x14ac:dyDescent="0.25">
      <c r="A12">
        <v>31</v>
      </c>
      <c r="B12" t="s">
        <v>2200</v>
      </c>
      <c r="C12" t="s">
        <v>2201</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x14ac:dyDescent="0.25">
      <c r="A13">
        <v>32</v>
      </c>
      <c r="B13" t="s">
        <v>2202</v>
      </c>
      <c r="C13" t="s">
        <v>2203</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x14ac:dyDescent="0.25">
      <c r="A14">
        <v>33</v>
      </c>
      <c r="B14" t="s">
        <v>2204</v>
      </c>
      <c r="C14" t="s">
        <v>2205</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x14ac:dyDescent="0.25">
      <c r="A15">
        <v>34</v>
      </c>
      <c r="B15" t="s">
        <v>2206</v>
      </c>
      <c r="C15" t="s">
        <v>2207</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x14ac:dyDescent="0.25">
      <c r="A16">
        <v>35</v>
      </c>
      <c r="B16" t="s">
        <v>2208</v>
      </c>
      <c r="C16" t="s">
        <v>2209</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x14ac:dyDescent="0.25">
      <c r="A17">
        <v>36</v>
      </c>
      <c r="B17" t="s">
        <v>2210</v>
      </c>
      <c r="C17" t="s">
        <v>2211</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x14ac:dyDescent="0.25">
      <c r="A18">
        <v>37</v>
      </c>
      <c r="B18" t="s">
        <v>2212</v>
      </c>
      <c r="C18" t="s">
        <v>2213</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x14ac:dyDescent="0.25">
      <c r="A19">
        <v>42</v>
      </c>
      <c r="B19" t="s">
        <v>2214</v>
      </c>
      <c r="C19" t="s">
        <v>2215</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x14ac:dyDescent="0.25">
      <c r="A20">
        <v>43</v>
      </c>
      <c r="B20" t="s">
        <v>2216</v>
      </c>
      <c r="C20" t="s">
        <v>2217</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x14ac:dyDescent="0.25">
      <c r="A21">
        <v>44</v>
      </c>
      <c r="B21" t="s">
        <v>2218</v>
      </c>
      <c r="C21" t="s">
        <v>2215</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T35"/>
  <sheetViews>
    <sheetView topLeftCell="G1" workbookViewId="0">
      <selection activeCell="AO1" sqref="AO1:AP3"/>
    </sheetView>
  </sheetViews>
  <sheetFormatPr defaultColWidth="8.85546875" defaultRowHeight="15" x14ac:dyDescent="0.25"/>
  <cols>
    <col min="1" max="1" width="4.42578125" customWidth="1"/>
    <col min="2" max="2" width="19.85546875" bestFit="1" customWidth="1"/>
    <col min="3" max="3" width="7" customWidth="1"/>
    <col min="4" max="5" width="2.85546875" customWidth="1"/>
    <col min="6" max="6" width="4.42578125" customWidth="1"/>
    <col min="7" max="7" width="16.42578125" bestFit="1" customWidth="1"/>
    <col min="8" max="8" width="14.42578125" customWidth="1"/>
    <col min="9" max="10" width="2.85546875" customWidth="1"/>
    <col min="11" max="11" width="10.42578125" customWidth="1"/>
    <col min="12" max="12" width="30" bestFit="1" customWidth="1"/>
    <col min="13" max="14" width="2.85546875" customWidth="1"/>
    <col min="15" max="15" width="4.42578125" customWidth="1"/>
    <col min="16" max="16" width="17.5703125" bestFit="1" customWidth="1"/>
    <col min="17" max="17" width="18.85546875" bestFit="1" customWidth="1"/>
    <col min="18" max="19" width="2.85546875" customWidth="1"/>
    <col min="20" max="20" width="4.42578125" customWidth="1"/>
    <col min="21" max="21" width="8.140625" customWidth="1"/>
    <col min="22" max="23" width="2.85546875" customWidth="1"/>
    <col min="24" max="24" width="11.42578125" bestFit="1" customWidth="1"/>
    <col min="25" max="25" width="14.42578125" bestFit="1" customWidth="1"/>
    <col min="26" max="26" width="37.42578125" bestFit="1" customWidth="1"/>
    <col min="27" max="28" width="2.85546875" customWidth="1"/>
    <col min="29" max="29" width="4.42578125" customWidth="1"/>
    <col min="30" max="30" width="7.140625" customWidth="1"/>
    <col min="31" max="31" width="12.42578125" customWidth="1"/>
    <col min="32" max="33" width="2.85546875" customWidth="1"/>
    <col min="34" max="34" width="10.42578125" customWidth="1"/>
    <col min="35" max="36" width="2.85546875" customWidth="1"/>
    <col min="37" max="37" width="10.42578125" customWidth="1"/>
    <col min="38" max="38" width="9.42578125" customWidth="1"/>
    <col min="39" max="40" width="2.85546875" customWidth="1"/>
    <col min="41" max="41" width="23" bestFit="1" customWidth="1"/>
    <col min="42" max="42" width="7.7109375" bestFit="1" customWidth="1"/>
    <col min="43" max="44" width="2.85546875" customWidth="1"/>
    <col min="45" max="45" width="12.42578125" bestFit="1" customWidth="1"/>
    <col min="46" max="46" width="127.5703125" bestFit="1" customWidth="1"/>
  </cols>
  <sheetData>
    <row r="1" spans="1:46" x14ac:dyDescent="0.25">
      <c r="A1" s="8" t="s">
        <v>188</v>
      </c>
      <c r="B1" s="8" t="s">
        <v>1231</v>
      </c>
      <c r="C1" s="8" t="s">
        <v>1232</v>
      </c>
      <c r="F1" t="s">
        <v>188</v>
      </c>
      <c r="G1" t="s">
        <v>1233</v>
      </c>
      <c r="H1" t="s">
        <v>1234</v>
      </c>
      <c r="I1" s="3"/>
      <c r="J1" s="4"/>
      <c r="K1" s="5" t="s">
        <v>1235</v>
      </c>
      <c r="L1" s="6" t="s">
        <v>1236</v>
      </c>
      <c r="O1" t="s">
        <v>188</v>
      </c>
      <c r="P1" t="s">
        <v>1237</v>
      </c>
      <c r="Q1" t="s">
        <v>1238</v>
      </c>
      <c r="T1" t="s">
        <v>188</v>
      </c>
      <c r="U1" t="s">
        <v>5</v>
      </c>
      <c r="X1" t="s">
        <v>1</v>
      </c>
      <c r="Y1" t="s">
        <v>1239</v>
      </c>
      <c r="Z1" t="s">
        <v>1240</v>
      </c>
      <c r="AC1" t="s">
        <v>188</v>
      </c>
      <c r="AD1" t="s">
        <v>1241</v>
      </c>
      <c r="AE1" t="s">
        <v>1242</v>
      </c>
      <c r="AH1" t="s">
        <v>1243</v>
      </c>
      <c r="AK1" t="s">
        <v>1244</v>
      </c>
      <c r="AL1" t="s">
        <v>1245</v>
      </c>
      <c r="AO1" t="s">
        <v>1246</v>
      </c>
      <c r="AP1" t="s">
        <v>1599</v>
      </c>
      <c r="AS1" t="s">
        <v>1237</v>
      </c>
      <c r="AT1" t="s">
        <v>1247</v>
      </c>
    </row>
    <row r="2" spans="1:46" x14ac:dyDescent="0.25">
      <c r="A2" s="9">
        <v>1</v>
      </c>
      <c r="B2" s="10" t="s">
        <v>1248</v>
      </c>
      <c r="C2" s="10" t="s">
        <v>1249</v>
      </c>
      <c r="F2">
        <v>0</v>
      </c>
      <c r="G2" t="s">
        <v>1250</v>
      </c>
      <c r="H2" t="s">
        <v>1250</v>
      </c>
      <c r="I2" s="1"/>
      <c r="J2" s="2"/>
      <c r="K2" s="7">
        <v>1</v>
      </c>
      <c r="L2" s="6" t="s">
        <v>1251</v>
      </c>
      <c r="O2">
        <v>1</v>
      </c>
      <c r="P2" t="s">
        <v>1252</v>
      </c>
      <c r="Q2" t="s">
        <v>1253</v>
      </c>
      <c r="T2">
        <v>1</v>
      </c>
      <c r="U2" t="s">
        <v>31</v>
      </c>
      <c r="X2">
        <v>2</v>
      </c>
      <c r="Y2" t="s">
        <v>40</v>
      </c>
      <c r="Z2" t="s">
        <v>1254</v>
      </c>
      <c r="AC2">
        <v>1</v>
      </c>
      <c r="AD2" t="s">
        <v>1255</v>
      </c>
      <c r="AE2">
        <v>1380</v>
      </c>
      <c r="AH2" t="s">
        <v>184</v>
      </c>
      <c r="AK2">
        <v>0</v>
      </c>
      <c r="AL2">
        <v>0</v>
      </c>
      <c r="AO2" t="s">
        <v>1256</v>
      </c>
      <c r="AP2" t="b">
        <v>1</v>
      </c>
      <c r="AS2" t="s">
        <v>1252</v>
      </c>
      <c r="AT2" t="s">
        <v>1257</v>
      </c>
    </row>
    <row r="3" spans="1:46" x14ac:dyDescent="0.25">
      <c r="A3" s="9">
        <v>2</v>
      </c>
      <c r="B3" s="10" t="s">
        <v>1258</v>
      </c>
      <c r="C3" s="10" t="s">
        <v>1259</v>
      </c>
      <c r="F3">
        <v>1</v>
      </c>
      <c r="G3" t="s">
        <v>15</v>
      </c>
      <c r="H3" t="s">
        <v>82</v>
      </c>
      <c r="I3" s="1"/>
      <c r="J3" s="2"/>
      <c r="K3" s="7">
        <v>2</v>
      </c>
      <c r="L3" s="6" t="s">
        <v>1260</v>
      </c>
      <c r="O3">
        <v>4</v>
      </c>
      <c r="P3" t="s">
        <v>1248</v>
      </c>
      <c r="Q3" t="s">
        <v>1261</v>
      </c>
      <c r="T3">
        <v>2</v>
      </c>
      <c r="U3" t="s">
        <v>1262</v>
      </c>
      <c r="X3">
        <v>3</v>
      </c>
      <c r="Y3" t="s">
        <v>11</v>
      </c>
      <c r="Z3" t="s">
        <v>1263</v>
      </c>
      <c r="AC3">
        <v>2</v>
      </c>
      <c r="AD3" t="s">
        <v>1264</v>
      </c>
      <c r="AE3">
        <v>420</v>
      </c>
      <c r="AH3" t="s">
        <v>71</v>
      </c>
      <c r="AK3">
        <v>0.5</v>
      </c>
      <c r="AL3">
        <v>1</v>
      </c>
      <c r="AO3" t="s">
        <v>1265</v>
      </c>
      <c r="AP3" t="b">
        <v>0</v>
      </c>
      <c r="AS3" t="s">
        <v>1313</v>
      </c>
      <c r="AT3" t="s">
        <v>1266</v>
      </c>
    </row>
    <row r="4" spans="1:46" x14ac:dyDescent="0.25">
      <c r="A4" s="9">
        <v>3</v>
      </c>
      <c r="B4" s="10" t="s">
        <v>1267</v>
      </c>
      <c r="C4" s="10" t="s">
        <v>1267</v>
      </c>
      <c r="F4">
        <v>2</v>
      </c>
      <c r="G4" t="s">
        <v>1268</v>
      </c>
      <c r="H4" t="s">
        <v>1269</v>
      </c>
      <c r="I4" s="1"/>
      <c r="K4" s="6">
        <v>3</v>
      </c>
      <c r="L4" s="6" t="s">
        <v>1270</v>
      </c>
      <c r="O4">
        <v>5</v>
      </c>
      <c r="P4" t="s">
        <v>1271</v>
      </c>
      <c r="Q4" t="s">
        <v>1272</v>
      </c>
      <c r="T4">
        <v>3</v>
      </c>
      <c r="U4" t="s">
        <v>1273</v>
      </c>
      <c r="X4">
        <v>4</v>
      </c>
      <c r="Y4" t="s">
        <v>28</v>
      </c>
      <c r="Z4" t="s">
        <v>1274</v>
      </c>
      <c r="AC4">
        <v>3</v>
      </c>
      <c r="AD4" t="s">
        <v>1275</v>
      </c>
      <c r="AE4">
        <v>450</v>
      </c>
      <c r="AK4">
        <v>1</v>
      </c>
      <c r="AL4">
        <v>2</v>
      </c>
      <c r="AS4" t="s">
        <v>1271</v>
      </c>
      <c r="AT4" t="s">
        <v>1276</v>
      </c>
    </row>
    <row r="5" spans="1:46" x14ac:dyDescent="0.25">
      <c r="A5" s="9">
        <v>4</v>
      </c>
      <c r="B5" s="10" t="s">
        <v>1271</v>
      </c>
      <c r="C5" s="10" t="s">
        <v>1277</v>
      </c>
      <c r="F5">
        <v>4</v>
      </c>
      <c r="G5" t="s">
        <v>48</v>
      </c>
      <c r="H5" t="s">
        <v>1278</v>
      </c>
      <c r="I5" s="1"/>
      <c r="O5">
        <v>6</v>
      </c>
      <c r="P5" t="s">
        <v>1279</v>
      </c>
      <c r="Q5" t="s">
        <v>1280</v>
      </c>
      <c r="T5">
        <v>4</v>
      </c>
      <c r="U5" t="s">
        <v>1281</v>
      </c>
      <c r="X5">
        <v>5</v>
      </c>
      <c r="Y5" t="s">
        <v>32</v>
      </c>
      <c r="Z5" t="s">
        <v>1282</v>
      </c>
      <c r="AC5">
        <v>4</v>
      </c>
      <c r="AD5" t="s">
        <v>1283</v>
      </c>
      <c r="AE5">
        <v>480</v>
      </c>
      <c r="AK5">
        <v>1.5</v>
      </c>
      <c r="AL5">
        <v>3</v>
      </c>
      <c r="AS5" t="s">
        <v>1287</v>
      </c>
      <c r="AT5" t="s">
        <v>1284</v>
      </c>
    </row>
    <row r="6" spans="1:46" x14ac:dyDescent="0.25">
      <c r="A6" s="9">
        <v>5</v>
      </c>
      <c r="B6" s="10" t="s">
        <v>1279</v>
      </c>
      <c r="C6" s="10" t="s">
        <v>1285</v>
      </c>
      <c r="F6">
        <v>5</v>
      </c>
      <c r="G6" t="s">
        <v>21</v>
      </c>
      <c r="H6" t="s">
        <v>1286</v>
      </c>
      <c r="I6" s="1"/>
      <c r="O6">
        <v>7</v>
      </c>
      <c r="P6" t="s">
        <v>1287</v>
      </c>
      <c r="Q6" t="s">
        <v>1288</v>
      </c>
      <c r="T6">
        <v>5</v>
      </c>
      <c r="U6" t="s">
        <v>1289</v>
      </c>
      <c r="X6">
        <v>6</v>
      </c>
      <c r="Y6" t="s">
        <v>466</v>
      </c>
      <c r="Z6" t="s">
        <v>1290</v>
      </c>
      <c r="AC6">
        <v>5</v>
      </c>
      <c r="AD6" t="s">
        <v>1291</v>
      </c>
      <c r="AE6">
        <v>510</v>
      </c>
      <c r="AK6">
        <v>2</v>
      </c>
      <c r="AL6">
        <v>4</v>
      </c>
      <c r="AS6" t="s">
        <v>1248</v>
      </c>
      <c r="AT6" t="s">
        <v>1292</v>
      </c>
    </row>
    <row r="7" spans="1:46" x14ac:dyDescent="0.25">
      <c r="A7" s="9">
        <v>6</v>
      </c>
      <c r="B7" s="10" t="s">
        <v>1293</v>
      </c>
      <c r="C7" s="10" t="s">
        <v>1294</v>
      </c>
      <c r="F7">
        <v>6</v>
      </c>
      <c r="G7" t="s">
        <v>16</v>
      </c>
      <c r="H7" t="s">
        <v>92</v>
      </c>
      <c r="I7" s="1"/>
      <c r="O7">
        <v>8</v>
      </c>
      <c r="P7" t="s">
        <v>1295</v>
      </c>
      <c r="Q7" t="s">
        <v>1296</v>
      </c>
      <c r="T7">
        <v>6</v>
      </c>
      <c r="U7" t="s">
        <v>1297</v>
      </c>
      <c r="X7">
        <v>7</v>
      </c>
      <c r="Y7" t="s">
        <v>1298</v>
      </c>
      <c r="Z7" t="s">
        <v>1299</v>
      </c>
      <c r="AC7">
        <v>6</v>
      </c>
      <c r="AD7" t="s">
        <v>1300</v>
      </c>
      <c r="AE7">
        <v>540</v>
      </c>
      <c r="AK7">
        <v>2.5</v>
      </c>
      <c r="AL7">
        <v>5</v>
      </c>
      <c r="AS7" t="s">
        <v>1295</v>
      </c>
      <c r="AT7" t="s">
        <v>1301</v>
      </c>
    </row>
    <row r="8" spans="1:46" x14ac:dyDescent="0.25">
      <c r="A8" s="9">
        <v>7</v>
      </c>
      <c r="B8" s="10" t="s">
        <v>1302</v>
      </c>
      <c r="C8" s="10" t="s">
        <v>1302</v>
      </c>
      <c r="F8">
        <v>7</v>
      </c>
      <c r="G8" t="s">
        <v>19</v>
      </c>
      <c r="H8" t="s">
        <v>1303</v>
      </c>
      <c r="I8" s="1"/>
      <c r="O8">
        <v>9</v>
      </c>
      <c r="P8" t="s">
        <v>1304</v>
      </c>
      <c r="Q8" t="s">
        <v>1305</v>
      </c>
      <c r="T8">
        <v>7</v>
      </c>
      <c r="U8" t="s">
        <v>1306</v>
      </c>
      <c r="X8">
        <v>8</v>
      </c>
      <c r="Y8" t="s">
        <v>1307</v>
      </c>
      <c r="Z8" t="s">
        <v>1308</v>
      </c>
      <c r="AC8">
        <v>7</v>
      </c>
      <c r="AD8" t="s">
        <v>1309</v>
      </c>
      <c r="AE8">
        <v>570</v>
      </c>
      <c r="AK8">
        <v>3</v>
      </c>
      <c r="AL8">
        <v>6</v>
      </c>
    </row>
    <row r="9" spans="1:46" x14ac:dyDescent="0.25">
      <c r="A9" s="9">
        <v>8</v>
      </c>
      <c r="B9" s="10" t="s">
        <v>1310</v>
      </c>
      <c r="C9" s="10" t="s">
        <v>1311</v>
      </c>
      <c r="F9">
        <v>8</v>
      </c>
      <c r="G9" t="s">
        <v>39</v>
      </c>
      <c r="H9" t="s">
        <v>1312</v>
      </c>
      <c r="I9" s="1"/>
      <c r="O9">
        <v>10</v>
      </c>
      <c r="P9" t="s">
        <v>1313</v>
      </c>
      <c r="Q9" t="s">
        <v>1314</v>
      </c>
      <c r="T9">
        <v>8</v>
      </c>
      <c r="U9" t="s">
        <v>43</v>
      </c>
      <c r="X9">
        <v>9</v>
      </c>
      <c r="Y9" t="s">
        <v>1315</v>
      </c>
      <c r="Z9" t="s">
        <v>1316</v>
      </c>
      <c r="AC9">
        <v>8</v>
      </c>
      <c r="AD9" t="s">
        <v>1317</v>
      </c>
      <c r="AE9">
        <v>600</v>
      </c>
      <c r="AK9">
        <v>3.5</v>
      </c>
      <c r="AL9">
        <v>7</v>
      </c>
    </row>
    <row r="10" spans="1:46" x14ac:dyDescent="0.25">
      <c r="A10" s="11">
        <v>9</v>
      </c>
      <c r="B10" s="12" t="s">
        <v>1318</v>
      </c>
      <c r="C10" s="12" t="s">
        <v>1319</v>
      </c>
      <c r="F10">
        <v>9</v>
      </c>
      <c r="G10" t="s">
        <v>1320</v>
      </c>
      <c r="H10" t="s">
        <v>1321</v>
      </c>
      <c r="I10" s="1"/>
      <c r="O10">
        <v>11</v>
      </c>
      <c r="P10" t="s">
        <v>1322</v>
      </c>
      <c r="Q10" t="s">
        <v>1322</v>
      </c>
      <c r="T10">
        <v>9</v>
      </c>
      <c r="U10" t="s">
        <v>14</v>
      </c>
      <c r="X10">
        <v>10</v>
      </c>
      <c r="Y10" t="s">
        <v>1323</v>
      </c>
      <c r="Z10" t="s">
        <v>1324</v>
      </c>
      <c r="AC10">
        <v>9</v>
      </c>
      <c r="AD10" t="s">
        <v>1325</v>
      </c>
      <c r="AE10">
        <v>630</v>
      </c>
      <c r="AK10">
        <v>4</v>
      </c>
      <c r="AL10">
        <v>8</v>
      </c>
    </row>
    <row r="11" spans="1:46" x14ac:dyDescent="0.25">
      <c r="A11" s="11">
        <v>10</v>
      </c>
      <c r="B11" s="12" t="s">
        <v>1326</v>
      </c>
      <c r="C11" s="12" t="s">
        <v>1327</v>
      </c>
      <c r="F11">
        <v>10</v>
      </c>
      <c r="G11" t="s">
        <v>1328</v>
      </c>
      <c r="H11" t="s">
        <v>1329</v>
      </c>
      <c r="I11" s="1"/>
      <c r="T11">
        <v>10</v>
      </c>
      <c r="U11" t="s">
        <v>1330</v>
      </c>
      <c r="X11">
        <v>11</v>
      </c>
      <c r="Y11" t="s">
        <v>36</v>
      </c>
      <c r="Z11" t="s">
        <v>1331</v>
      </c>
      <c r="AC11">
        <v>10</v>
      </c>
      <c r="AD11" t="s">
        <v>1332</v>
      </c>
      <c r="AE11">
        <v>660</v>
      </c>
      <c r="AK11">
        <v>4.5</v>
      </c>
      <c r="AL11">
        <v>9</v>
      </c>
    </row>
    <row r="12" spans="1:46" x14ac:dyDescent="0.25">
      <c r="A12" s="11">
        <v>11</v>
      </c>
      <c r="B12" s="12" t="s">
        <v>1333</v>
      </c>
      <c r="C12" s="12" t="s">
        <v>1333</v>
      </c>
      <c r="F12">
        <v>11</v>
      </c>
      <c r="G12" t="s">
        <v>1334</v>
      </c>
      <c r="H12" t="s">
        <v>1334</v>
      </c>
      <c r="I12" s="1"/>
      <c r="T12">
        <v>11</v>
      </c>
      <c r="U12" t="s">
        <v>87</v>
      </c>
      <c r="X12">
        <v>12</v>
      </c>
      <c r="Y12" t="s">
        <v>1335</v>
      </c>
      <c r="Z12" t="s">
        <v>1336</v>
      </c>
      <c r="AC12">
        <v>11</v>
      </c>
      <c r="AD12" t="s">
        <v>1337</v>
      </c>
      <c r="AE12">
        <v>690</v>
      </c>
      <c r="AK12">
        <v>5</v>
      </c>
      <c r="AL12">
        <v>10</v>
      </c>
    </row>
    <row r="13" spans="1:46" x14ac:dyDescent="0.25">
      <c r="A13" s="11">
        <v>12</v>
      </c>
      <c r="B13" s="12" t="s">
        <v>1320</v>
      </c>
      <c r="C13" s="12" t="s">
        <v>1321</v>
      </c>
      <c r="F13">
        <v>12</v>
      </c>
      <c r="G13" t="s">
        <v>1338</v>
      </c>
      <c r="H13" t="s">
        <v>1339</v>
      </c>
      <c r="I13" s="1"/>
      <c r="T13">
        <v>12</v>
      </c>
      <c r="U13" t="s">
        <v>1340</v>
      </c>
      <c r="X13">
        <v>13</v>
      </c>
      <c r="Y13" t="s">
        <v>92</v>
      </c>
      <c r="Z13" t="s">
        <v>1341</v>
      </c>
      <c r="AC13">
        <v>12</v>
      </c>
      <c r="AD13" t="s">
        <v>1342</v>
      </c>
      <c r="AE13">
        <v>720</v>
      </c>
      <c r="AK13">
        <v>5.5</v>
      </c>
      <c r="AL13">
        <v>11</v>
      </c>
    </row>
    <row r="14" spans="1:46" x14ac:dyDescent="0.25">
      <c r="A14" s="11">
        <v>13</v>
      </c>
      <c r="B14" s="12" t="s">
        <v>1343</v>
      </c>
      <c r="C14" s="12" t="s">
        <v>1343</v>
      </c>
      <c r="F14">
        <v>13</v>
      </c>
      <c r="G14" t="s">
        <v>1344</v>
      </c>
      <c r="H14" t="s">
        <v>1345</v>
      </c>
      <c r="I14" s="1"/>
      <c r="T14">
        <v>13</v>
      </c>
      <c r="U14" t="s">
        <v>1346</v>
      </c>
      <c r="X14">
        <v>14</v>
      </c>
      <c r="Y14" t="s">
        <v>1347</v>
      </c>
      <c r="Z14" t="s">
        <v>1348</v>
      </c>
      <c r="AC14">
        <v>13</v>
      </c>
      <c r="AD14" t="s">
        <v>1349</v>
      </c>
      <c r="AE14">
        <v>750</v>
      </c>
      <c r="AK14">
        <v>6</v>
      </c>
      <c r="AL14">
        <v>12</v>
      </c>
    </row>
    <row r="15" spans="1:46" x14ac:dyDescent="0.25">
      <c r="A15" s="9"/>
      <c r="B15" s="10"/>
      <c r="C15" s="10"/>
      <c r="F15">
        <v>14</v>
      </c>
      <c r="G15" t="s">
        <v>1350</v>
      </c>
      <c r="H15" t="s">
        <v>1350</v>
      </c>
      <c r="I15" s="1"/>
      <c r="T15">
        <v>14</v>
      </c>
      <c r="U15" t="s">
        <v>20</v>
      </c>
      <c r="X15">
        <v>15</v>
      </c>
      <c r="Y15" t="s">
        <v>1351</v>
      </c>
      <c r="Z15" t="s">
        <v>1352</v>
      </c>
      <c r="AC15">
        <v>14</v>
      </c>
      <c r="AD15" t="s">
        <v>1353</v>
      </c>
      <c r="AE15">
        <v>780</v>
      </c>
      <c r="AK15">
        <v>6.5</v>
      </c>
      <c r="AL15">
        <v>13</v>
      </c>
    </row>
    <row r="16" spans="1:46" x14ac:dyDescent="0.25">
      <c r="F16">
        <v>15</v>
      </c>
      <c r="G16" t="s">
        <v>1354</v>
      </c>
      <c r="H16" t="s">
        <v>1355</v>
      </c>
      <c r="I16" s="1"/>
      <c r="T16">
        <v>15</v>
      </c>
      <c r="U16" t="s">
        <v>1356</v>
      </c>
      <c r="X16">
        <v>16</v>
      </c>
      <c r="Y16" t="s">
        <v>1357</v>
      </c>
      <c r="Z16" t="s">
        <v>1358</v>
      </c>
      <c r="AC16">
        <v>15</v>
      </c>
      <c r="AD16" t="s">
        <v>1359</v>
      </c>
      <c r="AE16">
        <v>810</v>
      </c>
      <c r="AK16">
        <v>7</v>
      </c>
      <c r="AL16">
        <v>14</v>
      </c>
    </row>
    <row r="17" spans="9:38" x14ac:dyDescent="0.25">
      <c r="I17" s="1"/>
      <c r="T17">
        <v>16</v>
      </c>
      <c r="U17" t="s">
        <v>1360</v>
      </c>
      <c r="X17">
        <v>17</v>
      </c>
      <c r="Y17" t="s">
        <v>1361</v>
      </c>
      <c r="Z17" t="s">
        <v>1362</v>
      </c>
      <c r="AC17">
        <v>16</v>
      </c>
      <c r="AD17" t="s">
        <v>1363</v>
      </c>
      <c r="AE17">
        <v>840</v>
      </c>
      <c r="AK17">
        <v>7.5</v>
      </c>
      <c r="AL17">
        <v>15</v>
      </c>
    </row>
    <row r="18" spans="9:38" x14ac:dyDescent="0.25">
      <c r="I18" s="1"/>
      <c r="T18">
        <v>17</v>
      </c>
      <c r="U18" t="s">
        <v>35</v>
      </c>
      <c r="X18">
        <v>18</v>
      </c>
      <c r="Y18" t="s">
        <v>1364</v>
      </c>
      <c r="Z18" t="s">
        <v>1365</v>
      </c>
      <c r="AC18">
        <v>17</v>
      </c>
      <c r="AD18" t="s">
        <v>1366</v>
      </c>
      <c r="AE18">
        <v>870</v>
      </c>
      <c r="AK18">
        <v>8</v>
      </c>
      <c r="AL18">
        <v>16</v>
      </c>
    </row>
    <row r="19" spans="9:38" x14ac:dyDescent="0.25">
      <c r="I19" s="1"/>
      <c r="T19">
        <v>18</v>
      </c>
      <c r="U19" t="s">
        <v>1367</v>
      </c>
      <c r="X19">
        <v>19</v>
      </c>
      <c r="Y19" t="s">
        <v>1368</v>
      </c>
      <c r="Z19" t="s">
        <v>1369</v>
      </c>
      <c r="AC19">
        <v>18</v>
      </c>
      <c r="AD19" t="s">
        <v>1370</v>
      </c>
      <c r="AE19">
        <v>900</v>
      </c>
      <c r="AK19">
        <v>8.5</v>
      </c>
      <c r="AL19">
        <v>17</v>
      </c>
    </row>
    <row r="20" spans="9:38" x14ac:dyDescent="0.25">
      <c r="T20">
        <v>19</v>
      </c>
      <c r="U20" t="s">
        <v>1371</v>
      </c>
      <c r="X20">
        <v>20</v>
      </c>
      <c r="Y20" t="s">
        <v>30</v>
      </c>
      <c r="Z20" t="s">
        <v>1372</v>
      </c>
      <c r="AC20">
        <v>19</v>
      </c>
      <c r="AD20" t="s">
        <v>1373</v>
      </c>
      <c r="AE20">
        <v>930</v>
      </c>
      <c r="AK20">
        <v>9</v>
      </c>
      <c r="AL20">
        <v>18</v>
      </c>
    </row>
    <row r="21" spans="9:38" x14ac:dyDescent="0.25">
      <c r="T21">
        <v>20</v>
      </c>
      <c r="U21" t="s">
        <v>1374</v>
      </c>
      <c r="X21">
        <v>21</v>
      </c>
      <c r="Y21" t="s">
        <v>1375</v>
      </c>
      <c r="Z21" t="s">
        <v>1376</v>
      </c>
      <c r="AC21">
        <v>20</v>
      </c>
      <c r="AD21" t="s">
        <v>1377</v>
      </c>
      <c r="AE21">
        <v>960</v>
      </c>
      <c r="AK21">
        <v>9.5</v>
      </c>
      <c r="AL21">
        <v>19</v>
      </c>
    </row>
    <row r="22" spans="9:38" x14ac:dyDescent="0.25">
      <c r="T22">
        <v>21</v>
      </c>
      <c r="U22" t="s">
        <v>1378</v>
      </c>
      <c r="AC22">
        <v>21</v>
      </c>
      <c r="AD22" t="s">
        <v>1379</v>
      </c>
      <c r="AE22">
        <v>990</v>
      </c>
      <c r="AK22">
        <v>10</v>
      </c>
      <c r="AL22">
        <v>20</v>
      </c>
    </row>
    <row r="23" spans="9:38" x14ac:dyDescent="0.25">
      <c r="T23">
        <v>22</v>
      </c>
      <c r="U23" t="s">
        <v>1380</v>
      </c>
      <c r="AC23">
        <v>22</v>
      </c>
      <c r="AD23" t="s">
        <v>1381</v>
      </c>
      <c r="AE23">
        <v>1020</v>
      </c>
      <c r="AK23">
        <v>10.5</v>
      </c>
      <c r="AL23">
        <v>21</v>
      </c>
    </row>
    <row r="24" spans="9:38" x14ac:dyDescent="0.25">
      <c r="T24">
        <v>23</v>
      </c>
      <c r="U24" t="s">
        <v>1382</v>
      </c>
      <c r="AC24">
        <v>23</v>
      </c>
      <c r="AD24" t="s">
        <v>1383</v>
      </c>
      <c r="AE24">
        <v>1050</v>
      </c>
      <c r="AK24">
        <v>11</v>
      </c>
      <c r="AL24">
        <v>22</v>
      </c>
    </row>
    <row r="25" spans="9:38" x14ac:dyDescent="0.25">
      <c r="T25">
        <v>24</v>
      </c>
      <c r="U25" t="s">
        <v>63</v>
      </c>
      <c r="AC25">
        <v>24</v>
      </c>
      <c r="AD25" t="s">
        <v>1384</v>
      </c>
      <c r="AE25">
        <v>1080</v>
      </c>
      <c r="AK25">
        <v>11.5</v>
      </c>
      <c r="AL25">
        <v>23</v>
      </c>
    </row>
    <row r="26" spans="9:38" x14ac:dyDescent="0.25">
      <c r="T26">
        <v>25</v>
      </c>
      <c r="U26" t="s">
        <v>1385</v>
      </c>
      <c r="AC26">
        <v>25</v>
      </c>
      <c r="AD26" t="s">
        <v>1386</v>
      </c>
      <c r="AE26">
        <v>1110</v>
      </c>
      <c r="AK26">
        <v>12</v>
      </c>
      <c r="AL26">
        <v>24</v>
      </c>
    </row>
    <row r="27" spans="9:38" x14ac:dyDescent="0.25">
      <c r="T27">
        <v>26</v>
      </c>
      <c r="U27" t="s">
        <v>56</v>
      </c>
      <c r="AC27">
        <v>26</v>
      </c>
      <c r="AD27" t="s">
        <v>1387</v>
      </c>
      <c r="AE27">
        <v>1140</v>
      </c>
      <c r="AK27">
        <v>12.5</v>
      </c>
      <c r="AL27">
        <v>25</v>
      </c>
    </row>
    <row r="28" spans="9:38" x14ac:dyDescent="0.25">
      <c r="T28">
        <v>27</v>
      </c>
      <c r="U28" t="s">
        <v>58</v>
      </c>
      <c r="AC28">
        <v>27</v>
      </c>
      <c r="AD28" t="s">
        <v>1388</v>
      </c>
      <c r="AE28">
        <v>1170</v>
      </c>
      <c r="AK28">
        <v>13</v>
      </c>
      <c r="AL28">
        <v>26</v>
      </c>
    </row>
    <row r="29" spans="9:38" x14ac:dyDescent="0.25">
      <c r="T29">
        <v>28</v>
      </c>
      <c r="U29" t="s">
        <v>55</v>
      </c>
      <c r="AC29">
        <v>28</v>
      </c>
      <c r="AD29" t="s">
        <v>1389</v>
      </c>
      <c r="AE29">
        <v>1200</v>
      </c>
      <c r="AK29">
        <v>13.5</v>
      </c>
      <c r="AL29">
        <v>27</v>
      </c>
    </row>
    <row r="30" spans="9:38" x14ac:dyDescent="0.25">
      <c r="T30">
        <v>29</v>
      </c>
      <c r="U30" t="s">
        <v>1350</v>
      </c>
      <c r="AC30">
        <v>29</v>
      </c>
      <c r="AD30" t="s">
        <v>1390</v>
      </c>
      <c r="AE30">
        <v>1230</v>
      </c>
      <c r="AK30">
        <v>14</v>
      </c>
      <c r="AL30">
        <v>28</v>
      </c>
    </row>
    <row r="31" spans="9:38" x14ac:dyDescent="0.25">
      <c r="AC31">
        <v>30</v>
      </c>
      <c r="AD31" t="s">
        <v>1391</v>
      </c>
      <c r="AE31">
        <v>1260</v>
      </c>
      <c r="AK31">
        <v>14.5</v>
      </c>
      <c r="AL31">
        <v>29</v>
      </c>
    </row>
    <row r="32" spans="9:38" x14ac:dyDescent="0.25">
      <c r="AC32">
        <v>31</v>
      </c>
      <c r="AD32" t="s">
        <v>1392</v>
      </c>
      <c r="AE32">
        <v>1290</v>
      </c>
      <c r="AK32">
        <v>15</v>
      </c>
      <c r="AL32">
        <v>30</v>
      </c>
    </row>
    <row r="33" spans="29:38" x14ac:dyDescent="0.25">
      <c r="AC33">
        <v>32</v>
      </c>
      <c r="AD33" t="s">
        <v>1393</v>
      </c>
      <c r="AE33">
        <v>1320</v>
      </c>
      <c r="AK33">
        <v>15.5</v>
      </c>
      <c r="AL33">
        <v>31</v>
      </c>
    </row>
    <row r="34" spans="29:38" x14ac:dyDescent="0.25">
      <c r="AC34">
        <v>33</v>
      </c>
      <c r="AD34" t="s">
        <v>1394</v>
      </c>
      <c r="AE34">
        <v>1350</v>
      </c>
      <c r="AK34">
        <v>16</v>
      </c>
      <c r="AL34">
        <v>32</v>
      </c>
    </row>
    <row r="35" spans="29:38" x14ac:dyDescent="0.25">
      <c r="AC35">
        <v>34</v>
      </c>
      <c r="AD35" t="s">
        <v>1395</v>
      </c>
      <c r="AE35">
        <v>1380</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workbookViewId="0">
      <selection activeCell="J21" sqref="J21"/>
    </sheetView>
  </sheetViews>
  <sheetFormatPr defaultRowHeight="15" x14ac:dyDescent="0.25"/>
  <cols>
    <col min="1" max="1" width="11" customWidth="1"/>
    <col min="2" max="2" width="15.42578125" bestFit="1" customWidth="1"/>
    <col min="3" max="3" width="57.42578125" bestFit="1" customWidth="1"/>
    <col min="4" max="4" width="15.7109375" bestFit="1" customWidth="1"/>
    <col min="5" max="5" width="15.5703125" customWidth="1"/>
  </cols>
  <sheetData>
    <row r="1" spans="1:5" x14ac:dyDescent="0.25">
      <c r="A1" t="s">
        <v>1720</v>
      </c>
      <c r="B1" t="s">
        <v>1721</v>
      </c>
      <c r="C1" t="s">
        <v>1722</v>
      </c>
      <c r="D1" t="s">
        <v>7</v>
      </c>
      <c r="E1" t="s">
        <v>1723</v>
      </c>
    </row>
    <row r="2" spans="1:5" x14ac:dyDescent="0.25">
      <c r="A2">
        <v>206</v>
      </c>
      <c r="B2" t="s">
        <v>1947</v>
      </c>
      <c r="C2" t="s">
        <v>1295</v>
      </c>
      <c r="D2" t="s">
        <v>1354</v>
      </c>
      <c r="E2" t="s">
        <v>1489</v>
      </c>
    </row>
    <row r="3" spans="1:5" x14ac:dyDescent="0.25">
      <c r="A3">
        <v>207</v>
      </c>
      <c r="B3" t="s">
        <v>1948</v>
      </c>
      <c r="C3" t="s">
        <v>1295</v>
      </c>
      <c r="D3" t="s">
        <v>1354</v>
      </c>
      <c r="E3" t="s">
        <v>1489</v>
      </c>
    </row>
    <row r="4" spans="1:5" x14ac:dyDescent="0.25">
      <c r="A4">
        <v>208</v>
      </c>
      <c r="B4" t="s">
        <v>1949</v>
      </c>
      <c r="C4" t="s">
        <v>1271</v>
      </c>
      <c r="D4" t="s">
        <v>1354</v>
      </c>
      <c r="E4" t="s">
        <v>1489</v>
      </c>
    </row>
    <row r="5" spans="1:5" x14ac:dyDescent="0.25">
      <c r="A5">
        <v>209</v>
      </c>
      <c r="B5" t="s">
        <v>1950</v>
      </c>
      <c r="C5" t="s">
        <v>1951</v>
      </c>
      <c r="D5" t="s">
        <v>1354</v>
      </c>
      <c r="E5" t="s">
        <v>1489</v>
      </c>
    </row>
    <row r="6" spans="1:5" x14ac:dyDescent="0.25">
      <c r="A6">
        <v>211</v>
      </c>
      <c r="B6" t="s">
        <v>1952</v>
      </c>
      <c r="C6" t="s">
        <v>1953</v>
      </c>
      <c r="D6" t="s">
        <v>1354</v>
      </c>
      <c r="E6" t="s">
        <v>1489</v>
      </c>
    </row>
    <row r="7" spans="1:5" x14ac:dyDescent="0.25">
      <c r="A7">
        <v>212</v>
      </c>
      <c r="B7" t="s">
        <v>1954</v>
      </c>
      <c r="C7" t="s">
        <v>1955</v>
      </c>
      <c r="D7" t="s">
        <v>1354</v>
      </c>
      <c r="E7" t="s">
        <v>1489</v>
      </c>
    </row>
    <row r="8" spans="1:5" x14ac:dyDescent="0.25">
      <c r="A8">
        <v>213</v>
      </c>
      <c r="B8" t="s">
        <v>1956</v>
      </c>
      <c r="C8" t="s">
        <v>1957</v>
      </c>
      <c r="D8" t="s">
        <v>1354</v>
      </c>
      <c r="E8" t="s">
        <v>1489</v>
      </c>
    </row>
    <row r="9" spans="1:5" x14ac:dyDescent="0.25">
      <c r="A9">
        <v>214</v>
      </c>
      <c r="B9" t="s">
        <v>1958</v>
      </c>
      <c r="C9" t="s">
        <v>1959</v>
      </c>
      <c r="D9" t="s">
        <v>1354</v>
      </c>
      <c r="E9" t="s">
        <v>1489</v>
      </c>
    </row>
    <row r="10" spans="1:5" x14ac:dyDescent="0.25">
      <c r="A10">
        <v>217</v>
      </c>
      <c r="B10" t="s">
        <v>1960</v>
      </c>
      <c r="C10" t="s">
        <v>1961</v>
      </c>
      <c r="D10" t="s">
        <v>1354</v>
      </c>
      <c r="E10" t="s">
        <v>1489</v>
      </c>
    </row>
    <row r="11" spans="1:5" x14ac:dyDescent="0.25">
      <c r="A11">
        <v>5</v>
      </c>
      <c r="B11" t="s">
        <v>1962</v>
      </c>
      <c r="C11" t="s">
        <v>1963</v>
      </c>
      <c r="D11" t="s">
        <v>1328</v>
      </c>
      <c r="E11" t="s">
        <v>1489</v>
      </c>
    </row>
    <row r="12" spans="1:5" x14ac:dyDescent="0.25">
      <c r="A12">
        <v>6</v>
      </c>
      <c r="B12" t="s">
        <v>1964</v>
      </c>
      <c r="C12" t="s">
        <v>1965</v>
      </c>
      <c r="D12" t="s">
        <v>1328</v>
      </c>
      <c r="E12" t="s">
        <v>1489</v>
      </c>
    </row>
    <row r="13" spans="1:5" x14ac:dyDescent="0.25">
      <c r="A13">
        <v>92</v>
      </c>
      <c r="B13" t="s">
        <v>1966</v>
      </c>
      <c r="C13" t="s">
        <v>1967</v>
      </c>
      <c r="D13" t="s">
        <v>1268</v>
      </c>
      <c r="E13" t="s">
        <v>1489</v>
      </c>
    </row>
    <row r="14" spans="1:5" x14ac:dyDescent="0.25">
      <c r="A14">
        <v>93</v>
      </c>
      <c r="B14" t="s">
        <v>1968</v>
      </c>
      <c r="C14" t="s">
        <v>1969</v>
      </c>
      <c r="D14" t="s">
        <v>1268</v>
      </c>
      <c r="E14" t="s">
        <v>1489</v>
      </c>
    </row>
    <row r="15" spans="1:5" x14ac:dyDescent="0.25">
      <c r="A15">
        <v>94</v>
      </c>
      <c r="B15" t="s">
        <v>1970</v>
      </c>
      <c r="C15" t="s">
        <v>1967</v>
      </c>
      <c r="D15" t="s">
        <v>1268</v>
      </c>
      <c r="E15" t="s">
        <v>1489</v>
      </c>
    </row>
    <row r="16" spans="1:5" x14ac:dyDescent="0.25">
      <c r="A16">
        <v>95</v>
      </c>
      <c r="B16" t="s">
        <v>1971</v>
      </c>
      <c r="C16" t="s">
        <v>1972</v>
      </c>
      <c r="D16" t="s">
        <v>1268</v>
      </c>
      <c r="E16" t="s">
        <v>1489</v>
      </c>
    </row>
    <row r="17" spans="1:5" x14ac:dyDescent="0.25">
      <c r="A17">
        <v>96</v>
      </c>
      <c r="B17" t="s">
        <v>1973</v>
      </c>
      <c r="C17" t="s">
        <v>1974</v>
      </c>
      <c r="D17" t="s">
        <v>1268</v>
      </c>
      <c r="E17" t="s">
        <v>1489</v>
      </c>
    </row>
    <row r="18" spans="1:5" x14ac:dyDescent="0.25">
      <c r="A18">
        <v>97</v>
      </c>
      <c r="B18" t="s">
        <v>1975</v>
      </c>
      <c r="C18" t="s">
        <v>1976</v>
      </c>
      <c r="D18" t="s">
        <v>1268</v>
      </c>
      <c r="E18" t="s">
        <v>1489</v>
      </c>
    </row>
    <row r="19" spans="1:5" x14ac:dyDescent="0.25">
      <c r="A19">
        <v>98</v>
      </c>
      <c r="B19" t="s">
        <v>1977</v>
      </c>
      <c r="C19" t="s">
        <v>1978</v>
      </c>
      <c r="D19" t="s">
        <v>1268</v>
      </c>
      <c r="E19" t="s">
        <v>1489</v>
      </c>
    </row>
    <row r="20" spans="1:5" x14ac:dyDescent="0.25">
      <c r="A20">
        <v>99</v>
      </c>
      <c r="B20" t="s">
        <v>1979</v>
      </c>
      <c r="C20" t="s">
        <v>1980</v>
      </c>
      <c r="D20" t="s">
        <v>1268</v>
      </c>
      <c r="E20" t="s">
        <v>1489</v>
      </c>
    </row>
    <row r="21" spans="1:5" x14ac:dyDescent="0.25">
      <c r="A21">
        <v>46</v>
      </c>
      <c r="B21" t="s">
        <v>1981</v>
      </c>
      <c r="C21" t="s">
        <v>1982</v>
      </c>
      <c r="D21" t="s">
        <v>1334</v>
      </c>
      <c r="E21" t="s">
        <v>1983</v>
      </c>
    </row>
    <row r="22" spans="1:5" x14ac:dyDescent="0.25">
      <c r="A22">
        <v>47</v>
      </c>
      <c r="B22" t="s">
        <v>1984</v>
      </c>
      <c r="C22" t="s">
        <v>1985</v>
      </c>
      <c r="D22" t="s">
        <v>1334</v>
      </c>
      <c r="E22" t="s">
        <v>1983</v>
      </c>
    </row>
    <row r="23" spans="1:5" x14ac:dyDescent="0.25">
      <c r="A23">
        <v>48</v>
      </c>
      <c r="B23" t="s">
        <v>1986</v>
      </c>
      <c r="C23" t="s">
        <v>1987</v>
      </c>
      <c r="D23" t="s">
        <v>1334</v>
      </c>
      <c r="E23" t="s">
        <v>1983</v>
      </c>
    </row>
    <row r="24" spans="1:5" x14ac:dyDescent="0.25">
      <c r="A24">
        <v>49</v>
      </c>
      <c r="B24" t="s">
        <v>1988</v>
      </c>
      <c r="C24" t="s">
        <v>1989</v>
      </c>
      <c r="D24" t="s">
        <v>1334</v>
      </c>
      <c r="E24" t="s">
        <v>1983</v>
      </c>
    </row>
    <row r="25" spans="1:5" x14ac:dyDescent="0.25">
      <c r="A25">
        <v>50</v>
      </c>
      <c r="B25" t="s">
        <v>1990</v>
      </c>
      <c r="C25" t="s">
        <v>1991</v>
      </c>
      <c r="D25" t="s">
        <v>1334</v>
      </c>
      <c r="E25" t="s">
        <v>1983</v>
      </c>
    </row>
    <row r="26" spans="1:5" x14ac:dyDescent="0.25">
      <c r="A26">
        <v>51</v>
      </c>
      <c r="B26" t="s">
        <v>1992</v>
      </c>
      <c r="C26" t="s">
        <v>1993</v>
      </c>
      <c r="D26" t="s">
        <v>1334</v>
      </c>
      <c r="E26" t="s">
        <v>1983</v>
      </c>
    </row>
    <row r="27" spans="1:5" x14ac:dyDescent="0.25">
      <c r="A27">
        <v>52</v>
      </c>
      <c r="B27" t="s">
        <v>1994</v>
      </c>
      <c r="C27" t="s">
        <v>1995</v>
      </c>
      <c r="D27" t="s">
        <v>1334</v>
      </c>
      <c r="E27" t="s">
        <v>1983</v>
      </c>
    </row>
    <row r="28" spans="1:5" x14ac:dyDescent="0.25">
      <c r="A28">
        <v>115</v>
      </c>
      <c r="B28" t="s">
        <v>1996</v>
      </c>
      <c r="C28" t="s">
        <v>1997</v>
      </c>
      <c r="D28" t="s">
        <v>16</v>
      </c>
      <c r="E28" t="s">
        <v>1489</v>
      </c>
    </row>
    <row r="29" spans="1:5" x14ac:dyDescent="0.25">
      <c r="A29">
        <v>136</v>
      </c>
      <c r="B29" t="s">
        <v>1998</v>
      </c>
      <c r="C29" t="s">
        <v>1999</v>
      </c>
      <c r="D29" t="s">
        <v>16</v>
      </c>
      <c r="E29" t="s">
        <v>1489</v>
      </c>
    </row>
    <row r="30" spans="1:5" x14ac:dyDescent="0.25">
      <c r="A30">
        <v>137</v>
      </c>
      <c r="B30" t="s">
        <v>2000</v>
      </c>
      <c r="C30" t="s">
        <v>2001</v>
      </c>
      <c r="D30" t="s">
        <v>16</v>
      </c>
      <c r="E30" t="s">
        <v>1489</v>
      </c>
    </row>
    <row r="31" spans="1:5" x14ac:dyDescent="0.25">
      <c r="A31">
        <v>138</v>
      </c>
      <c r="B31" t="s">
        <v>2002</v>
      </c>
      <c r="C31" t="s">
        <v>2003</v>
      </c>
      <c r="D31" t="s">
        <v>16</v>
      </c>
      <c r="E31" t="s">
        <v>1489</v>
      </c>
    </row>
    <row r="32" spans="1:5" x14ac:dyDescent="0.25">
      <c r="A32">
        <v>139</v>
      </c>
      <c r="B32" t="s">
        <v>2004</v>
      </c>
      <c r="C32" t="s">
        <v>2005</v>
      </c>
      <c r="D32" t="s">
        <v>16</v>
      </c>
      <c r="E32" t="s">
        <v>1489</v>
      </c>
    </row>
    <row r="33" spans="1:5" x14ac:dyDescent="0.25">
      <c r="A33">
        <v>140</v>
      </c>
      <c r="B33" t="s">
        <v>2006</v>
      </c>
      <c r="C33" t="s">
        <v>2007</v>
      </c>
      <c r="D33" t="s">
        <v>16</v>
      </c>
      <c r="E33" t="s">
        <v>1489</v>
      </c>
    </row>
    <row r="34" spans="1:5" x14ac:dyDescent="0.25">
      <c r="A34">
        <v>141</v>
      </c>
      <c r="B34" t="s">
        <v>2008</v>
      </c>
      <c r="C34" t="s">
        <v>2009</v>
      </c>
      <c r="D34" t="s">
        <v>16</v>
      </c>
      <c r="E34" t="s">
        <v>1489</v>
      </c>
    </row>
    <row r="35" spans="1:5" x14ac:dyDescent="0.25">
      <c r="A35">
        <v>142</v>
      </c>
      <c r="B35" t="s">
        <v>2010</v>
      </c>
      <c r="C35" t="s">
        <v>2011</v>
      </c>
      <c r="D35" t="s">
        <v>16</v>
      </c>
      <c r="E35" t="s">
        <v>1489</v>
      </c>
    </row>
    <row r="36" spans="1:5" x14ac:dyDescent="0.25">
      <c r="A36">
        <v>143</v>
      </c>
      <c r="B36" t="s">
        <v>2012</v>
      </c>
      <c r="C36" t="s">
        <v>2013</v>
      </c>
      <c r="D36" t="s">
        <v>16</v>
      </c>
      <c r="E36" t="s">
        <v>1489</v>
      </c>
    </row>
    <row r="37" spans="1:5" x14ac:dyDescent="0.25">
      <c r="A37">
        <v>149</v>
      </c>
      <c r="B37" t="s">
        <v>2014</v>
      </c>
      <c r="C37" t="s">
        <v>2015</v>
      </c>
      <c r="D37" t="s">
        <v>16</v>
      </c>
      <c r="E37" t="s">
        <v>1489</v>
      </c>
    </row>
    <row r="38" spans="1:5" x14ac:dyDescent="0.25">
      <c r="A38">
        <v>150</v>
      </c>
      <c r="B38" t="s">
        <v>2016</v>
      </c>
      <c r="C38" t="s">
        <v>2017</v>
      </c>
      <c r="D38" t="s">
        <v>16</v>
      </c>
      <c r="E38" t="s">
        <v>1489</v>
      </c>
    </row>
    <row r="39" spans="1:5" x14ac:dyDescent="0.25">
      <c r="A39">
        <v>151</v>
      </c>
      <c r="B39" t="s">
        <v>2018</v>
      </c>
      <c r="C39" t="s">
        <v>2019</v>
      </c>
      <c r="D39" t="s">
        <v>16</v>
      </c>
      <c r="E39" t="s">
        <v>1489</v>
      </c>
    </row>
    <row r="40" spans="1:5" x14ac:dyDescent="0.25">
      <c r="A40">
        <v>152</v>
      </c>
      <c r="B40" t="s">
        <v>2020</v>
      </c>
      <c r="C40" t="s">
        <v>2021</v>
      </c>
      <c r="D40" t="s">
        <v>16</v>
      </c>
      <c r="E40" t="s">
        <v>1489</v>
      </c>
    </row>
    <row r="41" spans="1:5" x14ac:dyDescent="0.25">
      <c r="A41">
        <v>153</v>
      </c>
      <c r="B41" t="s">
        <v>2022</v>
      </c>
      <c r="C41" t="s">
        <v>2023</v>
      </c>
      <c r="D41" t="s">
        <v>16</v>
      </c>
      <c r="E41" t="s">
        <v>1489</v>
      </c>
    </row>
    <row r="42" spans="1:5" x14ac:dyDescent="0.25">
      <c r="A42">
        <v>154</v>
      </c>
      <c r="B42" t="s">
        <v>2024</v>
      </c>
      <c r="C42" t="s">
        <v>2025</v>
      </c>
      <c r="D42" t="s">
        <v>16</v>
      </c>
      <c r="E42" t="s">
        <v>1489</v>
      </c>
    </row>
    <row r="43" spans="1:5" x14ac:dyDescent="0.25">
      <c r="A43">
        <v>155</v>
      </c>
      <c r="B43" t="s">
        <v>2026</v>
      </c>
      <c r="C43" t="s">
        <v>2027</v>
      </c>
      <c r="D43" t="s">
        <v>16</v>
      </c>
      <c r="E43" t="s">
        <v>1489</v>
      </c>
    </row>
    <row r="44" spans="1:5" x14ac:dyDescent="0.25">
      <c r="A44">
        <v>156</v>
      </c>
      <c r="B44" t="s">
        <v>2028</v>
      </c>
      <c r="C44" t="s">
        <v>2029</v>
      </c>
      <c r="D44" t="s">
        <v>16</v>
      </c>
      <c r="E44" t="s">
        <v>1489</v>
      </c>
    </row>
    <row r="45" spans="1:5" x14ac:dyDescent="0.25">
      <c r="A45">
        <v>157</v>
      </c>
      <c r="B45" t="s">
        <v>2030</v>
      </c>
      <c r="C45" t="s">
        <v>2031</v>
      </c>
      <c r="D45" t="s">
        <v>16</v>
      </c>
      <c r="E45" t="s">
        <v>1489</v>
      </c>
    </row>
    <row r="46" spans="1:5" x14ac:dyDescent="0.25">
      <c r="A46">
        <v>158</v>
      </c>
      <c r="B46" t="s">
        <v>2032</v>
      </c>
      <c r="C46" t="s">
        <v>2033</v>
      </c>
      <c r="D46" t="s">
        <v>16</v>
      </c>
      <c r="E46" t="s">
        <v>1489</v>
      </c>
    </row>
    <row r="47" spans="1:5" x14ac:dyDescent="0.25">
      <c r="A47">
        <v>159</v>
      </c>
      <c r="B47" t="s">
        <v>2034</v>
      </c>
      <c r="C47" t="s">
        <v>2035</v>
      </c>
      <c r="D47" t="s">
        <v>16</v>
      </c>
      <c r="E47" t="s">
        <v>1489</v>
      </c>
    </row>
    <row r="48" spans="1:5" x14ac:dyDescent="0.25">
      <c r="A48">
        <v>160</v>
      </c>
      <c r="B48" t="s">
        <v>2036</v>
      </c>
      <c r="C48" t="s">
        <v>2037</v>
      </c>
      <c r="D48" t="s">
        <v>16</v>
      </c>
      <c r="E48" t="s">
        <v>1489</v>
      </c>
    </row>
    <row r="49" spans="1:5" x14ac:dyDescent="0.25">
      <c r="A49">
        <v>161</v>
      </c>
      <c r="B49" t="s">
        <v>2038</v>
      </c>
      <c r="C49" t="s">
        <v>2039</v>
      </c>
      <c r="D49" t="s">
        <v>16</v>
      </c>
      <c r="E49" t="s">
        <v>1489</v>
      </c>
    </row>
    <row r="50" spans="1:5" x14ac:dyDescent="0.25">
      <c r="A50">
        <v>162</v>
      </c>
      <c r="B50" t="s">
        <v>2040</v>
      </c>
      <c r="C50" t="s">
        <v>1295</v>
      </c>
      <c r="D50" t="s">
        <v>16</v>
      </c>
      <c r="E50" t="s">
        <v>1489</v>
      </c>
    </row>
    <row r="51" spans="1:5" x14ac:dyDescent="0.25">
      <c r="A51">
        <v>163</v>
      </c>
      <c r="B51" t="s">
        <v>2041</v>
      </c>
      <c r="C51" t="s">
        <v>2042</v>
      </c>
      <c r="D51" t="s">
        <v>16</v>
      </c>
      <c r="E51" t="s">
        <v>1489</v>
      </c>
    </row>
    <row r="52" spans="1:5" x14ac:dyDescent="0.25">
      <c r="A52">
        <v>164</v>
      </c>
      <c r="B52" t="s">
        <v>2043</v>
      </c>
      <c r="C52" t="s">
        <v>1295</v>
      </c>
      <c r="D52" t="s">
        <v>16</v>
      </c>
      <c r="E52" t="s">
        <v>1489</v>
      </c>
    </row>
    <row r="53" spans="1:5" x14ac:dyDescent="0.25">
      <c r="A53">
        <v>165</v>
      </c>
      <c r="B53" t="s">
        <v>2044</v>
      </c>
      <c r="C53" t="s">
        <v>2045</v>
      </c>
      <c r="D53" t="s">
        <v>16</v>
      </c>
      <c r="E53" t="s">
        <v>1489</v>
      </c>
    </row>
    <row r="54" spans="1:5" x14ac:dyDescent="0.25">
      <c r="A54">
        <v>166</v>
      </c>
      <c r="B54" t="s">
        <v>2046</v>
      </c>
      <c r="C54" t="s">
        <v>2045</v>
      </c>
      <c r="D54" t="s">
        <v>16</v>
      </c>
      <c r="E54" t="s">
        <v>1489</v>
      </c>
    </row>
    <row r="55" spans="1:5" x14ac:dyDescent="0.25">
      <c r="A55">
        <v>167</v>
      </c>
      <c r="B55" t="s">
        <v>2047</v>
      </c>
      <c r="C55" t="s">
        <v>2048</v>
      </c>
      <c r="D55" t="s">
        <v>16</v>
      </c>
      <c r="E55" t="s">
        <v>1489</v>
      </c>
    </row>
    <row r="56" spans="1:5" x14ac:dyDescent="0.25">
      <c r="A56">
        <v>168</v>
      </c>
      <c r="B56" t="s">
        <v>2049</v>
      </c>
      <c r="C56" t="s">
        <v>2050</v>
      </c>
      <c r="D56" t="s">
        <v>16</v>
      </c>
      <c r="E56" t="s">
        <v>1489</v>
      </c>
    </row>
    <row r="57" spans="1:5" x14ac:dyDescent="0.25">
      <c r="A57">
        <v>169</v>
      </c>
      <c r="B57" t="s">
        <v>2051</v>
      </c>
      <c r="C57" t="s">
        <v>2052</v>
      </c>
      <c r="D57" t="s">
        <v>16</v>
      </c>
      <c r="E57" t="s">
        <v>1489</v>
      </c>
    </row>
    <row r="58" spans="1:5" x14ac:dyDescent="0.25">
      <c r="A58">
        <v>170</v>
      </c>
      <c r="B58" t="s">
        <v>2053</v>
      </c>
      <c r="C58" t="s">
        <v>2054</v>
      </c>
      <c r="D58" t="s">
        <v>16</v>
      </c>
      <c r="E58" t="s">
        <v>1489</v>
      </c>
    </row>
    <row r="59" spans="1:5" x14ac:dyDescent="0.25">
      <c r="A59">
        <v>171</v>
      </c>
      <c r="B59" t="s">
        <v>2055</v>
      </c>
      <c r="C59" t="s">
        <v>2054</v>
      </c>
      <c r="D59" t="s">
        <v>16</v>
      </c>
      <c r="E59" t="s">
        <v>1489</v>
      </c>
    </row>
    <row r="60" spans="1:5" x14ac:dyDescent="0.25">
      <c r="A60">
        <v>172</v>
      </c>
      <c r="B60" t="s">
        <v>2056</v>
      </c>
      <c r="C60" t="s">
        <v>2054</v>
      </c>
      <c r="D60" t="s">
        <v>16</v>
      </c>
      <c r="E60" t="s">
        <v>1489</v>
      </c>
    </row>
    <row r="61" spans="1:5" x14ac:dyDescent="0.25">
      <c r="A61">
        <v>199</v>
      </c>
      <c r="B61" t="s">
        <v>2057</v>
      </c>
      <c r="C61" t="s">
        <v>2058</v>
      </c>
      <c r="D61" t="s">
        <v>16</v>
      </c>
      <c r="E61" t="s">
        <v>1656</v>
      </c>
    </row>
    <row r="62" spans="1:5" x14ac:dyDescent="0.25">
      <c r="A62">
        <v>200</v>
      </c>
      <c r="B62" t="s">
        <v>2059</v>
      </c>
      <c r="C62" t="s">
        <v>2060</v>
      </c>
      <c r="D62" t="s">
        <v>16</v>
      </c>
      <c r="E62" t="s">
        <v>1656</v>
      </c>
    </row>
    <row r="63" spans="1:5" x14ac:dyDescent="0.25">
      <c r="A63">
        <v>201</v>
      </c>
      <c r="B63" t="s">
        <v>2061</v>
      </c>
      <c r="C63" t="s">
        <v>2062</v>
      </c>
      <c r="D63" t="s">
        <v>16</v>
      </c>
      <c r="E63" t="s">
        <v>1656</v>
      </c>
    </row>
    <row r="64" spans="1:5" x14ac:dyDescent="0.25">
      <c r="A64">
        <v>202</v>
      </c>
      <c r="B64" t="s">
        <v>2063</v>
      </c>
      <c r="C64" t="s">
        <v>2064</v>
      </c>
      <c r="D64" t="s">
        <v>16</v>
      </c>
      <c r="E64" t="s">
        <v>1656</v>
      </c>
    </row>
    <row r="65" spans="1:5" x14ac:dyDescent="0.25">
      <c r="A65">
        <v>203</v>
      </c>
      <c r="B65" t="s">
        <v>2065</v>
      </c>
      <c r="C65" t="s">
        <v>2066</v>
      </c>
      <c r="D65" t="s">
        <v>16</v>
      </c>
      <c r="E65" t="s">
        <v>1656</v>
      </c>
    </row>
    <row r="66" spans="1:5" x14ac:dyDescent="0.25">
      <c r="A66">
        <v>204</v>
      </c>
      <c r="B66" t="s">
        <v>2067</v>
      </c>
      <c r="C66" t="s">
        <v>2068</v>
      </c>
      <c r="D66" t="s">
        <v>16</v>
      </c>
      <c r="E66" t="s">
        <v>1656</v>
      </c>
    </row>
    <row r="67" spans="1:5" x14ac:dyDescent="0.25">
      <c r="A67">
        <v>179</v>
      </c>
      <c r="B67" t="s">
        <v>2069</v>
      </c>
      <c r="C67" t="s">
        <v>2070</v>
      </c>
      <c r="D67" t="s">
        <v>39</v>
      </c>
      <c r="E67" t="s">
        <v>1489</v>
      </c>
    </row>
    <row r="68" spans="1:5" x14ac:dyDescent="0.25">
      <c r="A68">
        <v>180</v>
      </c>
      <c r="B68" t="s">
        <v>2071</v>
      </c>
      <c r="C68" t="s">
        <v>2072</v>
      </c>
      <c r="D68" t="s">
        <v>39</v>
      </c>
      <c r="E68" t="s">
        <v>1489</v>
      </c>
    </row>
    <row r="69" spans="1:5" x14ac:dyDescent="0.25">
      <c r="A69">
        <v>181</v>
      </c>
      <c r="B69" t="s">
        <v>2073</v>
      </c>
      <c r="C69" t="s">
        <v>2074</v>
      </c>
      <c r="D69" t="s">
        <v>39</v>
      </c>
      <c r="E69" t="s">
        <v>1489</v>
      </c>
    </row>
    <row r="70" spans="1:5" x14ac:dyDescent="0.25">
      <c r="A70">
        <v>182</v>
      </c>
      <c r="B70" t="s">
        <v>2075</v>
      </c>
      <c r="C70" t="s">
        <v>2076</v>
      </c>
      <c r="D70" t="s">
        <v>39</v>
      </c>
      <c r="E70" t="s">
        <v>1489</v>
      </c>
    </row>
    <row r="71" spans="1:5" x14ac:dyDescent="0.25">
      <c r="A71">
        <v>174</v>
      </c>
      <c r="B71" t="s">
        <v>2077</v>
      </c>
      <c r="C71" t="s">
        <v>2078</v>
      </c>
      <c r="D71" t="s">
        <v>19</v>
      </c>
      <c r="E71" t="s">
        <v>1489</v>
      </c>
    </row>
    <row r="72" spans="1:5" x14ac:dyDescent="0.25">
      <c r="A72">
        <v>175</v>
      </c>
      <c r="B72" t="s">
        <v>2079</v>
      </c>
      <c r="C72" t="s">
        <v>2080</v>
      </c>
      <c r="D72" t="s">
        <v>19</v>
      </c>
      <c r="E72" t="s">
        <v>1489</v>
      </c>
    </row>
    <row r="73" spans="1:5" x14ac:dyDescent="0.25">
      <c r="A73">
        <v>176</v>
      </c>
      <c r="B73" t="s">
        <v>2081</v>
      </c>
      <c r="C73" t="s">
        <v>2082</v>
      </c>
      <c r="D73" t="s">
        <v>19</v>
      </c>
      <c r="E73" t="s">
        <v>1489</v>
      </c>
    </row>
    <row r="74" spans="1:5" x14ac:dyDescent="0.25">
      <c r="A74">
        <v>177</v>
      </c>
      <c r="B74" t="s">
        <v>2083</v>
      </c>
      <c r="C74" t="s">
        <v>2084</v>
      </c>
      <c r="D74" t="s">
        <v>19</v>
      </c>
      <c r="E74" t="s">
        <v>1489</v>
      </c>
    </row>
    <row r="75" spans="1:5" x14ac:dyDescent="0.25">
      <c r="A75">
        <v>1</v>
      </c>
      <c r="B75" t="s">
        <v>1724</v>
      </c>
      <c r="C75" t="s">
        <v>1725</v>
      </c>
      <c r="D75" t="s">
        <v>15</v>
      </c>
      <c r="E75" t="s">
        <v>1607</v>
      </c>
    </row>
    <row r="76" spans="1:5" x14ac:dyDescent="0.25">
      <c r="A76">
        <v>2</v>
      </c>
      <c r="B76" t="s">
        <v>1726</v>
      </c>
      <c r="C76" t="s">
        <v>1725</v>
      </c>
      <c r="D76" t="s">
        <v>15</v>
      </c>
      <c r="E76" t="s">
        <v>1607</v>
      </c>
    </row>
    <row r="77" spans="1:5" x14ac:dyDescent="0.25">
      <c r="A77">
        <v>4</v>
      </c>
      <c r="B77" t="s">
        <v>1727</v>
      </c>
      <c r="C77" t="s">
        <v>1728</v>
      </c>
      <c r="D77" t="s">
        <v>15</v>
      </c>
      <c r="E77" t="s">
        <v>1607</v>
      </c>
    </row>
    <row r="78" spans="1:5" x14ac:dyDescent="0.25">
      <c r="A78">
        <v>7</v>
      </c>
      <c r="B78" t="s">
        <v>1729</v>
      </c>
      <c r="C78" t="s">
        <v>1730</v>
      </c>
      <c r="D78" t="s">
        <v>15</v>
      </c>
      <c r="E78" t="s">
        <v>1612</v>
      </c>
    </row>
    <row r="79" spans="1:5" x14ac:dyDescent="0.25">
      <c r="A79">
        <v>8</v>
      </c>
      <c r="B79" t="s">
        <v>1731</v>
      </c>
      <c r="C79" t="s">
        <v>1725</v>
      </c>
      <c r="D79" t="s">
        <v>15</v>
      </c>
      <c r="E79" t="s">
        <v>1612</v>
      </c>
    </row>
    <row r="80" spans="1:5" x14ac:dyDescent="0.25">
      <c r="A80">
        <v>9</v>
      </c>
      <c r="B80" t="s">
        <v>1732</v>
      </c>
      <c r="C80" t="s">
        <v>1733</v>
      </c>
      <c r="D80" t="s">
        <v>15</v>
      </c>
      <c r="E80" t="s">
        <v>1612</v>
      </c>
    </row>
    <row r="81" spans="1:5" x14ac:dyDescent="0.25">
      <c r="A81">
        <v>10</v>
      </c>
      <c r="B81" t="s">
        <v>1734</v>
      </c>
      <c r="C81" t="s">
        <v>1735</v>
      </c>
      <c r="D81" t="s">
        <v>15</v>
      </c>
      <c r="E81" t="s">
        <v>1612</v>
      </c>
    </row>
    <row r="82" spans="1:5" x14ac:dyDescent="0.25">
      <c r="A82">
        <v>11</v>
      </c>
      <c r="B82" t="s">
        <v>1736</v>
      </c>
      <c r="C82" t="s">
        <v>1737</v>
      </c>
      <c r="D82" t="s">
        <v>15</v>
      </c>
      <c r="E82" t="s">
        <v>1612</v>
      </c>
    </row>
    <row r="83" spans="1:5" x14ac:dyDescent="0.25">
      <c r="A83">
        <v>12</v>
      </c>
      <c r="B83" t="s">
        <v>1738</v>
      </c>
      <c r="C83" t="s">
        <v>1739</v>
      </c>
      <c r="D83" t="s">
        <v>15</v>
      </c>
      <c r="E83" t="s">
        <v>1612</v>
      </c>
    </row>
    <row r="84" spans="1:5" x14ac:dyDescent="0.25">
      <c r="A84">
        <v>13</v>
      </c>
      <c r="B84" t="s">
        <v>1740</v>
      </c>
      <c r="C84" t="s">
        <v>1684</v>
      </c>
      <c r="D84" t="s">
        <v>15</v>
      </c>
      <c r="E84" t="s">
        <v>1612</v>
      </c>
    </row>
    <row r="85" spans="1:5" x14ac:dyDescent="0.25">
      <c r="A85">
        <v>14</v>
      </c>
      <c r="B85" t="s">
        <v>1741</v>
      </c>
      <c r="C85" t="s">
        <v>1742</v>
      </c>
      <c r="D85" t="s">
        <v>15</v>
      </c>
      <c r="E85" t="s">
        <v>1612</v>
      </c>
    </row>
    <row r="86" spans="1:5" x14ac:dyDescent="0.25">
      <c r="A86">
        <v>15</v>
      </c>
      <c r="B86" t="s">
        <v>1743</v>
      </c>
      <c r="C86" t="s">
        <v>1744</v>
      </c>
      <c r="D86" t="s">
        <v>15</v>
      </c>
      <c r="E86" t="s">
        <v>1612</v>
      </c>
    </row>
    <row r="87" spans="1:5" x14ac:dyDescent="0.25">
      <c r="A87">
        <v>16</v>
      </c>
      <c r="B87" t="s">
        <v>1745</v>
      </c>
      <c r="C87" t="s">
        <v>1746</v>
      </c>
      <c r="D87" t="s">
        <v>15</v>
      </c>
      <c r="E87" t="s">
        <v>1675</v>
      </c>
    </row>
    <row r="88" spans="1:5" x14ac:dyDescent="0.25">
      <c r="A88">
        <v>17</v>
      </c>
      <c r="B88" t="s">
        <v>1747</v>
      </c>
      <c r="C88" t="s">
        <v>1748</v>
      </c>
      <c r="D88" t="s">
        <v>15</v>
      </c>
      <c r="E88" t="s">
        <v>1675</v>
      </c>
    </row>
    <row r="89" spans="1:5" x14ac:dyDescent="0.25">
      <c r="A89">
        <v>18</v>
      </c>
      <c r="B89" t="s">
        <v>1749</v>
      </c>
      <c r="C89" t="s">
        <v>1750</v>
      </c>
      <c r="D89" t="s">
        <v>15</v>
      </c>
      <c r="E89" t="s">
        <v>1675</v>
      </c>
    </row>
    <row r="90" spans="1:5" x14ac:dyDescent="0.25">
      <c r="A90">
        <v>19</v>
      </c>
      <c r="B90" t="s">
        <v>1751</v>
      </c>
      <c r="C90" t="s">
        <v>1752</v>
      </c>
      <c r="D90" t="s">
        <v>15</v>
      </c>
      <c r="E90" t="s">
        <v>1675</v>
      </c>
    </row>
    <row r="91" spans="1:5" x14ac:dyDescent="0.25">
      <c r="A91">
        <v>20</v>
      </c>
      <c r="B91" t="s">
        <v>1753</v>
      </c>
      <c r="C91" t="s">
        <v>1754</v>
      </c>
      <c r="D91" t="s">
        <v>15</v>
      </c>
      <c r="E91" t="s">
        <v>1675</v>
      </c>
    </row>
    <row r="92" spans="1:5" x14ac:dyDescent="0.25">
      <c r="A92">
        <v>21</v>
      </c>
      <c r="B92" t="s">
        <v>1755</v>
      </c>
      <c r="C92" t="s">
        <v>1756</v>
      </c>
      <c r="D92" t="s">
        <v>15</v>
      </c>
      <c r="E92" t="s">
        <v>1675</v>
      </c>
    </row>
    <row r="93" spans="1:5" x14ac:dyDescent="0.25">
      <c r="A93">
        <v>22</v>
      </c>
      <c r="B93" t="s">
        <v>1757</v>
      </c>
      <c r="C93" t="s">
        <v>1758</v>
      </c>
      <c r="D93" t="s">
        <v>15</v>
      </c>
      <c r="E93" t="s">
        <v>1675</v>
      </c>
    </row>
    <row r="94" spans="1:5" x14ac:dyDescent="0.25">
      <c r="A94">
        <v>23</v>
      </c>
      <c r="B94" t="s">
        <v>1759</v>
      </c>
      <c r="C94" t="s">
        <v>1760</v>
      </c>
      <c r="D94" t="s">
        <v>15</v>
      </c>
      <c r="E94" t="s">
        <v>1675</v>
      </c>
    </row>
    <row r="95" spans="1:5" x14ac:dyDescent="0.25">
      <c r="A95">
        <v>24</v>
      </c>
      <c r="B95" t="s">
        <v>1761</v>
      </c>
      <c r="C95" t="s">
        <v>1762</v>
      </c>
      <c r="D95" t="s">
        <v>15</v>
      </c>
      <c r="E95" t="s">
        <v>1675</v>
      </c>
    </row>
    <row r="96" spans="1:5" x14ac:dyDescent="0.25">
      <c r="A96">
        <v>25</v>
      </c>
      <c r="B96" t="s">
        <v>1763</v>
      </c>
      <c r="C96" t="s">
        <v>1764</v>
      </c>
      <c r="D96" t="s">
        <v>15</v>
      </c>
      <c r="E96" t="s">
        <v>1675</v>
      </c>
    </row>
    <row r="97" spans="1:5" x14ac:dyDescent="0.25">
      <c r="A97">
        <v>26</v>
      </c>
      <c r="B97" t="s">
        <v>1765</v>
      </c>
      <c r="C97" t="s">
        <v>1766</v>
      </c>
      <c r="D97" t="s">
        <v>15</v>
      </c>
      <c r="E97" t="s">
        <v>1675</v>
      </c>
    </row>
    <row r="98" spans="1:5" x14ac:dyDescent="0.25">
      <c r="A98">
        <v>27</v>
      </c>
      <c r="B98" t="s">
        <v>1767</v>
      </c>
      <c r="C98" t="s">
        <v>1768</v>
      </c>
      <c r="D98" t="s">
        <v>15</v>
      </c>
      <c r="E98" t="s">
        <v>1675</v>
      </c>
    </row>
    <row r="99" spans="1:5" x14ac:dyDescent="0.25">
      <c r="A99">
        <v>28</v>
      </c>
      <c r="B99" t="s">
        <v>1769</v>
      </c>
      <c r="C99" t="s">
        <v>1770</v>
      </c>
      <c r="D99" t="s">
        <v>15</v>
      </c>
      <c r="E99" t="s">
        <v>1675</v>
      </c>
    </row>
    <row r="100" spans="1:5" x14ac:dyDescent="0.25">
      <c r="A100">
        <v>29</v>
      </c>
      <c r="B100" t="s">
        <v>1771</v>
      </c>
      <c r="C100" t="s">
        <v>1772</v>
      </c>
      <c r="D100" t="s">
        <v>15</v>
      </c>
      <c r="E100" t="s">
        <v>1675</v>
      </c>
    </row>
    <row r="101" spans="1:5" x14ac:dyDescent="0.25">
      <c r="A101">
        <v>30</v>
      </c>
      <c r="B101" t="s">
        <v>1773</v>
      </c>
      <c r="C101" t="s">
        <v>1774</v>
      </c>
      <c r="D101" t="s">
        <v>15</v>
      </c>
      <c r="E101" t="s">
        <v>1675</v>
      </c>
    </row>
    <row r="102" spans="1:5" x14ac:dyDescent="0.25">
      <c r="A102">
        <v>31</v>
      </c>
      <c r="B102" t="s">
        <v>1775</v>
      </c>
      <c r="C102" t="s">
        <v>1776</v>
      </c>
      <c r="D102" t="s">
        <v>15</v>
      </c>
      <c r="E102" t="s">
        <v>1675</v>
      </c>
    </row>
    <row r="103" spans="1:5" x14ac:dyDescent="0.25">
      <c r="A103">
        <v>32</v>
      </c>
      <c r="B103" t="s">
        <v>1777</v>
      </c>
      <c r="C103" t="s">
        <v>1776</v>
      </c>
      <c r="D103" t="s">
        <v>15</v>
      </c>
      <c r="E103" t="s">
        <v>1675</v>
      </c>
    </row>
    <row r="104" spans="1:5" x14ac:dyDescent="0.25">
      <c r="A104">
        <v>33</v>
      </c>
      <c r="B104" t="s">
        <v>1778</v>
      </c>
      <c r="C104" t="s">
        <v>1779</v>
      </c>
      <c r="D104" t="s">
        <v>15</v>
      </c>
      <c r="E104" t="s">
        <v>1675</v>
      </c>
    </row>
    <row r="105" spans="1:5" x14ac:dyDescent="0.25">
      <c r="A105">
        <v>34</v>
      </c>
      <c r="B105" t="s">
        <v>1780</v>
      </c>
      <c r="C105" t="s">
        <v>1750</v>
      </c>
      <c r="D105" t="s">
        <v>15</v>
      </c>
      <c r="E105" t="s">
        <v>1675</v>
      </c>
    </row>
    <row r="106" spans="1:5" x14ac:dyDescent="0.25">
      <c r="A106">
        <v>35</v>
      </c>
      <c r="B106" t="s">
        <v>1781</v>
      </c>
      <c r="C106" t="s">
        <v>1782</v>
      </c>
      <c r="D106" t="s">
        <v>15</v>
      </c>
      <c r="E106" t="s">
        <v>1675</v>
      </c>
    </row>
    <row r="107" spans="1:5" x14ac:dyDescent="0.25">
      <c r="A107">
        <v>36</v>
      </c>
      <c r="B107" t="s">
        <v>1783</v>
      </c>
      <c r="C107" t="s">
        <v>1746</v>
      </c>
      <c r="D107" t="s">
        <v>15</v>
      </c>
      <c r="E107" t="s">
        <v>1675</v>
      </c>
    </row>
    <row r="108" spans="1:5" x14ac:dyDescent="0.25">
      <c r="A108">
        <v>37</v>
      </c>
      <c r="B108" t="s">
        <v>1784</v>
      </c>
      <c r="C108" t="s">
        <v>1785</v>
      </c>
      <c r="D108" t="s">
        <v>15</v>
      </c>
      <c r="E108" t="s">
        <v>1675</v>
      </c>
    </row>
    <row r="109" spans="1:5" x14ac:dyDescent="0.25">
      <c r="A109">
        <v>38</v>
      </c>
      <c r="B109" t="s">
        <v>1786</v>
      </c>
      <c r="C109" t="s">
        <v>1787</v>
      </c>
      <c r="D109" t="s">
        <v>15</v>
      </c>
      <c r="E109" t="s">
        <v>1620</v>
      </c>
    </row>
    <row r="110" spans="1:5" x14ac:dyDescent="0.25">
      <c r="A110">
        <v>39</v>
      </c>
      <c r="B110" t="s">
        <v>1788</v>
      </c>
      <c r="C110" t="s">
        <v>1789</v>
      </c>
      <c r="D110" t="s">
        <v>15</v>
      </c>
      <c r="E110" t="s">
        <v>1620</v>
      </c>
    </row>
    <row r="111" spans="1:5" x14ac:dyDescent="0.25">
      <c r="A111">
        <v>40</v>
      </c>
      <c r="B111" t="s">
        <v>1790</v>
      </c>
      <c r="C111" t="s">
        <v>1791</v>
      </c>
      <c r="D111" t="s">
        <v>15</v>
      </c>
      <c r="E111" t="s">
        <v>1620</v>
      </c>
    </row>
    <row r="112" spans="1:5" x14ac:dyDescent="0.25">
      <c r="A112">
        <v>41</v>
      </c>
      <c r="B112" t="s">
        <v>1792</v>
      </c>
      <c r="C112" t="s">
        <v>1295</v>
      </c>
      <c r="D112" t="s">
        <v>15</v>
      </c>
      <c r="E112" t="s">
        <v>1620</v>
      </c>
    </row>
    <row r="113" spans="1:5" x14ac:dyDescent="0.25">
      <c r="A113">
        <v>43</v>
      </c>
      <c r="B113" t="s">
        <v>1793</v>
      </c>
      <c r="C113" t="s">
        <v>1794</v>
      </c>
      <c r="D113" t="s">
        <v>15</v>
      </c>
      <c r="E113" t="s">
        <v>1620</v>
      </c>
    </row>
    <row r="114" spans="1:5" x14ac:dyDescent="0.25">
      <c r="A114">
        <v>44</v>
      </c>
      <c r="B114" t="s">
        <v>1795</v>
      </c>
      <c r="C114" t="s">
        <v>1796</v>
      </c>
      <c r="D114" t="s">
        <v>15</v>
      </c>
      <c r="E114" t="s">
        <v>1620</v>
      </c>
    </row>
    <row r="115" spans="1:5" x14ac:dyDescent="0.25">
      <c r="A115">
        <v>45</v>
      </c>
      <c r="B115" t="s">
        <v>1797</v>
      </c>
      <c r="C115" t="s">
        <v>1798</v>
      </c>
      <c r="D115" t="s">
        <v>15</v>
      </c>
      <c r="E115" t="s">
        <v>1620</v>
      </c>
    </row>
    <row r="116" spans="1:5" x14ac:dyDescent="0.25">
      <c r="A116">
        <v>53</v>
      </c>
      <c r="B116" t="s">
        <v>1799</v>
      </c>
      <c r="C116" t="s">
        <v>1800</v>
      </c>
      <c r="D116" t="s">
        <v>15</v>
      </c>
      <c r="E116" t="s">
        <v>1620</v>
      </c>
    </row>
    <row r="117" spans="1:5" x14ac:dyDescent="0.25">
      <c r="A117">
        <v>54</v>
      </c>
      <c r="B117" t="s">
        <v>1801</v>
      </c>
      <c r="C117" t="s">
        <v>1295</v>
      </c>
      <c r="D117" t="s">
        <v>15</v>
      </c>
      <c r="E117" t="s">
        <v>1675</v>
      </c>
    </row>
    <row r="118" spans="1:5" x14ac:dyDescent="0.25">
      <c r="A118">
        <v>55</v>
      </c>
      <c r="B118" t="s">
        <v>1802</v>
      </c>
      <c r="C118" t="s">
        <v>1803</v>
      </c>
      <c r="D118" t="s">
        <v>15</v>
      </c>
      <c r="E118" t="s">
        <v>1675</v>
      </c>
    </row>
    <row r="119" spans="1:5" x14ac:dyDescent="0.25">
      <c r="A119">
        <v>56</v>
      </c>
      <c r="B119" t="s">
        <v>1804</v>
      </c>
      <c r="C119" t="s">
        <v>1803</v>
      </c>
      <c r="D119" t="s">
        <v>15</v>
      </c>
      <c r="E119" t="s">
        <v>1675</v>
      </c>
    </row>
    <row r="120" spans="1:5" x14ac:dyDescent="0.25">
      <c r="A120">
        <v>57</v>
      </c>
      <c r="B120" t="s">
        <v>1805</v>
      </c>
      <c r="C120" t="s">
        <v>1752</v>
      </c>
      <c r="D120" t="s">
        <v>15</v>
      </c>
      <c r="E120" t="s">
        <v>1675</v>
      </c>
    </row>
    <row r="121" spans="1:5" x14ac:dyDescent="0.25">
      <c r="A121">
        <v>58</v>
      </c>
      <c r="B121" t="s">
        <v>1806</v>
      </c>
      <c r="C121" t="s">
        <v>1807</v>
      </c>
      <c r="D121" t="s">
        <v>15</v>
      </c>
      <c r="E121" t="s">
        <v>1675</v>
      </c>
    </row>
    <row r="122" spans="1:5" x14ac:dyDescent="0.25">
      <c r="A122">
        <v>59</v>
      </c>
      <c r="B122" t="s">
        <v>1808</v>
      </c>
      <c r="C122" t="s">
        <v>1809</v>
      </c>
      <c r="D122" t="s">
        <v>15</v>
      </c>
      <c r="E122" t="s">
        <v>1675</v>
      </c>
    </row>
    <row r="123" spans="1:5" x14ac:dyDescent="0.25">
      <c r="A123">
        <v>60</v>
      </c>
      <c r="B123" t="s">
        <v>1810</v>
      </c>
      <c r="C123" t="s">
        <v>1809</v>
      </c>
      <c r="D123" t="s">
        <v>15</v>
      </c>
      <c r="E123" t="s">
        <v>1675</v>
      </c>
    </row>
    <row r="124" spans="1:5" x14ac:dyDescent="0.25">
      <c r="A124">
        <v>61</v>
      </c>
      <c r="B124" t="s">
        <v>1811</v>
      </c>
      <c r="C124" t="s">
        <v>1803</v>
      </c>
      <c r="D124" t="s">
        <v>15</v>
      </c>
      <c r="E124" t="s">
        <v>1675</v>
      </c>
    </row>
    <row r="125" spans="1:5" x14ac:dyDescent="0.25">
      <c r="A125">
        <v>62</v>
      </c>
      <c r="B125" t="s">
        <v>1812</v>
      </c>
      <c r="C125" t="s">
        <v>1803</v>
      </c>
      <c r="D125" t="s">
        <v>15</v>
      </c>
      <c r="E125" t="s">
        <v>1675</v>
      </c>
    </row>
    <row r="126" spans="1:5" x14ac:dyDescent="0.25">
      <c r="A126">
        <v>63</v>
      </c>
      <c r="B126" t="s">
        <v>1813</v>
      </c>
      <c r="C126" t="s">
        <v>1803</v>
      </c>
      <c r="D126" t="s">
        <v>15</v>
      </c>
      <c r="E126" t="s">
        <v>1675</v>
      </c>
    </row>
    <row r="127" spans="1:5" x14ac:dyDescent="0.25">
      <c r="A127">
        <v>64</v>
      </c>
      <c r="B127" t="s">
        <v>1814</v>
      </c>
      <c r="C127" t="s">
        <v>1803</v>
      </c>
      <c r="D127" t="s">
        <v>15</v>
      </c>
      <c r="E127" t="s">
        <v>1675</v>
      </c>
    </row>
    <row r="128" spans="1:5" x14ac:dyDescent="0.25">
      <c r="A128">
        <v>65</v>
      </c>
      <c r="B128" t="s">
        <v>1815</v>
      </c>
      <c r="C128" t="s">
        <v>1816</v>
      </c>
      <c r="D128" t="s">
        <v>15</v>
      </c>
      <c r="E128" t="s">
        <v>1675</v>
      </c>
    </row>
    <row r="129" spans="1:5" x14ac:dyDescent="0.25">
      <c r="A129">
        <v>66</v>
      </c>
      <c r="B129" t="s">
        <v>1817</v>
      </c>
      <c r="C129" t="s">
        <v>1803</v>
      </c>
      <c r="D129" t="s">
        <v>15</v>
      </c>
      <c r="E129" t="s">
        <v>1675</v>
      </c>
    </row>
    <row r="130" spans="1:5" x14ac:dyDescent="0.25">
      <c r="A130">
        <v>67</v>
      </c>
      <c r="B130" t="s">
        <v>1818</v>
      </c>
      <c r="C130" t="s">
        <v>1819</v>
      </c>
      <c r="D130" t="s">
        <v>15</v>
      </c>
      <c r="E130" t="s">
        <v>1675</v>
      </c>
    </row>
    <row r="131" spans="1:5" x14ac:dyDescent="0.25">
      <c r="A131">
        <v>68</v>
      </c>
      <c r="B131" t="s">
        <v>1820</v>
      </c>
      <c r="C131" t="s">
        <v>1760</v>
      </c>
      <c r="D131" t="s">
        <v>15</v>
      </c>
      <c r="E131" t="s">
        <v>1675</v>
      </c>
    </row>
    <row r="132" spans="1:5" x14ac:dyDescent="0.25">
      <c r="A132">
        <v>69</v>
      </c>
      <c r="B132" t="s">
        <v>1821</v>
      </c>
      <c r="C132" t="s">
        <v>1803</v>
      </c>
      <c r="D132" t="s">
        <v>15</v>
      </c>
      <c r="E132" t="s">
        <v>1675</v>
      </c>
    </row>
    <row r="133" spans="1:5" x14ac:dyDescent="0.25">
      <c r="A133">
        <v>70</v>
      </c>
      <c r="B133" t="s">
        <v>1822</v>
      </c>
      <c r="C133" t="s">
        <v>1823</v>
      </c>
      <c r="D133" t="s">
        <v>15</v>
      </c>
      <c r="E133" t="s">
        <v>1675</v>
      </c>
    </row>
    <row r="134" spans="1:5" x14ac:dyDescent="0.25">
      <c r="A134">
        <v>71</v>
      </c>
      <c r="B134" t="s">
        <v>1824</v>
      </c>
      <c r="C134" t="s">
        <v>1825</v>
      </c>
      <c r="D134" t="s">
        <v>15</v>
      </c>
      <c r="E134" t="s">
        <v>1675</v>
      </c>
    </row>
    <row r="135" spans="1:5" x14ac:dyDescent="0.25">
      <c r="A135">
        <v>72</v>
      </c>
      <c r="B135" t="s">
        <v>1826</v>
      </c>
      <c r="C135" t="s">
        <v>1803</v>
      </c>
      <c r="D135" t="s">
        <v>15</v>
      </c>
      <c r="E135" t="s">
        <v>1675</v>
      </c>
    </row>
    <row r="136" spans="1:5" x14ac:dyDescent="0.25">
      <c r="A136">
        <v>73</v>
      </c>
      <c r="B136" t="s">
        <v>1827</v>
      </c>
      <c r="C136" t="s">
        <v>1828</v>
      </c>
      <c r="D136" t="s">
        <v>15</v>
      </c>
      <c r="E136" t="s">
        <v>1622</v>
      </c>
    </row>
    <row r="137" spans="1:5" x14ac:dyDescent="0.25">
      <c r="A137">
        <v>74</v>
      </c>
      <c r="B137" t="s">
        <v>1829</v>
      </c>
      <c r="C137" t="s">
        <v>1803</v>
      </c>
      <c r="D137" t="s">
        <v>15</v>
      </c>
      <c r="E137" t="s">
        <v>1675</v>
      </c>
    </row>
    <row r="138" spans="1:5" x14ac:dyDescent="0.25">
      <c r="A138">
        <v>75</v>
      </c>
      <c r="B138" t="s">
        <v>1830</v>
      </c>
      <c r="C138" t="s">
        <v>1831</v>
      </c>
      <c r="D138" t="s">
        <v>15</v>
      </c>
      <c r="E138" t="s">
        <v>1675</v>
      </c>
    </row>
    <row r="139" spans="1:5" x14ac:dyDescent="0.25">
      <c r="A139">
        <v>76</v>
      </c>
      <c r="B139" t="s">
        <v>1832</v>
      </c>
      <c r="C139" t="s">
        <v>1831</v>
      </c>
      <c r="D139" t="s">
        <v>15</v>
      </c>
      <c r="E139" t="s">
        <v>1675</v>
      </c>
    </row>
    <row r="140" spans="1:5" x14ac:dyDescent="0.25">
      <c r="A140">
        <v>77</v>
      </c>
      <c r="B140" t="s">
        <v>1833</v>
      </c>
      <c r="C140" t="s">
        <v>1834</v>
      </c>
      <c r="D140" t="s">
        <v>15</v>
      </c>
      <c r="E140" t="s">
        <v>1624</v>
      </c>
    </row>
    <row r="141" spans="1:5" x14ac:dyDescent="0.25">
      <c r="A141">
        <v>78</v>
      </c>
      <c r="B141" t="s">
        <v>1835</v>
      </c>
      <c r="C141" t="s">
        <v>1708</v>
      </c>
      <c r="D141" t="s">
        <v>15</v>
      </c>
      <c r="E141" t="s">
        <v>1624</v>
      </c>
    </row>
    <row r="142" spans="1:5" x14ac:dyDescent="0.25">
      <c r="A142">
        <v>79</v>
      </c>
      <c r="B142" t="s">
        <v>1836</v>
      </c>
      <c r="C142" t="s">
        <v>1271</v>
      </c>
      <c r="D142" t="s">
        <v>15</v>
      </c>
      <c r="E142" t="s">
        <v>1624</v>
      </c>
    </row>
    <row r="143" spans="1:5" x14ac:dyDescent="0.25">
      <c r="A143">
        <v>80</v>
      </c>
      <c r="B143" t="s">
        <v>1837</v>
      </c>
      <c r="C143" t="s">
        <v>1838</v>
      </c>
      <c r="D143" t="s">
        <v>15</v>
      </c>
      <c r="E143" t="s">
        <v>1624</v>
      </c>
    </row>
    <row r="144" spans="1:5" x14ac:dyDescent="0.25">
      <c r="A144">
        <v>81</v>
      </c>
      <c r="B144" t="s">
        <v>1839</v>
      </c>
      <c r="C144" t="s">
        <v>1840</v>
      </c>
      <c r="D144" t="s">
        <v>15</v>
      </c>
      <c r="E144" t="s">
        <v>1624</v>
      </c>
    </row>
    <row r="145" spans="1:5" x14ac:dyDescent="0.25">
      <c r="A145">
        <v>82</v>
      </c>
      <c r="B145" t="s">
        <v>1841</v>
      </c>
      <c r="C145" t="s">
        <v>1842</v>
      </c>
      <c r="D145" t="s">
        <v>15</v>
      </c>
      <c r="E145" t="s">
        <v>1624</v>
      </c>
    </row>
    <row r="146" spans="1:5" x14ac:dyDescent="0.25">
      <c r="A146">
        <v>83</v>
      </c>
      <c r="B146" t="s">
        <v>1843</v>
      </c>
      <c r="C146" t="s">
        <v>1844</v>
      </c>
      <c r="D146" t="s">
        <v>15</v>
      </c>
      <c r="E146" t="s">
        <v>1624</v>
      </c>
    </row>
    <row r="147" spans="1:5" x14ac:dyDescent="0.25">
      <c r="A147">
        <v>84</v>
      </c>
      <c r="B147" t="s">
        <v>1845</v>
      </c>
      <c r="C147" t="s">
        <v>1846</v>
      </c>
      <c r="D147" t="s">
        <v>15</v>
      </c>
      <c r="E147" t="s">
        <v>1624</v>
      </c>
    </row>
    <row r="148" spans="1:5" x14ac:dyDescent="0.25">
      <c r="A148">
        <v>85</v>
      </c>
      <c r="B148" t="s">
        <v>1847</v>
      </c>
      <c r="C148" t="s">
        <v>1831</v>
      </c>
      <c r="D148" t="s">
        <v>15</v>
      </c>
      <c r="E148" t="s">
        <v>1624</v>
      </c>
    </row>
    <row r="149" spans="1:5" x14ac:dyDescent="0.25">
      <c r="A149">
        <v>86</v>
      </c>
      <c r="B149" t="s">
        <v>1848</v>
      </c>
      <c r="C149" t="s">
        <v>1849</v>
      </c>
      <c r="D149" t="s">
        <v>15</v>
      </c>
      <c r="E149" t="s">
        <v>1675</v>
      </c>
    </row>
    <row r="150" spans="1:5" x14ac:dyDescent="0.25">
      <c r="A150">
        <v>87</v>
      </c>
      <c r="B150" t="s">
        <v>1850</v>
      </c>
      <c r="C150" t="s">
        <v>1851</v>
      </c>
      <c r="D150" t="s">
        <v>15</v>
      </c>
      <c r="E150" t="s">
        <v>1675</v>
      </c>
    </row>
    <row r="151" spans="1:5" x14ac:dyDescent="0.25">
      <c r="A151">
        <v>88</v>
      </c>
      <c r="B151" t="s">
        <v>1852</v>
      </c>
      <c r="C151" t="s">
        <v>1851</v>
      </c>
      <c r="D151" t="s">
        <v>15</v>
      </c>
      <c r="E151" t="s">
        <v>1675</v>
      </c>
    </row>
    <row r="152" spans="1:5" x14ac:dyDescent="0.25">
      <c r="A152">
        <v>89</v>
      </c>
      <c r="B152" t="s">
        <v>1853</v>
      </c>
      <c r="C152" t="s">
        <v>1854</v>
      </c>
      <c r="D152" t="s">
        <v>15</v>
      </c>
      <c r="E152" t="s">
        <v>1675</v>
      </c>
    </row>
    <row r="153" spans="1:5" x14ac:dyDescent="0.25">
      <c r="A153">
        <v>90</v>
      </c>
      <c r="B153" t="s">
        <v>1855</v>
      </c>
      <c r="C153" t="s">
        <v>1856</v>
      </c>
      <c r="D153" t="s">
        <v>15</v>
      </c>
      <c r="E153" t="s">
        <v>1675</v>
      </c>
    </row>
    <row r="154" spans="1:5" x14ac:dyDescent="0.25">
      <c r="A154">
        <v>91</v>
      </c>
      <c r="B154" t="s">
        <v>1857</v>
      </c>
      <c r="C154" t="s">
        <v>1856</v>
      </c>
      <c r="D154" t="s">
        <v>15</v>
      </c>
      <c r="E154" t="s">
        <v>1675</v>
      </c>
    </row>
    <row r="155" spans="1:5" x14ac:dyDescent="0.25">
      <c r="A155">
        <v>100</v>
      </c>
      <c r="B155" t="s">
        <v>1858</v>
      </c>
      <c r="C155" t="s">
        <v>1725</v>
      </c>
      <c r="D155" t="s">
        <v>15</v>
      </c>
      <c r="E155" t="s">
        <v>1630</v>
      </c>
    </row>
    <row r="156" spans="1:5" x14ac:dyDescent="0.25">
      <c r="A156">
        <v>101</v>
      </c>
      <c r="B156" t="s">
        <v>1859</v>
      </c>
      <c r="C156" t="s">
        <v>1725</v>
      </c>
      <c r="D156" t="s">
        <v>15</v>
      </c>
      <c r="E156" t="s">
        <v>1630</v>
      </c>
    </row>
    <row r="157" spans="1:5" x14ac:dyDescent="0.25">
      <c r="A157">
        <v>102</v>
      </c>
      <c r="B157" t="s">
        <v>1860</v>
      </c>
      <c r="C157" t="s">
        <v>1861</v>
      </c>
      <c r="D157" t="s">
        <v>15</v>
      </c>
      <c r="E157" t="s">
        <v>1630</v>
      </c>
    </row>
    <row r="158" spans="1:5" x14ac:dyDescent="0.25">
      <c r="A158">
        <v>103</v>
      </c>
      <c r="B158" t="s">
        <v>1862</v>
      </c>
      <c r="C158" t="s">
        <v>1863</v>
      </c>
      <c r="D158" t="s">
        <v>15</v>
      </c>
      <c r="E158" t="s">
        <v>1630</v>
      </c>
    </row>
    <row r="159" spans="1:5" x14ac:dyDescent="0.25">
      <c r="A159">
        <v>104</v>
      </c>
      <c r="B159" t="s">
        <v>1864</v>
      </c>
      <c r="C159" t="s">
        <v>1865</v>
      </c>
      <c r="D159" t="s">
        <v>15</v>
      </c>
      <c r="E159" t="s">
        <v>1630</v>
      </c>
    </row>
    <row r="160" spans="1:5" x14ac:dyDescent="0.25">
      <c r="A160">
        <v>105</v>
      </c>
      <c r="B160" t="s">
        <v>1866</v>
      </c>
      <c r="C160" t="s">
        <v>1867</v>
      </c>
      <c r="D160" t="s">
        <v>15</v>
      </c>
      <c r="E160" t="s">
        <v>1630</v>
      </c>
    </row>
    <row r="161" spans="1:5" x14ac:dyDescent="0.25">
      <c r="A161">
        <v>106</v>
      </c>
      <c r="B161" t="s">
        <v>1868</v>
      </c>
      <c r="C161" t="s">
        <v>1869</v>
      </c>
      <c r="D161" t="s">
        <v>15</v>
      </c>
      <c r="E161" t="s">
        <v>1630</v>
      </c>
    </row>
    <row r="162" spans="1:5" x14ac:dyDescent="0.25">
      <c r="A162">
        <v>107</v>
      </c>
      <c r="B162" t="s">
        <v>1870</v>
      </c>
      <c r="C162" t="s">
        <v>1871</v>
      </c>
      <c r="D162" t="s">
        <v>15</v>
      </c>
      <c r="E162" t="s">
        <v>1630</v>
      </c>
    </row>
    <row r="163" spans="1:5" x14ac:dyDescent="0.25">
      <c r="A163">
        <v>108</v>
      </c>
      <c r="B163" t="s">
        <v>1872</v>
      </c>
      <c r="C163" t="s">
        <v>1873</v>
      </c>
      <c r="D163" t="s">
        <v>15</v>
      </c>
      <c r="E163" t="s">
        <v>1630</v>
      </c>
    </row>
    <row r="164" spans="1:5" x14ac:dyDescent="0.25">
      <c r="A164">
        <v>109</v>
      </c>
      <c r="B164" t="s">
        <v>1874</v>
      </c>
      <c r="C164" t="s">
        <v>1873</v>
      </c>
      <c r="D164" t="s">
        <v>15</v>
      </c>
      <c r="E164" t="s">
        <v>1630</v>
      </c>
    </row>
    <row r="165" spans="1:5" x14ac:dyDescent="0.25">
      <c r="A165">
        <v>110</v>
      </c>
      <c r="B165" t="s">
        <v>1875</v>
      </c>
      <c r="C165" t="s">
        <v>1876</v>
      </c>
      <c r="D165" t="s">
        <v>15</v>
      </c>
      <c r="E165" t="s">
        <v>1634</v>
      </c>
    </row>
    <row r="166" spans="1:5" x14ac:dyDescent="0.25">
      <c r="A166">
        <v>111</v>
      </c>
      <c r="B166" t="s">
        <v>1877</v>
      </c>
      <c r="C166" t="s">
        <v>1878</v>
      </c>
      <c r="D166" t="s">
        <v>15</v>
      </c>
      <c r="E166" t="s">
        <v>1634</v>
      </c>
    </row>
    <row r="167" spans="1:5" x14ac:dyDescent="0.25">
      <c r="A167">
        <v>112</v>
      </c>
      <c r="B167" t="s">
        <v>1879</v>
      </c>
      <c r="C167" t="s">
        <v>1880</v>
      </c>
      <c r="D167" t="s">
        <v>15</v>
      </c>
      <c r="E167" t="s">
        <v>1634</v>
      </c>
    </row>
    <row r="168" spans="1:5" x14ac:dyDescent="0.25">
      <c r="A168">
        <v>113</v>
      </c>
      <c r="B168" t="s">
        <v>1881</v>
      </c>
      <c r="C168" t="s">
        <v>1882</v>
      </c>
      <c r="D168" t="s">
        <v>15</v>
      </c>
      <c r="E168" t="s">
        <v>1634</v>
      </c>
    </row>
    <row r="169" spans="1:5" x14ac:dyDescent="0.25">
      <c r="A169">
        <v>114</v>
      </c>
      <c r="B169" t="s">
        <v>1883</v>
      </c>
      <c r="C169" t="s">
        <v>1884</v>
      </c>
      <c r="D169" t="s">
        <v>15</v>
      </c>
      <c r="E169" t="s">
        <v>1634</v>
      </c>
    </row>
    <row r="170" spans="1:5" x14ac:dyDescent="0.25">
      <c r="A170">
        <v>116</v>
      </c>
      <c r="B170" t="s">
        <v>1885</v>
      </c>
      <c r="C170" t="s">
        <v>1886</v>
      </c>
      <c r="D170" t="s">
        <v>15</v>
      </c>
      <c r="E170" t="s">
        <v>1639</v>
      </c>
    </row>
    <row r="171" spans="1:5" x14ac:dyDescent="0.25">
      <c r="A171">
        <v>117</v>
      </c>
      <c r="B171" t="s">
        <v>1887</v>
      </c>
      <c r="C171" t="s">
        <v>1888</v>
      </c>
      <c r="D171" t="s">
        <v>15</v>
      </c>
      <c r="E171" t="s">
        <v>1639</v>
      </c>
    </row>
    <row r="172" spans="1:5" x14ac:dyDescent="0.25">
      <c r="A172">
        <v>118</v>
      </c>
      <c r="B172" t="s">
        <v>1889</v>
      </c>
      <c r="C172" t="s">
        <v>1890</v>
      </c>
      <c r="D172" t="s">
        <v>15</v>
      </c>
      <c r="E172" t="s">
        <v>1639</v>
      </c>
    </row>
    <row r="173" spans="1:5" x14ac:dyDescent="0.25">
      <c r="A173">
        <v>119</v>
      </c>
      <c r="B173" t="s">
        <v>1891</v>
      </c>
      <c r="C173" t="s">
        <v>1892</v>
      </c>
      <c r="D173" t="s">
        <v>15</v>
      </c>
      <c r="E173" t="s">
        <v>1639</v>
      </c>
    </row>
    <row r="174" spans="1:5" x14ac:dyDescent="0.25">
      <c r="A174">
        <v>120</v>
      </c>
      <c r="B174" t="s">
        <v>1893</v>
      </c>
      <c r="C174" t="s">
        <v>1295</v>
      </c>
      <c r="D174" t="s">
        <v>15</v>
      </c>
      <c r="E174" t="s">
        <v>1639</v>
      </c>
    </row>
    <row r="175" spans="1:5" x14ac:dyDescent="0.25">
      <c r="A175">
        <v>121</v>
      </c>
      <c r="B175" t="s">
        <v>1894</v>
      </c>
      <c r="C175" t="s">
        <v>1895</v>
      </c>
      <c r="D175" t="s">
        <v>15</v>
      </c>
      <c r="E175" t="s">
        <v>1639</v>
      </c>
    </row>
    <row r="176" spans="1:5" x14ac:dyDescent="0.25">
      <c r="A176">
        <v>122</v>
      </c>
      <c r="B176" t="s">
        <v>1896</v>
      </c>
      <c r="C176" t="s">
        <v>1897</v>
      </c>
      <c r="D176" t="s">
        <v>15</v>
      </c>
      <c r="E176" t="s">
        <v>1639</v>
      </c>
    </row>
    <row r="177" spans="1:5" x14ac:dyDescent="0.25">
      <c r="A177">
        <v>123</v>
      </c>
      <c r="B177" t="s">
        <v>1898</v>
      </c>
      <c r="C177" t="s">
        <v>1899</v>
      </c>
      <c r="D177" t="s">
        <v>15</v>
      </c>
      <c r="E177" t="s">
        <v>1639</v>
      </c>
    </row>
    <row r="178" spans="1:5" x14ac:dyDescent="0.25">
      <c r="A178">
        <v>125</v>
      </c>
      <c r="B178" t="s">
        <v>1900</v>
      </c>
      <c r="C178" t="s">
        <v>1901</v>
      </c>
      <c r="D178" t="s">
        <v>15</v>
      </c>
      <c r="E178" t="s">
        <v>1639</v>
      </c>
    </row>
    <row r="179" spans="1:5" x14ac:dyDescent="0.25">
      <c r="A179">
        <v>126</v>
      </c>
      <c r="B179" t="s">
        <v>1902</v>
      </c>
      <c r="C179" t="s">
        <v>1903</v>
      </c>
      <c r="D179" t="s">
        <v>15</v>
      </c>
      <c r="E179" t="s">
        <v>1639</v>
      </c>
    </row>
    <row r="180" spans="1:5" x14ac:dyDescent="0.25">
      <c r="A180">
        <v>127</v>
      </c>
      <c r="B180" t="s">
        <v>1904</v>
      </c>
      <c r="C180" t="s">
        <v>1903</v>
      </c>
      <c r="D180" t="s">
        <v>15</v>
      </c>
      <c r="E180" t="s">
        <v>1639</v>
      </c>
    </row>
    <row r="181" spans="1:5" x14ac:dyDescent="0.25">
      <c r="A181">
        <v>128</v>
      </c>
      <c r="B181" t="s">
        <v>1905</v>
      </c>
      <c r="C181" t="s">
        <v>1906</v>
      </c>
      <c r="D181" t="s">
        <v>15</v>
      </c>
      <c r="E181" t="s">
        <v>1639</v>
      </c>
    </row>
    <row r="182" spans="1:5" x14ac:dyDescent="0.25">
      <c r="A182">
        <v>129</v>
      </c>
      <c r="B182" t="s">
        <v>1907</v>
      </c>
      <c r="C182" t="s">
        <v>1906</v>
      </c>
      <c r="D182" t="s">
        <v>15</v>
      </c>
      <c r="E182" t="s">
        <v>1639</v>
      </c>
    </row>
    <row r="183" spans="1:5" x14ac:dyDescent="0.25">
      <c r="A183">
        <v>130</v>
      </c>
      <c r="B183" t="s">
        <v>1908</v>
      </c>
      <c r="C183" t="s">
        <v>1909</v>
      </c>
      <c r="D183" t="s">
        <v>15</v>
      </c>
      <c r="E183" t="s">
        <v>1641</v>
      </c>
    </row>
    <row r="184" spans="1:5" x14ac:dyDescent="0.25">
      <c r="A184">
        <v>131</v>
      </c>
      <c r="B184" t="s">
        <v>1910</v>
      </c>
      <c r="C184" t="s">
        <v>1911</v>
      </c>
      <c r="D184" t="s">
        <v>15</v>
      </c>
      <c r="E184" t="s">
        <v>1641</v>
      </c>
    </row>
    <row r="185" spans="1:5" x14ac:dyDescent="0.25">
      <c r="A185">
        <v>132</v>
      </c>
      <c r="B185" t="s">
        <v>1912</v>
      </c>
      <c r="C185" t="s">
        <v>1913</v>
      </c>
      <c r="D185" t="s">
        <v>15</v>
      </c>
      <c r="E185" t="s">
        <v>1641</v>
      </c>
    </row>
    <row r="186" spans="1:5" x14ac:dyDescent="0.25">
      <c r="A186">
        <v>133</v>
      </c>
      <c r="B186" t="s">
        <v>1914</v>
      </c>
      <c r="C186" t="s">
        <v>1915</v>
      </c>
      <c r="D186" t="s">
        <v>15</v>
      </c>
      <c r="E186" t="s">
        <v>1641</v>
      </c>
    </row>
    <row r="187" spans="1:5" x14ac:dyDescent="0.25">
      <c r="A187">
        <v>134</v>
      </c>
      <c r="B187" t="s">
        <v>1916</v>
      </c>
      <c r="C187" t="s">
        <v>1917</v>
      </c>
      <c r="D187" t="s">
        <v>15</v>
      </c>
      <c r="E187" t="s">
        <v>1641</v>
      </c>
    </row>
    <row r="188" spans="1:5" x14ac:dyDescent="0.25">
      <c r="A188">
        <v>135</v>
      </c>
      <c r="B188" t="s">
        <v>1918</v>
      </c>
      <c r="C188" t="s">
        <v>1919</v>
      </c>
      <c r="D188" t="s">
        <v>15</v>
      </c>
      <c r="E188" t="s">
        <v>1641</v>
      </c>
    </row>
    <row r="189" spans="1:5" x14ac:dyDescent="0.25">
      <c r="A189">
        <v>144</v>
      </c>
      <c r="B189" t="s">
        <v>1920</v>
      </c>
      <c r="C189" t="s">
        <v>1921</v>
      </c>
      <c r="D189" t="s">
        <v>15</v>
      </c>
      <c r="E189" t="s">
        <v>1647</v>
      </c>
    </row>
    <row r="190" spans="1:5" x14ac:dyDescent="0.25">
      <c r="A190">
        <v>145</v>
      </c>
      <c r="B190" t="s">
        <v>1922</v>
      </c>
      <c r="C190" t="s">
        <v>1923</v>
      </c>
      <c r="D190" t="s">
        <v>15</v>
      </c>
      <c r="E190" t="s">
        <v>1647</v>
      </c>
    </row>
    <row r="191" spans="1:5" x14ac:dyDescent="0.25">
      <c r="A191">
        <v>146</v>
      </c>
      <c r="B191" t="s">
        <v>1924</v>
      </c>
      <c r="C191" t="s">
        <v>1925</v>
      </c>
      <c r="D191" t="s">
        <v>15</v>
      </c>
      <c r="E191" t="s">
        <v>1647</v>
      </c>
    </row>
    <row r="192" spans="1:5" x14ac:dyDescent="0.25">
      <c r="A192">
        <v>147</v>
      </c>
      <c r="B192" t="s">
        <v>1926</v>
      </c>
      <c r="C192" t="s">
        <v>1927</v>
      </c>
      <c r="D192" t="s">
        <v>15</v>
      </c>
      <c r="E192" t="s">
        <v>1647</v>
      </c>
    </row>
    <row r="193" spans="1:5" x14ac:dyDescent="0.25">
      <c r="A193">
        <v>148</v>
      </c>
      <c r="B193" t="s">
        <v>1928</v>
      </c>
      <c r="C193" t="s">
        <v>1929</v>
      </c>
      <c r="D193" t="s">
        <v>15</v>
      </c>
      <c r="E193" t="s">
        <v>1647</v>
      </c>
    </row>
    <row r="194" spans="1:5" x14ac:dyDescent="0.25">
      <c r="A194">
        <v>183</v>
      </c>
      <c r="B194" t="s">
        <v>1930</v>
      </c>
      <c r="C194" t="s">
        <v>1706</v>
      </c>
      <c r="D194" t="s">
        <v>15</v>
      </c>
      <c r="E194" t="s">
        <v>1651</v>
      </c>
    </row>
    <row r="195" spans="1:5" x14ac:dyDescent="0.25">
      <c r="A195">
        <v>184</v>
      </c>
      <c r="B195" t="s">
        <v>1931</v>
      </c>
      <c r="C195" t="s">
        <v>1708</v>
      </c>
      <c r="D195" t="s">
        <v>15</v>
      </c>
      <c r="E195" t="s">
        <v>1651</v>
      </c>
    </row>
    <row r="196" spans="1:5" x14ac:dyDescent="0.25">
      <c r="A196">
        <v>185</v>
      </c>
      <c r="B196" t="s">
        <v>1932</v>
      </c>
      <c r="C196" t="s">
        <v>1933</v>
      </c>
      <c r="D196" t="s">
        <v>15</v>
      </c>
      <c r="E196" t="s">
        <v>1651</v>
      </c>
    </row>
    <row r="197" spans="1:5" x14ac:dyDescent="0.25">
      <c r="A197">
        <v>186</v>
      </c>
      <c r="B197" t="s">
        <v>1934</v>
      </c>
      <c r="C197" t="s">
        <v>1935</v>
      </c>
      <c r="D197" t="s">
        <v>15</v>
      </c>
      <c r="E197" t="s">
        <v>1651</v>
      </c>
    </row>
    <row r="198" spans="1:5" x14ac:dyDescent="0.25">
      <c r="A198">
        <v>187</v>
      </c>
      <c r="B198" t="s">
        <v>1936</v>
      </c>
      <c r="C198" t="s">
        <v>1937</v>
      </c>
      <c r="D198" t="s">
        <v>15</v>
      </c>
      <c r="E198" t="s">
        <v>1651</v>
      </c>
    </row>
    <row r="199" spans="1:5" x14ac:dyDescent="0.25">
      <c r="A199">
        <v>188</v>
      </c>
      <c r="B199" t="s">
        <v>1938</v>
      </c>
      <c r="C199" t="s">
        <v>1939</v>
      </c>
      <c r="D199" t="s">
        <v>15</v>
      </c>
      <c r="E199" t="s">
        <v>1651</v>
      </c>
    </row>
    <row r="200" spans="1:5" x14ac:dyDescent="0.25">
      <c r="A200">
        <v>189</v>
      </c>
      <c r="B200" t="s">
        <v>1940</v>
      </c>
      <c r="C200" t="s">
        <v>1941</v>
      </c>
      <c r="D200" t="s">
        <v>15</v>
      </c>
      <c r="E200" t="s">
        <v>1651</v>
      </c>
    </row>
    <row r="201" spans="1:5" x14ac:dyDescent="0.25">
      <c r="A201">
        <v>190</v>
      </c>
      <c r="B201" t="s">
        <v>1942</v>
      </c>
      <c r="C201" t="s">
        <v>1943</v>
      </c>
      <c r="D201" t="s">
        <v>15</v>
      </c>
      <c r="E201" t="s">
        <v>1651</v>
      </c>
    </row>
    <row r="202" spans="1:5" x14ac:dyDescent="0.25">
      <c r="A202">
        <v>191</v>
      </c>
      <c r="B202" t="s">
        <v>1944</v>
      </c>
      <c r="C202" t="s">
        <v>1945</v>
      </c>
      <c r="D202" t="s">
        <v>15</v>
      </c>
      <c r="E202" t="s">
        <v>1651</v>
      </c>
    </row>
    <row r="203" spans="1:5" x14ac:dyDescent="0.25">
      <c r="A203">
        <v>205</v>
      </c>
      <c r="B203" t="s">
        <v>1946</v>
      </c>
      <c r="C203" t="s">
        <v>1856</v>
      </c>
      <c r="D203" t="s">
        <v>15</v>
      </c>
      <c r="E203" t="s">
        <v>1624</v>
      </c>
    </row>
    <row r="204" spans="1:5" x14ac:dyDescent="0.25">
      <c r="A204">
        <v>192</v>
      </c>
      <c r="B204" t="s">
        <v>2085</v>
      </c>
      <c r="C204" t="s">
        <v>2086</v>
      </c>
      <c r="D204" t="s">
        <v>21</v>
      </c>
      <c r="E204" t="s">
        <v>1489</v>
      </c>
    </row>
    <row r="205" spans="1:5" x14ac:dyDescent="0.25">
      <c r="A205">
        <v>193</v>
      </c>
      <c r="B205" t="s">
        <v>2087</v>
      </c>
      <c r="C205" t="s">
        <v>2088</v>
      </c>
      <c r="D205" t="s">
        <v>21</v>
      </c>
      <c r="E205" t="s">
        <v>1489</v>
      </c>
    </row>
    <row r="206" spans="1:5" x14ac:dyDescent="0.25">
      <c r="A206">
        <v>194</v>
      </c>
      <c r="B206" t="s">
        <v>2089</v>
      </c>
      <c r="C206" t="s">
        <v>2090</v>
      </c>
      <c r="D206" t="s">
        <v>21</v>
      </c>
      <c r="E206" t="s">
        <v>1489</v>
      </c>
    </row>
    <row r="207" spans="1:5" x14ac:dyDescent="0.25">
      <c r="A207">
        <v>195</v>
      </c>
      <c r="B207" t="s">
        <v>2091</v>
      </c>
      <c r="C207" t="s">
        <v>2092</v>
      </c>
      <c r="D207" t="s">
        <v>21</v>
      </c>
      <c r="E207" t="s">
        <v>1489</v>
      </c>
    </row>
    <row r="208" spans="1:5" x14ac:dyDescent="0.25">
      <c r="A208">
        <v>196</v>
      </c>
      <c r="B208" t="s">
        <v>2093</v>
      </c>
      <c r="C208" t="s">
        <v>2094</v>
      </c>
      <c r="D208" t="s">
        <v>21</v>
      </c>
      <c r="E208" t="s">
        <v>1489</v>
      </c>
    </row>
    <row r="209" spans="1:5" x14ac:dyDescent="0.25">
      <c r="A209">
        <v>197</v>
      </c>
      <c r="B209" t="s">
        <v>2095</v>
      </c>
      <c r="C209" t="s">
        <v>2096</v>
      </c>
      <c r="D209" t="s">
        <v>21</v>
      </c>
      <c r="E209" t="s">
        <v>1489</v>
      </c>
    </row>
    <row r="210" spans="1:5" x14ac:dyDescent="0.25">
      <c r="A210">
        <v>198</v>
      </c>
      <c r="B210" t="s">
        <v>2097</v>
      </c>
      <c r="C210" t="s">
        <v>2098</v>
      </c>
      <c r="D210" t="s">
        <v>21</v>
      </c>
      <c r="E210" t="s">
        <v>1489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I19" sqref="I19"/>
    </sheetView>
  </sheetViews>
  <sheetFormatPr defaultRowHeight="15" x14ac:dyDescent="0.25"/>
  <cols>
    <col min="1" max="1" width="9.42578125" bestFit="1" customWidth="1"/>
    <col min="2" max="2" width="39.140625" bestFit="1" customWidth="1"/>
    <col min="3" max="3" width="14.42578125" bestFit="1" customWidth="1"/>
    <col min="4" max="4" width="12.42578125" bestFit="1" customWidth="1"/>
    <col min="5" max="5" width="13.28515625" bestFit="1" customWidth="1"/>
    <col min="6" max="7" width="2.42578125" customWidth="1"/>
    <col min="8" max="8" width="9.42578125" bestFit="1" customWidth="1"/>
    <col min="9" max="9" width="39.28515625" bestFit="1" customWidth="1"/>
    <col min="10" max="10" width="23.7109375" bestFit="1" customWidth="1"/>
    <col min="11" max="11" width="9.85546875" bestFit="1" customWidth="1"/>
  </cols>
  <sheetData>
    <row r="1" spans="1:11" x14ac:dyDescent="0.25">
      <c r="A1" t="s">
        <v>1600</v>
      </c>
      <c r="B1" t="s">
        <v>1601</v>
      </c>
      <c r="C1" t="s">
        <v>1602</v>
      </c>
      <c r="D1" t="s">
        <v>1237</v>
      </c>
      <c r="E1" t="s">
        <v>1603</v>
      </c>
      <c r="H1" t="s">
        <v>1600</v>
      </c>
      <c r="I1" t="s">
        <v>1601</v>
      </c>
      <c r="J1" t="s">
        <v>1602</v>
      </c>
      <c r="K1" t="s">
        <v>1231</v>
      </c>
    </row>
    <row r="2" spans="1:11" x14ac:dyDescent="0.25">
      <c r="A2">
        <v>1</v>
      </c>
      <c r="B2" t="s">
        <v>1494</v>
      </c>
      <c r="C2" t="s">
        <v>1604</v>
      </c>
      <c r="D2" t="s">
        <v>1604</v>
      </c>
      <c r="E2" t="s">
        <v>15</v>
      </c>
      <c r="H2">
        <v>32</v>
      </c>
      <c r="I2" t="s">
        <v>1657</v>
      </c>
      <c r="J2" t="s">
        <v>1658</v>
      </c>
      <c r="K2" t="s">
        <v>1295</v>
      </c>
    </row>
    <row r="3" spans="1:11" x14ac:dyDescent="0.25">
      <c r="A3">
        <v>4</v>
      </c>
      <c r="B3" t="s">
        <v>1606</v>
      </c>
      <c r="C3" t="s">
        <v>1607</v>
      </c>
      <c r="D3" t="s">
        <v>1604</v>
      </c>
      <c r="E3" t="s">
        <v>15</v>
      </c>
      <c r="H3">
        <v>33</v>
      </c>
      <c r="I3" t="s">
        <v>1659</v>
      </c>
      <c r="J3" t="s">
        <v>1660</v>
      </c>
      <c r="K3" t="s">
        <v>1295</v>
      </c>
    </row>
    <row r="4" spans="1:11" x14ac:dyDescent="0.25">
      <c r="A4">
        <v>7</v>
      </c>
      <c r="B4" t="s">
        <v>1490</v>
      </c>
      <c r="C4" t="s">
        <v>1612</v>
      </c>
      <c r="D4" t="s">
        <v>1604</v>
      </c>
      <c r="E4" t="s">
        <v>15</v>
      </c>
      <c r="H4">
        <v>34</v>
      </c>
      <c r="I4" t="s">
        <v>1661</v>
      </c>
      <c r="J4" t="s">
        <v>1662</v>
      </c>
      <c r="K4" t="s">
        <v>1295</v>
      </c>
    </row>
    <row r="5" spans="1:11" x14ac:dyDescent="0.25">
      <c r="A5">
        <v>9</v>
      </c>
      <c r="B5" t="s">
        <v>1615</v>
      </c>
      <c r="C5" t="s">
        <v>1616</v>
      </c>
      <c r="D5" t="s">
        <v>1604</v>
      </c>
      <c r="E5" t="s">
        <v>15</v>
      </c>
      <c r="H5">
        <v>35</v>
      </c>
      <c r="I5" t="s">
        <v>1663</v>
      </c>
      <c r="J5" t="s">
        <v>1664</v>
      </c>
      <c r="K5" t="s">
        <v>1295</v>
      </c>
    </row>
    <row r="6" spans="1:11" x14ac:dyDescent="0.25">
      <c r="A6">
        <v>11</v>
      </c>
      <c r="B6" t="s">
        <v>1619</v>
      </c>
      <c r="C6" t="s">
        <v>1620</v>
      </c>
      <c r="D6" t="s">
        <v>1604</v>
      </c>
      <c r="E6" t="s">
        <v>15</v>
      </c>
      <c r="H6">
        <v>36</v>
      </c>
      <c r="I6" t="s">
        <v>1665</v>
      </c>
      <c r="J6" t="s">
        <v>1666</v>
      </c>
      <c r="K6" t="s">
        <v>1295</v>
      </c>
    </row>
    <row r="7" spans="1:11" x14ac:dyDescent="0.25">
      <c r="A7">
        <v>12</v>
      </c>
      <c r="B7" t="s">
        <v>1621</v>
      </c>
      <c r="C7" t="s">
        <v>1622</v>
      </c>
      <c r="D7" t="s">
        <v>1604</v>
      </c>
      <c r="E7" t="s">
        <v>15</v>
      </c>
      <c r="H7">
        <v>39</v>
      </c>
      <c r="I7" t="s">
        <v>1667</v>
      </c>
      <c r="J7" t="s">
        <v>1668</v>
      </c>
      <c r="K7" t="s">
        <v>1295</v>
      </c>
    </row>
    <row r="8" spans="1:11" x14ac:dyDescent="0.25">
      <c r="A8">
        <v>13</v>
      </c>
      <c r="B8" t="s">
        <v>1623</v>
      </c>
      <c r="C8" t="s">
        <v>1624</v>
      </c>
      <c r="D8" t="s">
        <v>1604</v>
      </c>
      <c r="E8" t="s">
        <v>15</v>
      </c>
      <c r="H8">
        <v>41</v>
      </c>
      <c r="I8" t="s">
        <v>1669</v>
      </c>
      <c r="J8" t="s">
        <v>1670</v>
      </c>
      <c r="K8" t="s">
        <v>1295</v>
      </c>
    </row>
    <row r="9" spans="1:11" x14ac:dyDescent="0.25">
      <c r="A9">
        <v>14</v>
      </c>
      <c r="B9" t="s">
        <v>1625</v>
      </c>
      <c r="C9" t="s">
        <v>1626</v>
      </c>
      <c r="D9" t="s">
        <v>1604</v>
      </c>
      <c r="E9" t="s">
        <v>15</v>
      </c>
      <c r="H9">
        <v>42</v>
      </c>
      <c r="I9" t="s">
        <v>1671</v>
      </c>
      <c r="J9" t="s">
        <v>1672</v>
      </c>
      <c r="K9" t="s">
        <v>1295</v>
      </c>
    </row>
    <row r="10" spans="1:11" x14ac:dyDescent="0.25">
      <c r="A10">
        <v>16</v>
      </c>
      <c r="B10" t="s">
        <v>1629</v>
      </c>
      <c r="C10" t="s">
        <v>1630</v>
      </c>
      <c r="D10" t="s">
        <v>1604</v>
      </c>
      <c r="E10" t="s">
        <v>15</v>
      </c>
      <c r="H10">
        <v>43</v>
      </c>
      <c r="I10" t="s">
        <v>1519</v>
      </c>
      <c r="J10" t="s">
        <v>1673</v>
      </c>
      <c r="K10" t="s">
        <v>1295</v>
      </c>
    </row>
    <row r="11" spans="1:11" x14ac:dyDescent="0.25">
      <c r="A11">
        <v>19</v>
      </c>
      <c r="B11" t="s">
        <v>1633</v>
      </c>
      <c r="C11" t="s">
        <v>1634</v>
      </c>
      <c r="D11" t="s">
        <v>1604</v>
      </c>
      <c r="E11" t="s">
        <v>15</v>
      </c>
      <c r="H11">
        <v>48</v>
      </c>
      <c r="I11" t="s">
        <v>1680</v>
      </c>
      <c r="J11" t="s">
        <v>1681</v>
      </c>
      <c r="K11" t="s">
        <v>1313</v>
      </c>
    </row>
    <row r="12" spans="1:11" x14ac:dyDescent="0.25">
      <c r="A12">
        <v>20</v>
      </c>
      <c r="B12" t="s">
        <v>1518</v>
      </c>
      <c r="C12" t="s">
        <v>1635</v>
      </c>
      <c r="D12" t="s">
        <v>1604</v>
      </c>
      <c r="E12" t="s">
        <v>15</v>
      </c>
      <c r="H12">
        <v>49</v>
      </c>
      <c r="I12" t="s">
        <v>1682</v>
      </c>
      <c r="J12" t="s">
        <v>1683</v>
      </c>
      <c r="K12" t="s">
        <v>1313</v>
      </c>
    </row>
    <row r="13" spans="1:11" x14ac:dyDescent="0.25">
      <c r="A13">
        <v>22</v>
      </c>
      <c r="B13" t="s">
        <v>1638</v>
      </c>
      <c r="C13" t="s">
        <v>1639</v>
      </c>
      <c r="D13" t="s">
        <v>1604</v>
      </c>
      <c r="E13" t="s">
        <v>15</v>
      </c>
      <c r="H13">
        <v>50</v>
      </c>
      <c r="I13" t="s">
        <v>1684</v>
      </c>
      <c r="J13" t="s">
        <v>1685</v>
      </c>
      <c r="K13" t="s">
        <v>1313</v>
      </c>
    </row>
    <row r="14" spans="1:11" x14ac:dyDescent="0.25">
      <c r="A14">
        <v>23</v>
      </c>
      <c r="B14" t="s">
        <v>1640</v>
      </c>
      <c r="C14" t="s">
        <v>1641</v>
      </c>
      <c r="D14" t="s">
        <v>1604</v>
      </c>
      <c r="E14" t="s">
        <v>15</v>
      </c>
      <c r="H14">
        <v>51</v>
      </c>
      <c r="I14" t="s">
        <v>1686</v>
      </c>
      <c r="J14" t="s">
        <v>1687</v>
      </c>
      <c r="K14" t="s">
        <v>1313</v>
      </c>
    </row>
    <row r="15" spans="1:11" x14ac:dyDescent="0.25">
      <c r="A15">
        <v>24</v>
      </c>
      <c r="B15" t="s">
        <v>1642</v>
      </c>
      <c r="C15" t="s">
        <v>1643</v>
      </c>
      <c r="D15" t="s">
        <v>1604</v>
      </c>
      <c r="E15" t="s">
        <v>15</v>
      </c>
      <c r="H15">
        <v>52</v>
      </c>
      <c r="I15" t="s">
        <v>1688</v>
      </c>
      <c r="J15" t="s">
        <v>1689</v>
      </c>
      <c r="K15" t="s">
        <v>1313</v>
      </c>
    </row>
    <row r="16" spans="1:11" x14ac:dyDescent="0.25">
      <c r="A16">
        <v>26</v>
      </c>
      <c r="B16" t="s">
        <v>1646</v>
      </c>
      <c r="C16" t="s">
        <v>1647</v>
      </c>
      <c r="D16" t="s">
        <v>1604</v>
      </c>
      <c r="E16" t="s">
        <v>15</v>
      </c>
      <c r="H16">
        <v>53</v>
      </c>
      <c r="I16" t="s">
        <v>1690</v>
      </c>
      <c r="J16" t="s">
        <v>1691</v>
      </c>
      <c r="K16" t="s">
        <v>1313</v>
      </c>
    </row>
    <row r="17" spans="1:11" x14ac:dyDescent="0.25">
      <c r="A17">
        <v>28</v>
      </c>
      <c r="B17" t="s">
        <v>1650</v>
      </c>
      <c r="C17" t="s">
        <v>1651</v>
      </c>
      <c r="D17" t="s">
        <v>1604</v>
      </c>
      <c r="E17" t="s">
        <v>15</v>
      </c>
      <c r="H17">
        <v>54</v>
      </c>
      <c r="I17" t="s">
        <v>1692</v>
      </c>
      <c r="J17" t="s">
        <v>1693</v>
      </c>
      <c r="K17" t="s">
        <v>1287</v>
      </c>
    </row>
    <row r="18" spans="1:11" x14ac:dyDescent="0.25">
      <c r="A18">
        <v>44</v>
      </c>
      <c r="B18" t="s">
        <v>1674</v>
      </c>
      <c r="C18" t="s">
        <v>1675</v>
      </c>
      <c r="D18" t="s">
        <v>1604</v>
      </c>
      <c r="E18" t="s">
        <v>15</v>
      </c>
      <c r="H18">
        <v>55</v>
      </c>
      <c r="I18" t="s">
        <v>1694</v>
      </c>
      <c r="J18" t="s">
        <v>1695</v>
      </c>
      <c r="K18" t="s">
        <v>1287</v>
      </c>
    </row>
    <row r="19" spans="1:11" x14ac:dyDescent="0.25">
      <c r="A19">
        <v>45</v>
      </c>
      <c r="B19" t="s">
        <v>1676</v>
      </c>
      <c r="C19" t="s">
        <v>1677</v>
      </c>
      <c r="D19" t="s">
        <v>1604</v>
      </c>
      <c r="E19" t="s">
        <v>15</v>
      </c>
      <c r="H19">
        <v>56</v>
      </c>
      <c r="I19" t="s">
        <v>1696</v>
      </c>
      <c r="J19" t="s">
        <v>1697</v>
      </c>
      <c r="K19" t="s">
        <v>1287</v>
      </c>
    </row>
    <row r="20" spans="1:11" x14ac:dyDescent="0.25">
      <c r="A20">
        <v>46</v>
      </c>
      <c r="B20" t="s">
        <v>1678</v>
      </c>
      <c r="C20" t="s">
        <v>1679</v>
      </c>
      <c r="D20" t="s">
        <v>1604</v>
      </c>
      <c r="E20" t="s">
        <v>15</v>
      </c>
      <c r="H20">
        <v>57</v>
      </c>
      <c r="I20" t="s">
        <v>1698</v>
      </c>
      <c r="J20" t="s">
        <v>1699</v>
      </c>
      <c r="K20" t="s">
        <v>1287</v>
      </c>
    </row>
    <row r="21" spans="1:11" x14ac:dyDescent="0.25">
      <c r="A21">
        <v>2</v>
      </c>
      <c r="B21" t="s">
        <v>1499</v>
      </c>
      <c r="C21" t="s">
        <v>1605</v>
      </c>
      <c r="D21" t="s">
        <v>1604</v>
      </c>
      <c r="E21" t="s">
        <v>16</v>
      </c>
      <c r="H21">
        <v>58</v>
      </c>
      <c r="I21" t="s">
        <v>1700</v>
      </c>
      <c r="J21" t="s">
        <v>1701</v>
      </c>
      <c r="K21" t="s">
        <v>1287</v>
      </c>
    </row>
    <row r="22" spans="1:11" x14ac:dyDescent="0.25">
      <c r="A22">
        <v>5</v>
      </c>
      <c r="B22" t="s">
        <v>1608</v>
      </c>
      <c r="C22" t="s">
        <v>1609</v>
      </c>
      <c r="D22" t="s">
        <v>1604</v>
      </c>
      <c r="E22" t="s">
        <v>16</v>
      </c>
      <c r="H22">
        <v>59</v>
      </c>
      <c r="I22" t="s">
        <v>1702</v>
      </c>
      <c r="J22" t="s">
        <v>1703</v>
      </c>
      <c r="K22" t="s">
        <v>1287</v>
      </c>
    </row>
    <row r="23" spans="1:11" x14ac:dyDescent="0.25">
      <c r="A23">
        <v>6</v>
      </c>
      <c r="B23" t="s">
        <v>1610</v>
      </c>
      <c r="C23" t="s">
        <v>1611</v>
      </c>
      <c r="D23" t="s">
        <v>1604</v>
      </c>
      <c r="E23" t="s">
        <v>16</v>
      </c>
      <c r="H23">
        <v>60</v>
      </c>
      <c r="I23" t="s">
        <v>1704</v>
      </c>
      <c r="J23" t="s">
        <v>1705</v>
      </c>
      <c r="K23" t="s">
        <v>1271</v>
      </c>
    </row>
    <row r="24" spans="1:11" x14ac:dyDescent="0.25">
      <c r="A24">
        <v>8</v>
      </c>
      <c r="B24" t="s">
        <v>1613</v>
      </c>
      <c r="C24" t="s">
        <v>1614</v>
      </c>
      <c r="D24" t="s">
        <v>1604</v>
      </c>
      <c r="E24" t="s">
        <v>16</v>
      </c>
      <c r="H24">
        <v>61</v>
      </c>
      <c r="I24" t="s">
        <v>1706</v>
      </c>
      <c r="J24" t="s">
        <v>1707</v>
      </c>
      <c r="K24" t="s">
        <v>1271</v>
      </c>
    </row>
    <row r="25" spans="1:11" x14ac:dyDescent="0.25">
      <c r="A25">
        <v>10</v>
      </c>
      <c r="B25" t="s">
        <v>1617</v>
      </c>
      <c r="C25" t="s">
        <v>1618</v>
      </c>
      <c r="D25" t="s">
        <v>1604</v>
      </c>
      <c r="E25" t="s">
        <v>16</v>
      </c>
      <c r="H25">
        <v>62</v>
      </c>
      <c r="I25" t="s">
        <v>1708</v>
      </c>
      <c r="J25" t="s">
        <v>1709</v>
      </c>
      <c r="K25" t="s">
        <v>1271</v>
      </c>
    </row>
    <row r="26" spans="1:11" x14ac:dyDescent="0.25">
      <c r="A26">
        <v>15</v>
      </c>
      <c r="B26" t="s">
        <v>1627</v>
      </c>
      <c r="C26" t="s">
        <v>1628</v>
      </c>
      <c r="D26" t="s">
        <v>1604</v>
      </c>
      <c r="E26" t="s">
        <v>16</v>
      </c>
      <c r="H26">
        <v>63</v>
      </c>
      <c r="I26" t="s">
        <v>1710</v>
      </c>
      <c r="J26" t="s">
        <v>1711</v>
      </c>
      <c r="K26" t="s">
        <v>1271</v>
      </c>
    </row>
    <row r="27" spans="1:11" x14ac:dyDescent="0.25">
      <c r="A27">
        <v>18</v>
      </c>
      <c r="B27" t="s">
        <v>1631</v>
      </c>
      <c r="C27" t="s">
        <v>1632</v>
      </c>
      <c r="D27" t="s">
        <v>1604</v>
      </c>
      <c r="E27" t="s">
        <v>16</v>
      </c>
      <c r="H27">
        <v>64</v>
      </c>
      <c r="I27" t="s">
        <v>1712</v>
      </c>
      <c r="J27" t="s">
        <v>1713</v>
      </c>
      <c r="K27" t="s">
        <v>1271</v>
      </c>
    </row>
    <row r="28" spans="1:11" x14ac:dyDescent="0.25">
      <c r="A28">
        <v>21</v>
      </c>
      <c r="B28" t="s">
        <v>1636</v>
      </c>
      <c r="C28" t="s">
        <v>1637</v>
      </c>
      <c r="D28" t="s">
        <v>1604</v>
      </c>
      <c r="E28" t="s">
        <v>16</v>
      </c>
      <c r="H28">
        <v>65</v>
      </c>
      <c r="I28" t="s">
        <v>1714</v>
      </c>
      <c r="J28" t="s">
        <v>1715</v>
      </c>
      <c r="K28" t="s">
        <v>1271</v>
      </c>
    </row>
    <row r="29" spans="1:11" x14ac:dyDescent="0.25">
      <c r="A29">
        <v>25</v>
      </c>
      <c r="B29" t="s">
        <v>1644</v>
      </c>
      <c r="C29" t="s">
        <v>1645</v>
      </c>
      <c r="D29" t="s">
        <v>1604</v>
      </c>
      <c r="E29" t="s">
        <v>16</v>
      </c>
    </row>
    <row r="30" spans="1:11" x14ac:dyDescent="0.25">
      <c r="A30">
        <v>27</v>
      </c>
      <c r="B30" t="s">
        <v>1648</v>
      </c>
      <c r="C30" t="s">
        <v>1649</v>
      </c>
      <c r="D30" t="s">
        <v>1604</v>
      </c>
      <c r="E30" t="s">
        <v>16</v>
      </c>
    </row>
    <row r="31" spans="1:11" x14ac:dyDescent="0.25">
      <c r="A31">
        <v>29</v>
      </c>
      <c r="B31" t="s">
        <v>1652</v>
      </c>
      <c r="C31" t="s">
        <v>1653</v>
      </c>
      <c r="D31" t="s">
        <v>1604</v>
      </c>
      <c r="E31" t="s">
        <v>16</v>
      </c>
    </row>
    <row r="32" spans="1:11" x14ac:dyDescent="0.25">
      <c r="A32">
        <v>30</v>
      </c>
      <c r="B32" t="s">
        <v>1348</v>
      </c>
      <c r="C32" t="s">
        <v>1654</v>
      </c>
      <c r="D32" t="s">
        <v>1604</v>
      </c>
      <c r="E32" t="s">
        <v>16</v>
      </c>
    </row>
    <row r="33" spans="1:5" x14ac:dyDescent="0.25">
      <c r="A33">
        <v>31</v>
      </c>
      <c r="B33" t="s">
        <v>1655</v>
      </c>
      <c r="C33" t="s">
        <v>1656</v>
      </c>
      <c r="D33" t="s">
        <v>1604</v>
      </c>
      <c r="E33" t="s">
        <v>16</v>
      </c>
    </row>
    <row r="34" spans="1:5" x14ac:dyDescent="0.25">
      <c r="A34">
        <v>66</v>
      </c>
      <c r="B34" t="s">
        <v>1716</v>
      </c>
      <c r="C34" t="s">
        <v>1717</v>
      </c>
      <c r="D34" t="s">
        <v>1604</v>
      </c>
      <c r="E34" t="s">
        <v>16</v>
      </c>
    </row>
    <row r="35" spans="1:5" x14ac:dyDescent="0.25">
      <c r="A35">
        <v>100</v>
      </c>
      <c r="B35" t="s">
        <v>1718</v>
      </c>
      <c r="C35" t="s">
        <v>1719</v>
      </c>
      <c r="D35" t="s">
        <v>1604</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5" x14ac:dyDescent="0.25"/>
  <cols>
    <col min="1" max="1" width="5.28515625" bestFit="1" customWidth="1"/>
    <col min="2" max="2" width="58.85546875" bestFit="1" customWidth="1"/>
    <col min="3" max="3" width="255.42578125" bestFit="1" customWidth="1"/>
  </cols>
  <sheetData>
    <row r="1" spans="1:30" x14ac:dyDescent="0.25">
      <c r="A1" t="s">
        <v>188</v>
      </c>
      <c r="B1" t="s">
        <v>2224</v>
      </c>
      <c r="C1" t="s">
        <v>2225</v>
      </c>
    </row>
    <row r="2" spans="1:30" ht="75" x14ac:dyDescent="0.25">
      <c r="A2">
        <v>1</v>
      </c>
      <c r="B2" t="s">
        <v>2226</v>
      </c>
      <c r="C2" s="15" t="s">
        <v>2227</v>
      </c>
      <c r="AD2" t="s">
        <v>2228</v>
      </c>
    </row>
    <row r="3" spans="1:30" ht="105" x14ac:dyDescent="0.25">
      <c r="A3">
        <v>2</v>
      </c>
      <c r="B3" t="s">
        <v>2229</v>
      </c>
      <c r="C3" s="15" t="s">
        <v>2230</v>
      </c>
    </row>
    <row r="4" spans="1:30" ht="150" x14ac:dyDescent="0.25">
      <c r="A4">
        <v>3</v>
      </c>
      <c r="B4" t="s">
        <v>2231</v>
      </c>
      <c r="C4" s="15" t="s">
        <v>2232</v>
      </c>
    </row>
    <row r="5" spans="1:30" ht="45" x14ac:dyDescent="0.25">
      <c r="A5">
        <v>4</v>
      </c>
      <c r="B5" t="s">
        <v>2233</v>
      </c>
      <c r="C5" s="15" t="s">
        <v>2234</v>
      </c>
    </row>
    <row r="6" spans="1:30" ht="330" x14ac:dyDescent="0.25">
      <c r="A6">
        <v>5</v>
      </c>
      <c r="B6" t="s">
        <v>2235</v>
      </c>
      <c r="C6" s="15" t="s">
        <v>2236</v>
      </c>
    </row>
    <row r="7" spans="1:30" ht="210" x14ac:dyDescent="0.25">
      <c r="A7">
        <v>6</v>
      </c>
      <c r="B7" t="s">
        <v>2237</v>
      </c>
      <c r="C7" s="15" t="s">
        <v>2238</v>
      </c>
    </row>
    <row r="8" spans="1:30" ht="180" x14ac:dyDescent="0.25">
      <c r="A8">
        <v>7</v>
      </c>
      <c r="B8" t="s">
        <v>2239</v>
      </c>
      <c r="C8" s="15" t="s">
        <v>2240</v>
      </c>
    </row>
    <row r="9" spans="1:30" ht="225" x14ac:dyDescent="0.25">
      <c r="A9">
        <v>8</v>
      </c>
      <c r="B9" t="s">
        <v>2241</v>
      </c>
      <c r="C9" s="15" t="s">
        <v>2242</v>
      </c>
    </row>
    <row r="10" spans="1:30" ht="210" x14ac:dyDescent="0.25">
      <c r="A10">
        <v>9</v>
      </c>
      <c r="B10" t="s">
        <v>2243</v>
      </c>
      <c r="C10" s="15" t="s">
        <v>2244</v>
      </c>
    </row>
    <row r="11" spans="1:30" ht="150" x14ac:dyDescent="0.25">
      <c r="A11">
        <v>10</v>
      </c>
      <c r="B11" t="s">
        <v>2245</v>
      </c>
      <c r="C11" s="15" t="s">
        <v>2246</v>
      </c>
    </row>
    <row r="12" spans="1:30" ht="195" x14ac:dyDescent="0.25">
      <c r="A12">
        <v>11</v>
      </c>
      <c r="B12" t="s">
        <v>2247</v>
      </c>
      <c r="C12" s="15" t="s">
        <v>2248</v>
      </c>
    </row>
    <row r="13" spans="1:30" ht="300" x14ac:dyDescent="0.25">
      <c r="A13">
        <v>12</v>
      </c>
      <c r="B13" t="s">
        <v>2249</v>
      </c>
      <c r="C13" s="15" t="s">
        <v>2250</v>
      </c>
    </row>
    <row r="14" spans="1:30" ht="180" x14ac:dyDescent="0.25">
      <c r="A14">
        <v>13</v>
      </c>
      <c r="B14" t="s">
        <v>2251</v>
      </c>
      <c r="C14" s="15" t="s">
        <v>2252</v>
      </c>
    </row>
    <row r="15" spans="1:30" ht="210" x14ac:dyDescent="0.25">
      <c r="A15">
        <v>14</v>
      </c>
      <c r="B15" t="s">
        <v>2253</v>
      </c>
      <c r="C15" s="15" t="s">
        <v>2254</v>
      </c>
    </row>
    <row r="16" spans="1:30" ht="315" x14ac:dyDescent="0.25">
      <c r="A16">
        <v>15</v>
      </c>
      <c r="B16" t="s">
        <v>2255</v>
      </c>
      <c r="C16" s="15" t="s">
        <v>2256</v>
      </c>
    </row>
    <row r="17" spans="1:3" ht="210" x14ac:dyDescent="0.25">
      <c r="A17">
        <v>16</v>
      </c>
      <c r="B17" t="s">
        <v>2257</v>
      </c>
      <c r="C17" s="15" t="s">
        <v>2258</v>
      </c>
    </row>
    <row r="18" spans="1:3" ht="180" x14ac:dyDescent="0.25">
      <c r="A18">
        <v>17</v>
      </c>
      <c r="B18" t="s">
        <v>2259</v>
      </c>
      <c r="C18" s="15" t="s">
        <v>2260</v>
      </c>
    </row>
    <row r="19" spans="1:3" ht="135" x14ac:dyDescent="0.25">
      <c r="A19">
        <v>18</v>
      </c>
      <c r="B19" t="s">
        <v>2261</v>
      </c>
      <c r="C19" s="15" t="s">
        <v>2262</v>
      </c>
    </row>
    <row r="20" spans="1:3" ht="120" x14ac:dyDescent="0.25">
      <c r="A20">
        <v>19</v>
      </c>
      <c r="B20" t="s">
        <v>2263</v>
      </c>
      <c r="C20" s="15" t="s">
        <v>2264</v>
      </c>
    </row>
    <row r="21" spans="1:3" ht="240" x14ac:dyDescent="0.25">
      <c r="A21">
        <v>20</v>
      </c>
      <c r="B21" t="s">
        <v>2265</v>
      </c>
      <c r="C21" s="15" t="s">
        <v>2266</v>
      </c>
    </row>
    <row r="22" spans="1:3" ht="60" x14ac:dyDescent="0.25">
      <c r="A22">
        <v>21</v>
      </c>
      <c r="B22" t="s">
        <v>2267</v>
      </c>
      <c r="C22" s="15" t="s">
        <v>2268</v>
      </c>
    </row>
    <row r="23" spans="1:3" ht="90" x14ac:dyDescent="0.25">
      <c r="A23">
        <v>22</v>
      </c>
      <c r="B23" t="s">
        <v>2269</v>
      </c>
      <c r="C23" s="15" t="s">
        <v>2270</v>
      </c>
    </row>
    <row r="24" spans="1:3" ht="165" x14ac:dyDescent="0.25">
      <c r="A24">
        <v>23</v>
      </c>
      <c r="B24" t="s">
        <v>2271</v>
      </c>
      <c r="C24" s="15" t="s">
        <v>2272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B9" sqref="B9"/>
    </sheetView>
  </sheetViews>
  <sheetFormatPr defaultColWidth="8.85546875" defaultRowHeight="15" x14ac:dyDescent="0.25"/>
  <cols>
    <col min="1" max="1" width="5.42578125" bestFit="1" customWidth="1"/>
    <col min="2" max="2" width="34.42578125" bestFit="1" customWidth="1"/>
    <col min="3" max="3" width="23.5703125" bestFit="1" customWidth="1"/>
  </cols>
  <sheetData>
    <row r="1" spans="1:3" x14ac:dyDescent="0.25">
      <c r="A1" t="s">
        <v>188</v>
      </c>
      <c r="B1" t="s">
        <v>189</v>
      </c>
      <c r="C1" t="s">
        <v>190</v>
      </c>
    </row>
    <row r="2" spans="1:3" x14ac:dyDescent="0.25">
      <c r="A2">
        <v>554</v>
      </c>
      <c r="B2" t="s">
        <v>191</v>
      </c>
      <c r="C2" t="s">
        <v>192</v>
      </c>
    </row>
    <row r="3" spans="1:3" x14ac:dyDescent="0.25">
      <c r="A3">
        <v>580</v>
      </c>
      <c r="B3" t="s">
        <v>193</v>
      </c>
      <c r="C3" t="s">
        <v>194</v>
      </c>
    </row>
    <row r="4" spans="1:3" x14ac:dyDescent="0.25">
      <c r="A4">
        <v>788</v>
      </c>
      <c r="B4" t="s">
        <v>195</v>
      </c>
      <c r="C4" t="s">
        <v>196</v>
      </c>
    </row>
    <row r="5" spans="1:3" x14ac:dyDescent="0.25">
      <c r="A5">
        <v>1095</v>
      </c>
      <c r="B5" t="s">
        <v>197</v>
      </c>
      <c r="C5" t="s">
        <v>198</v>
      </c>
    </row>
    <row r="6" spans="1:3" x14ac:dyDescent="0.25">
      <c r="A6">
        <v>771</v>
      </c>
      <c r="B6" t="s">
        <v>199</v>
      </c>
      <c r="C6" t="s">
        <v>200</v>
      </c>
    </row>
    <row r="7" spans="1:3" x14ac:dyDescent="0.25">
      <c r="A7">
        <v>1053</v>
      </c>
      <c r="B7" t="s">
        <v>201</v>
      </c>
      <c r="C7" t="s">
        <v>202</v>
      </c>
    </row>
    <row r="8" spans="1:3" x14ac:dyDescent="0.25">
      <c r="A8">
        <v>1034</v>
      </c>
      <c r="B8" t="s">
        <v>203</v>
      </c>
      <c r="C8" t="s">
        <v>204</v>
      </c>
    </row>
    <row r="9" spans="1:3" x14ac:dyDescent="0.25">
      <c r="A9">
        <v>508</v>
      </c>
      <c r="B9" t="s">
        <v>205</v>
      </c>
      <c r="C9" t="s">
        <v>205</v>
      </c>
    </row>
    <row r="10" spans="1:3" x14ac:dyDescent="0.25">
      <c r="A10">
        <v>904</v>
      </c>
      <c r="B10" t="s">
        <v>206</v>
      </c>
      <c r="C10" t="s">
        <v>207</v>
      </c>
    </row>
    <row r="11" spans="1:3" x14ac:dyDescent="0.25">
      <c r="A11">
        <v>642</v>
      </c>
      <c r="B11" t="s">
        <v>208</v>
      </c>
      <c r="C11" t="s">
        <v>209</v>
      </c>
    </row>
    <row r="12" spans="1:3" x14ac:dyDescent="0.25">
      <c r="A12">
        <v>673</v>
      </c>
      <c r="B12" t="s">
        <v>210</v>
      </c>
      <c r="C12" t="s">
        <v>211</v>
      </c>
    </row>
    <row r="13" spans="1:3" x14ac:dyDescent="0.25">
      <c r="A13">
        <v>1124</v>
      </c>
      <c r="B13" t="s">
        <v>212</v>
      </c>
      <c r="C13" t="s">
        <v>213</v>
      </c>
    </row>
    <row r="14" spans="1:3" x14ac:dyDescent="0.25">
      <c r="A14">
        <v>509</v>
      </c>
      <c r="B14" t="s">
        <v>214</v>
      </c>
      <c r="C14" t="s">
        <v>215</v>
      </c>
    </row>
    <row r="15" spans="1:3" x14ac:dyDescent="0.25">
      <c r="A15">
        <v>529</v>
      </c>
      <c r="B15" t="s">
        <v>216</v>
      </c>
      <c r="C15" t="s">
        <v>217</v>
      </c>
    </row>
    <row r="16" spans="1:3" x14ac:dyDescent="0.25">
      <c r="A16">
        <v>960</v>
      </c>
      <c r="B16" t="s">
        <v>218</v>
      </c>
      <c r="C16" t="s">
        <v>219</v>
      </c>
    </row>
    <row r="17" spans="1:3" x14ac:dyDescent="0.25">
      <c r="A17">
        <v>775</v>
      </c>
      <c r="B17" t="s">
        <v>220</v>
      </c>
      <c r="C17" t="s">
        <v>221</v>
      </c>
    </row>
    <row r="18" spans="1:3" x14ac:dyDescent="0.25">
      <c r="A18">
        <v>727</v>
      </c>
      <c r="B18" t="s">
        <v>222</v>
      </c>
      <c r="C18" t="s">
        <v>223</v>
      </c>
    </row>
    <row r="19" spans="1:3" x14ac:dyDescent="0.25">
      <c r="A19">
        <v>590</v>
      </c>
      <c r="B19" t="s">
        <v>224</v>
      </c>
      <c r="C19" t="s">
        <v>225</v>
      </c>
    </row>
    <row r="20" spans="1:3" x14ac:dyDescent="0.25">
      <c r="A20">
        <v>1060</v>
      </c>
      <c r="B20" t="s">
        <v>226</v>
      </c>
      <c r="C20" t="s">
        <v>227</v>
      </c>
    </row>
    <row r="21" spans="1:3" x14ac:dyDescent="0.25">
      <c r="A21">
        <v>697</v>
      </c>
      <c r="B21" t="s">
        <v>228</v>
      </c>
      <c r="C21" t="s">
        <v>229</v>
      </c>
    </row>
    <row r="22" spans="1:3" x14ac:dyDescent="0.25">
      <c r="A22">
        <v>1025</v>
      </c>
      <c r="B22" t="s">
        <v>230</v>
      </c>
      <c r="C22" t="s">
        <v>231</v>
      </c>
    </row>
    <row r="23" spans="1:3" x14ac:dyDescent="0.25">
      <c r="A23">
        <v>700</v>
      </c>
      <c r="B23" t="s">
        <v>232</v>
      </c>
      <c r="C23" t="s">
        <v>233</v>
      </c>
    </row>
    <row r="24" spans="1:3" x14ac:dyDescent="0.25">
      <c r="A24">
        <v>548</v>
      </c>
      <c r="B24" t="s">
        <v>234</v>
      </c>
      <c r="C24" t="s">
        <v>235</v>
      </c>
    </row>
    <row r="25" spans="1:3" x14ac:dyDescent="0.25">
      <c r="A25">
        <v>728</v>
      </c>
      <c r="B25" t="s">
        <v>236</v>
      </c>
      <c r="C25" t="s">
        <v>237</v>
      </c>
    </row>
    <row r="26" spans="1:3" x14ac:dyDescent="0.25">
      <c r="A26">
        <v>1054</v>
      </c>
      <c r="B26" t="s">
        <v>238</v>
      </c>
      <c r="C26" t="s">
        <v>239</v>
      </c>
    </row>
    <row r="27" spans="1:3" x14ac:dyDescent="0.25">
      <c r="A27">
        <v>1076</v>
      </c>
      <c r="B27" t="s">
        <v>240</v>
      </c>
      <c r="C27" t="s">
        <v>241</v>
      </c>
    </row>
    <row r="28" spans="1:3" x14ac:dyDescent="0.25">
      <c r="A28">
        <v>1055</v>
      </c>
      <c r="B28" t="s">
        <v>242</v>
      </c>
      <c r="C28" t="s">
        <v>243</v>
      </c>
    </row>
    <row r="29" spans="1:3" x14ac:dyDescent="0.25">
      <c r="A29">
        <v>1045</v>
      </c>
      <c r="B29" t="s">
        <v>244</v>
      </c>
      <c r="C29" t="s">
        <v>245</v>
      </c>
    </row>
    <row r="30" spans="1:3" x14ac:dyDescent="0.25">
      <c r="A30">
        <v>687</v>
      </c>
      <c r="B30" t="s">
        <v>246</v>
      </c>
      <c r="C30" t="s">
        <v>247</v>
      </c>
    </row>
    <row r="31" spans="1:3" x14ac:dyDescent="0.25">
      <c r="A31">
        <v>1134</v>
      </c>
      <c r="B31" t="s">
        <v>248</v>
      </c>
      <c r="C31" t="s">
        <v>249</v>
      </c>
    </row>
    <row r="32" spans="1:3" x14ac:dyDescent="0.25">
      <c r="A32">
        <v>522</v>
      </c>
      <c r="B32" t="s">
        <v>250</v>
      </c>
      <c r="C32" t="s">
        <v>251</v>
      </c>
    </row>
    <row r="33" spans="1:3" x14ac:dyDescent="0.25">
      <c r="A33">
        <v>523</v>
      </c>
      <c r="B33" t="s">
        <v>252</v>
      </c>
      <c r="C33" t="s">
        <v>253</v>
      </c>
    </row>
    <row r="34" spans="1:3" x14ac:dyDescent="0.25">
      <c r="A34">
        <v>680</v>
      </c>
      <c r="B34" t="s">
        <v>254</v>
      </c>
      <c r="C34" t="s">
        <v>255</v>
      </c>
    </row>
    <row r="35" spans="1:3" x14ac:dyDescent="0.25">
      <c r="A35">
        <v>759</v>
      </c>
      <c r="B35" t="s">
        <v>256</v>
      </c>
      <c r="C35" t="s">
        <v>257</v>
      </c>
    </row>
    <row r="36" spans="1:3" x14ac:dyDescent="0.25">
      <c r="A36">
        <v>902</v>
      </c>
      <c r="B36" t="s">
        <v>258</v>
      </c>
      <c r="C36" t="s">
        <v>259</v>
      </c>
    </row>
    <row r="37" spans="1:3" x14ac:dyDescent="0.25">
      <c r="A37">
        <v>942</v>
      </c>
      <c r="B37" t="s">
        <v>260</v>
      </c>
      <c r="C37" t="s">
        <v>261</v>
      </c>
    </row>
    <row r="38" spans="1:3" x14ac:dyDescent="0.25">
      <c r="A38">
        <v>1000</v>
      </c>
      <c r="B38" t="s">
        <v>262</v>
      </c>
      <c r="C38" t="s">
        <v>263</v>
      </c>
    </row>
    <row r="39" spans="1:3" x14ac:dyDescent="0.25">
      <c r="A39">
        <v>684</v>
      </c>
      <c r="B39" t="s">
        <v>264</v>
      </c>
      <c r="C39" t="s">
        <v>265</v>
      </c>
    </row>
    <row r="40" spans="1:3" x14ac:dyDescent="0.25">
      <c r="A40">
        <v>565</v>
      </c>
      <c r="B40" t="s">
        <v>266</v>
      </c>
      <c r="C40" t="s">
        <v>267</v>
      </c>
    </row>
    <row r="41" spans="1:3" x14ac:dyDescent="0.25">
      <c r="A41">
        <v>664</v>
      </c>
      <c r="B41" t="s">
        <v>268</v>
      </c>
      <c r="C41" t="s">
        <v>269</v>
      </c>
    </row>
    <row r="42" spans="1:3" x14ac:dyDescent="0.25">
      <c r="A42">
        <v>762</v>
      </c>
      <c r="B42" t="s">
        <v>270</v>
      </c>
      <c r="C42" t="s">
        <v>271</v>
      </c>
    </row>
    <row r="43" spans="1:3" x14ac:dyDescent="0.25">
      <c r="A43">
        <v>739</v>
      </c>
      <c r="B43" t="s">
        <v>272</v>
      </c>
      <c r="C43" t="s">
        <v>273</v>
      </c>
    </row>
    <row r="44" spans="1:3" x14ac:dyDescent="0.25">
      <c r="A44">
        <v>566</v>
      </c>
      <c r="B44" t="s">
        <v>274</v>
      </c>
      <c r="C44" t="s">
        <v>275</v>
      </c>
    </row>
    <row r="45" spans="1:3" x14ac:dyDescent="0.25">
      <c r="A45">
        <v>887</v>
      </c>
      <c r="B45" t="s">
        <v>276</v>
      </c>
      <c r="C45" t="s">
        <v>277</v>
      </c>
    </row>
    <row r="46" spans="1:3" x14ac:dyDescent="0.25">
      <c r="A46">
        <v>893</v>
      </c>
      <c r="B46" t="s">
        <v>278</v>
      </c>
      <c r="C46" t="s">
        <v>279</v>
      </c>
    </row>
    <row r="47" spans="1:3" x14ac:dyDescent="0.25">
      <c r="A47">
        <v>617</v>
      </c>
      <c r="B47" t="s">
        <v>280</v>
      </c>
      <c r="C47" t="s">
        <v>281</v>
      </c>
    </row>
    <row r="48" spans="1:3" x14ac:dyDescent="0.25">
      <c r="A48">
        <v>671</v>
      </c>
      <c r="B48" t="s">
        <v>282</v>
      </c>
      <c r="C48" t="s">
        <v>283</v>
      </c>
    </row>
    <row r="49" spans="1:3" x14ac:dyDescent="0.25">
      <c r="A49">
        <v>918</v>
      </c>
      <c r="B49" t="s">
        <v>284</v>
      </c>
      <c r="C49" t="s">
        <v>285</v>
      </c>
    </row>
    <row r="50" spans="1:3" x14ac:dyDescent="0.25">
      <c r="A50">
        <v>1107</v>
      </c>
      <c r="B50" t="s">
        <v>286</v>
      </c>
      <c r="C50" t="s">
        <v>287</v>
      </c>
    </row>
    <row r="51" spans="1:3" x14ac:dyDescent="0.25">
      <c r="A51">
        <v>1109</v>
      </c>
      <c r="B51" t="s">
        <v>288</v>
      </c>
      <c r="C51" t="s">
        <v>288</v>
      </c>
    </row>
    <row r="52" spans="1:3" x14ac:dyDescent="0.25">
      <c r="A52">
        <v>534</v>
      </c>
      <c r="B52" t="s">
        <v>289</v>
      </c>
      <c r="C52" t="s">
        <v>289</v>
      </c>
    </row>
    <row r="53" spans="1:3" x14ac:dyDescent="0.25">
      <c r="A53">
        <v>919</v>
      </c>
      <c r="B53" t="s">
        <v>290</v>
      </c>
      <c r="C53" t="s">
        <v>291</v>
      </c>
    </row>
    <row r="54" spans="1:3" x14ac:dyDescent="0.25">
      <c r="A54">
        <v>512</v>
      </c>
      <c r="B54" t="s">
        <v>292</v>
      </c>
      <c r="C54" t="s">
        <v>293</v>
      </c>
    </row>
    <row r="55" spans="1:3" x14ac:dyDescent="0.25">
      <c r="A55">
        <v>915</v>
      </c>
      <c r="B55" t="s">
        <v>294</v>
      </c>
      <c r="C55" t="s">
        <v>295</v>
      </c>
    </row>
    <row r="56" spans="1:3" x14ac:dyDescent="0.25">
      <c r="A56">
        <v>538</v>
      </c>
      <c r="B56" t="s">
        <v>296</v>
      </c>
      <c r="C56" t="s">
        <v>296</v>
      </c>
    </row>
    <row r="57" spans="1:3" x14ac:dyDescent="0.25">
      <c r="A57">
        <v>880</v>
      </c>
      <c r="B57" t="s">
        <v>297</v>
      </c>
      <c r="C57" t="s">
        <v>298</v>
      </c>
    </row>
    <row r="58" spans="1:3" x14ac:dyDescent="0.25">
      <c r="A58">
        <v>1103</v>
      </c>
      <c r="B58" t="s">
        <v>299</v>
      </c>
      <c r="C58" t="s">
        <v>299</v>
      </c>
    </row>
    <row r="59" spans="1:3" x14ac:dyDescent="0.25">
      <c r="A59">
        <v>1119</v>
      </c>
      <c r="B59" t="s">
        <v>300</v>
      </c>
      <c r="C59" t="s">
        <v>301</v>
      </c>
    </row>
    <row r="60" spans="1:3" x14ac:dyDescent="0.25">
      <c r="A60">
        <v>581</v>
      </c>
      <c r="B60" t="s">
        <v>302</v>
      </c>
      <c r="C60" t="s">
        <v>303</v>
      </c>
    </row>
    <row r="61" spans="1:3" x14ac:dyDescent="0.25">
      <c r="A61">
        <v>639</v>
      </c>
      <c r="B61" t="s">
        <v>304</v>
      </c>
      <c r="C61" t="s">
        <v>305</v>
      </c>
    </row>
    <row r="62" spans="1:3" x14ac:dyDescent="0.25">
      <c r="A62">
        <v>768</v>
      </c>
      <c r="B62" t="s">
        <v>306</v>
      </c>
      <c r="C62" t="s">
        <v>307</v>
      </c>
    </row>
    <row r="63" spans="1:3" x14ac:dyDescent="0.25">
      <c r="A63">
        <v>862</v>
      </c>
      <c r="B63" t="s">
        <v>308</v>
      </c>
      <c r="C63" t="s">
        <v>309</v>
      </c>
    </row>
    <row r="64" spans="1:3" x14ac:dyDescent="0.25">
      <c r="A64">
        <v>587</v>
      </c>
      <c r="B64" t="s">
        <v>310</v>
      </c>
      <c r="C64" t="s">
        <v>311</v>
      </c>
    </row>
    <row r="65" spans="1:3" x14ac:dyDescent="0.25">
      <c r="A65">
        <v>632</v>
      </c>
      <c r="B65" t="s">
        <v>312</v>
      </c>
      <c r="C65" t="s">
        <v>313</v>
      </c>
    </row>
    <row r="66" spans="1:3" x14ac:dyDescent="0.25">
      <c r="A66">
        <v>923</v>
      </c>
      <c r="B66" t="s">
        <v>314</v>
      </c>
      <c r="C66" t="s">
        <v>315</v>
      </c>
    </row>
    <row r="67" spans="1:3" x14ac:dyDescent="0.25">
      <c r="A67">
        <v>791</v>
      </c>
      <c r="B67" t="s">
        <v>316</v>
      </c>
      <c r="C67" t="s">
        <v>317</v>
      </c>
    </row>
    <row r="68" spans="1:3" x14ac:dyDescent="0.25">
      <c r="A68">
        <v>1111</v>
      </c>
      <c r="B68" t="s">
        <v>318</v>
      </c>
      <c r="C68" t="s">
        <v>319</v>
      </c>
    </row>
    <row r="69" spans="1:3" x14ac:dyDescent="0.25">
      <c r="A69">
        <v>736</v>
      </c>
      <c r="B69" t="s">
        <v>320</v>
      </c>
      <c r="C69" t="s">
        <v>321</v>
      </c>
    </row>
    <row r="70" spans="1:3" x14ac:dyDescent="0.25">
      <c r="A70">
        <v>1050</v>
      </c>
      <c r="B70" t="s">
        <v>322</v>
      </c>
      <c r="C70" t="s">
        <v>323</v>
      </c>
    </row>
    <row r="71" spans="1:3" x14ac:dyDescent="0.25">
      <c r="A71">
        <v>1145</v>
      </c>
      <c r="B71" t="s">
        <v>324</v>
      </c>
      <c r="C71" t="s">
        <v>325</v>
      </c>
    </row>
    <row r="72" spans="1:3" x14ac:dyDescent="0.25">
      <c r="A72">
        <v>1093</v>
      </c>
      <c r="B72" t="s">
        <v>326</v>
      </c>
      <c r="C72" t="s">
        <v>327</v>
      </c>
    </row>
    <row r="73" spans="1:3" x14ac:dyDescent="0.25">
      <c r="A73">
        <v>555</v>
      </c>
      <c r="B73" t="s">
        <v>328</v>
      </c>
      <c r="C73" t="s">
        <v>328</v>
      </c>
    </row>
    <row r="74" spans="1:3" x14ac:dyDescent="0.25">
      <c r="A74">
        <v>691</v>
      </c>
      <c r="B74" t="s">
        <v>329</v>
      </c>
      <c r="C74" t="s">
        <v>330</v>
      </c>
    </row>
    <row r="75" spans="1:3" x14ac:dyDescent="0.25">
      <c r="A75">
        <v>557</v>
      </c>
      <c r="B75" t="s">
        <v>331</v>
      </c>
      <c r="C75" t="s">
        <v>331</v>
      </c>
    </row>
    <row r="76" spans="1:3" x14ac:dyDescent="0.25">
      <c r="A76">
        <v>809</v>
      </c>
      <c r="B76" t="s">
        <v>332</v>
      </c>
      <c r="C76" t="s">
        <v>333</v>
      </c>
    </row>
    <row r="77" spans="1:3" x14ac:dyDescent="0.25">
      <c r="A77">
        <v>747</v>
      </c>
      <c r="B77" t="s">
        <v>334</v>
      </c>
      <c r="C77" t="s">
        <v>335</v>
      </c>
    </row>
    <row r="78" spans="1:3" x14ac:dyDescent="0.25">
      <c r="A78">
        <v>879</v>
      </c>
      <c r="B78" t="s">
        <v>336</v>
      </c>
      <c r="C78" t="s">
        <v>337</v>
      </c>
    </row>
    <row r="79" spans="1:3" x14ac:dyDescent="0.25">
      <c r="A79">
        <v>1013</v>
      </c>
      <c r="B79" t="s">
        <v>338</v>
      </c>
      <c r="C79" t="s">
        <v>339</v>
      </c>
    </row>
    <row r="80" spans="1:3" x14ac:dyDescent="0.25">
      <c r="A80">
        <v>717</v>
      </c>
      <c r="B80" t="s">
        <v>340</v>
      </c>
      <c r="C80" t="s">
        <v>341</v>
      </c>
    </row>
    <row r="81" spans="1:3" x14ac:dyDescent="0.25">
      <c r="A81">
        <v>926</v>
      </c>
      <c r="B81" t="s">
        <v>342</v>
      </c>
      <c r="C81" t="s">
        <v>343</v>
      </c>
    </row>
    <row r="82" spans="1:3" x14ac:dyDescent="0.25">
      <c r="A82">
        <v>562</v>
      </c>
      <c r="B82" t="s">
        <v>344</v>
      </c>
      <c r="C82" t="s">
        <v>344</v>
      </c>
    </row>
    <row r="83" spans="1:3" x14ac:dyDescent="0.25">
      <c r="A83">
        <v>870</v>
      </c>
      <c r="B83" t="s">
        <v>345</v>
      </c>
      <c r="C83" t="s">
        <v>346</v>
      </c>
    </row>
    <row r="84" spans="1:3" x14ac:dyDescent="0.25">
      <c r="A84">
        <v>670</v>
      </c>
      <c r="B84" t="s">
        <v>347</v>
      </c>
      <c r="C84" t="s">
        <v>348</v>
      </c>
    </row>
    <row r="85" spans="1:3" x14ac:dyDescent="0.25">
      <c r="A85">
        <v>877</v>
      </c>
      <c r="B85" t="s">
        <v>349</v>
      </c>
      <c r="C85" t="s">
        <v>350</v>
      </c>
    </row>
    <row r="86" spans="1:3" x14ac:dyDescent="0.25">
      <c r="A86">
        <v>567</v>
      </c>
      <c r="B86" t="s">
        <v>351</v>
      </c>
      <c r="C86" t="s">
        <v>352</v>
      </c>
    </row>
    <row r="87" spans="1:3" x14ac:dyDescent="0.25">
      <c r="A87">
        <v>602</v>
      </c>
      <c r="B87" t="s">
        <v>353</v>
      </c>
      <c r="C87" t="s">
        <v>354</v>
      </c>
    </row>
    <row r="88" spans="1:3" x14ac:dyDescent="0.25">
      <c r="A88">
        <v>1061</v>
      </c>
      <c r="B88" t="s">
        <v>355</v>
      </c>
      <c r="C88" t="s">
        <v>356</v>
      </c>
    </row>
    <row r="89" spans="1:3" x14ac:dyDescent="0.25">
      <c r="A89">
        <v>594</v>
      </c>
      <c r="B89" t="s">
        <v>357</v>
      </c>
      <c r="C89" t="s">
        <v>358</v>
      </c>
    </row>
    <row r="90" spans="1:3" x14ac:dyDescent="0.25">
      <c r="A90">
        <v>552</v>
      </c>
      <c r="B90" t="s">
        <v>359</v>
      </c>
      <c r="C90" t="s">
        <v>360</v>
      </c>
    </row>
    <row r="91" spans="1:3" x14ac:dyDescent="0.25">
      <c r="A91">
        <v>746</v>
      </c>
      <c r="B91" t="s">
        <v>361</v>
      </c>
      <c r="C91" t="s">
        <v>362</v>
      </c>
    </row>
    <row r="92" spans="1:3" x14ac:dyDescent="0.25">
      <c r="A92">
        <v>800</v>
      </c>
      <c r="B92" t="s">
        <v>363</v>
      </c>
      <c r="C92" t="s">
        <v>364</v>
      </c>
    </row>
    <row r="93" spans="1:3" x14ac:dyDescent="0.25">
      <c r="A93">
        <v>941</v>
      </c>
      <c r="B93" t="s">
        <v>365</v>
      </c>
      <c r="C93" t="s">
        <v>366</v>
      </c>
    </row>
    <row r="94" spans="1:3" x14ac:dyDescent="0.25">
      <c r="A94">
        <v>950</v>
      </c>
      <c r="B94" t="s">
        <v>367</v>
      </c>
      <c r="C94" t="s">
        <v>368</v>
      </c>
    </row>
    <row r="95" spans="1:3" x14ac:dyDescent="0.25">
      <c r="A95">
        <v>1091</v>
      </c>
      <c r="B95" t="s">
        <v>369</v>
      </c>
      <c r="C95" t="s">
        <v>370</v>
      </c>
    </row>
    <row r="96" spans="1:3" x14ac:dyDescent="0.25">
      <c r="A96">
        <v>758</v>
      </c>
      <c r="B96" t="s">
        <v>371</v>
      </c>
      <c r="C96" t="s">
        <v>372</v>
      </c>
    </row>
    <row r="97" spans="1:3" x14ac:dyDescent="0.25">
      <c r="A97">
        <v>569</v>
      </c>
      <c r="B97" t="s">
        <v>373</v>
      </c>
      <c r="C97" t="s">
        <v>373</v>
      </c>
    </row>
    <row r="98" spans="1:3" x14ac:dyDescent="0.25">
      <c r="A98">
        <v>553</v>
      </c>
      <c r="B98" t="s">
        <v>374</v>
      </c>
      <c r="C98" t="s">
        <v>375</v>
      </c>
    </row>
    <row r="99" spans="1:3" x14ac:dyDescent="0.25">
      <c r="A99">
        <v>1154</v>
      </c>
      <c r="B99" t="s">
        <v>376</v>
      </c>
      <c r="C99" t="s">
        <v>377</v>
      </c>
    </row>
    <row r="100" spans="1:3" x14ac:dyDescent="0.25">
      <c r="A100">
        <v>1012</v>
      </c>
      <c r="B100" t="s">
        <v>378</v>
      </c>
      <c r="C100" t="s">
        <v>379</v>
      </c>
    </row>
    <row r="101" spans="1:3" x14ac:dyDescent="0.25">
      <c r="A101">
        <v>735</v>
      </c>
      <c r="B101" t="s">
        <v>380</v>
      </c>
      <c r="C101" t="s">
        <v>381</v>
      </c>
    </row>
    <row r="102" spans="1:3" x14ac:dyDescent="0.25">
      <c r="A102">
        <v>984</v>
      </c>
      <c r="B102" t="s">
        <v>382</v>
      </c>
      <c r="C102" t="s">
        <v>383</v>
      </c>
    </row>
    <row r="103" spans="1:3" x14ac:dyDescent="0.25">
      <c r="A103">
        <v>820</v>
      </c>
      <c r="B103" t="s">
        <v>384</v>
      </c>
      <c r="C103" t="s">
        <v>385</v>
      </c>
    </row>
    <row r="104" spans="1:3" x14ac:dyDescent="0.25">
      <c r="A104">
        <v>570</v>
      </c>
      <c r="B104" t="s">
        <v>386</v>
      </c>
      <c r="C104" t="s">
        <v>386</v>
      </c>
    </row>
    <row r="105" spans="1:3" x14ac:dyDescent="0.25">
      <c r="A105">
        <v>884</v>
      </c>
      <c r="B105" t="s">
        <v>387</v>
      </c>
      <c r="C105" t="s">
        <v>388</v>
      </c>
    </row>
    <row r="106" spans="1:3" x14ac:dyDescent="0.25">
      <c r="A106">
        <v>1026</v>
      </c>
      <c r="B106" t="s">
        <v>389</v>
      </c>
      <c r="C106" t="s">
        <v>390</v>
      </c>
    </row>
    <row r="107" spans="1:3" x14ac:dyDescent="0.25">
      <c r="A107">
        <v>764</v>
      </c>
      <c r="B107" t="s">
        <v>391</v>
      </c>
      <c r="C107" t="s">
        <v>392</v>
      </c>
    </row>
    <row r="108" spans="1:3" x14ac:dyDescent="0.25">
      <c r="A108">
        <v>546</v>
      </c>
      <c r="B108" t="s">
        <v>393</v>
      </c>
      <c r="C108" t="s">
        <v>394</v>
      </c>
    </row>
    <row r="109" spans="1:3" x14ac:dyDescent="0.25">
      <c r="A109">
        <v>539</v>
      </c>
      <c r="B109" t="s">
        <v>395</v>
      </c>
      <c r="C109" t="s">
        <v>396</v>
      </c>
    </row>
    <row r="110" spans="1:3" x14ac:dyDescent="0.25">
      <c r="A110">
        <v>578</v>
      </c>
      <c r="B110" t="s">
        <v>397</v>
      </c>
      <c r="C110" t="s">
        <v>398</v>
      </c>
    </row>
    <row r="111" spans="1:3" x14ac:dyDescent="0.25">
      <c r="A111">
        <v>1077</v>
      </c>
      <c r="B111" t="s">
        <v>399</v>
      </c>
      <c r="C111" t="s">
        <v>400</v>
      </c>
    </row>
    <row r="112" spans="1:3" x14ac:dyDescent="0.25">
      <c r="A112">
        <v>1098</v>
      </c>
      <c r="B112" t="s">
        <v>401</v>
      </c>
      <c r="C112" t="s">
        <v>402</v>
      </c>
    </row>
    <row r="113" spans="1:3" x14ac:dyDescent="0.25">
      <c r="A113">
        <v>610</v>
      </c>
      <c r="B113" t="s">
        <v>403</v>
      </c>
      <c r="C113" t="s">
        <v>404</v>
      </c>
    </row>
    <row r="114" spans="1:3" x14ac:dyDescent="0.25">
      <c r="A114">
        <v>1044</v>
      </c>
      <c r="B114" t="s">
        <v>405</v>
      </c>
      <c r="C114" t="s">
        <v>406</v>
      </c>
    </row>
    <row r="115" spans="1:3" x14ac:dyDescent="0.25">
      <c r="A115">
        <v>1031</v>
      </c>
      <c r="B115" t="s">
        <v>407</v>
      </c>
      <c r="C115" t="s">
        <v>408</v>
      </c>
    </row>
    <row r="116" spans="1:3" x14ac:dyDescent="0.25">
      <c r="A116">
        <v>1112</v>
      </c>
      <c r="B116" t="s">
        <v>409</v>
      </c>
      <c r="C116" t="s">
        <v>409</v>
      </c>
    </row>
    <row r="117" spans="1:3" x14ac:dyDescent="0.25">
      <c r="A117">
        <v>585</v>
      </c>
      <c r="B117" t="s">
        <v>410</v>
      </c>
      <c r="C117" t="s">
        <v>410</v>
      </c>
    </row>
    <row r="118" spans="1:3" x14ac:dyDescent="0.25">
      <c r="A118">
        <v>1117</v>
      </c>
      <c r="B118" t="s">
        <v>411</v>
      </c>
      <c r="C118" t="s">
        <v>412</v>
      </c>
    </row>
    <row r="119" spans="1:3" x14ac:dyDescent="0.25">
      <c r="A119">
        <v>1014</v>
      </c>
      <c r="B119" t="s">
        <v>413</v>
      </c>
      <c r="C119" t="s">
        <v>414</v>
      </c>
    </row>
    <row r="120" spans="1:3" x14ac:dyDescent="0.25">
      <c r="A120">
        <v>563</v>
      </c>
      <c r="B120" t="s">
        <v>415</v>
      </c>
      <c r="C120" t="s">
        <v>416</v>
      </c>
    </row>
    <row r="121" spans="1:3" x14ac:dyDescent="0.25">
      <c r="A121">
        <v>586</v>
      </c>
      <c r="B121" t="s">
        <v>417</v>
      </c>
      <c r="C121" t="s">
        <v>418</v>
      </c>
    </row>
    <row r="122" spans="1:3" x14ac:dyDescent="0.25">
      <c r="A122">
        <v>517</v>
      </c>
      <c r="B122" t="s">
        <v>419</v>
      </c>
      <c r="C122" t="s">
        <v>420</v>
      </c>
    </row>
    <row r="123" spans="1:3" x14ac:dyDescent="0.25">
      <c r="A123">
        <v>748</v>
      </c>
      <c r="B123" t="s">
        <v>421</v>
      </c>
      <c r="C123" t="s">
        <v>422</v>
      </c>
    </row>
    <row r="124" spans="1:3" x14ac:dyDescent="0.25">
      <c r="A124">
        <v>695</v>
      </c>
      <c r="B124" t="s">
        <v>423</v>
      </c>
      <c r="C124" t="s">
        <v>424</v>
      </c>
    </row>
    <row r="125" spans="1:3" x14ac:dyDescent="0.25">
      <c r="A125">
        <v>903</v>
      </c>
      <c r="B125" t="s">
        <v>425</v>
      </c>
      <c r="C125" t="s">
        <v>426</v>
      </c>
    </row>
    <row r="126" spans="1:3" x14ac:dyDescent="0.25">
      <c r="A126">
        <v>1086</v>
      </c>
      <c r="B126" t="s">
        <v>427</v>
      </c>
      <c r="C126" t="s">
        <v>428</v>
      </c>
    </row>
    <row r="127" spans="1:3" x14ac:dyDescent="0.25">
      <c r="A127">
        <v>917</v>
      </c>
      <c r="B127" t="s">
        <v>429</v>
      </c>
      <c r="C127" t="s">
        <v>430</v>
      </c>
    </row>
    <row r="128" spans="1:3" x14ac:dyDescent="0.25">
      <c r="A128">
        <v>723</v>
      </c>
      <c r="B128" t="s">
        <v>431</v>
      </c>
      <c r="C128" t="s">
        <v>432</v>
      </c>
    </row>
    <row r="129" spans="1:3" x14ac:dyDescent="0.25">
      <c r="A129">
        <v>1020</v>
      </c>
      <c r="B129" t="s">
        <v>433</v>
      </c>
      <c r="C129" t="s">
        <v>434</v>
      </c>
    </row>
    <row r="130" spans="1:3" x14ac:dyDescent="0.25">
      <c r="A130">
        <v>930</v>
      </c>
      <c r="B130" t="s">
        <v>435</v>
      </c>
      <c r="C130" t="s">
        <v>436</v>
      </c>
    </row>
    <row r="131" spans="1:3" x14ac:dyDescent="0.25">
      <c r="A131">
        <v>720</v>
      </c>
      <c r="B131" t="s">
        <v>437</v>
      </c>
      <c r="C131" t="s">
        <v>438</v>
      </c>
    </row>
    <row r="132" spans="1:3" x14ac:dyDescent="0.25">
      <c r="A132">
        <v>1032</v>
      </c>
      <c r="B132" t="s">
        <v>439</v>
      </c>
      <c r="C132" t="s">
        <v>440</v>
      </c>
    </row>
    <row r="133" spans="1:3" x14ac:dyDescent="0.25">
      <c r="A133">
        <v>596</v>
      </c>
      <c r="B133" t="s">
        <v>441</v>
      </c>
      <c r="C133" t="s">
        <v>442</v>
      </c>
    </row>
    <row r="134" spans="1:3" x14ac:dyDescent="0.25">
      <c r="A134">
        <v>633</v>
      </c>
      <c r="B134" t="s">
        <v>443</v>
      </c>
      <c r="C134" t="s">
        <v>444</v>
      </c>
    </row>
    <row r="135" spans="1:3" x14ac:dyDescent="0.25">
      <c r="A135">
        <v>710</v>
      </c>
      <c r="B135" t="s">
        <v>445</v>
      </c>
      <c r="C135" t="s">
        <v>446</v>
      </c>
    </row>
    <row r="136" spans="1:3" x14ac:dyDescent="0.25">
      <c r="A136">
        <v>988</v>
      </c>
      <c r="B136" t="s">
        <v>447</v>
      </c>
      <c r="C136" t="s">
        <v>448</v>
      </c>
    </row>
    <row r="137" spans="1:3" x14ac:dyDescent="0.25">
      <c r="A137">
        <v>733</v>
      </c>
      <c r="B137" t="s">
        <v>449</v>
      </c>
      <c r="C137" t="s">
        <v>450</v>
      </c>
    </row>
    <row r="138" spans="1:3" x14ac:dyDescent="0.25">
      <c r="A138">
        <v>660</v>
      </c>
      <c r="B138" t="s">
        <v>451</v>
      </c>
      <c r="C138" t="s">
        <v>452</v>
      </c>
    </row>
    <row r="139" spans="1:3" x14ac:dyDescent="0.25">
      <c r="A139">
        <v>1136</v>
      </c>
      <c r="B139" t="s">
        <v>453</v>
      </c>
      <c r="C139" t="s">
        <v>454</v>
      </c>
    </row>
    <row r="140" spans="1:3" x14ac:dyDescent="0.25">
      <c r="A140">
        <v>688</v>
      </c>
      <c r="B140" t="s">
        <v>455</v>
      </c>
      <c r="C140" t="s">
        <v>456</v>
      </c>
    </row>
    <row r="141" spans="1:3" x14ac:dyDescent="0.25">
      <c r="A141">
        <v>1006</v>
      </c>
      <c r="B141" t="s">
        <v>457</v>
      </c>
      <c r="C141" t="s">
        <v>458</v>
      </c>
    </row>
    <row r="142" spans="1:3" x14ac:dyDescent="0.25">
      <c r="A142">
        <v>607</v>
      </c>
      <c r="B142" t="s">
        <v>459</v>
      </c>
      <c r="C142" t="s">
        <v>459</v>
      </c>
    </row>
    <row r="143" spans="1:3" x14ac:dyDescent="0.25">
      <c r="A143">
        <v>609</v>
      </c>
      <c r="B143" t="s">
        <v>460</v>
      </c>
      <c r="C143" t="s">
        <v>460</v>
      </c>
    </row>
    <row r="144" spans="1:3" x14ac:dyDescent="0.25">
      <c r="A144">
        <v>802</v>
      </c>
      <c r="B144" t="s">
        <v>461</v>
      </c>
      <c r="C144" t="s">
        <v>462</v>
      </c>
    </row>
    <row r="145" spans="1:3" x14ac:dyDescent="0.25">
      <c r="A145">
        <v>803</v>
      </c>
      <c r="B145" t="s">
        <v>463</v>
      </c>
      <c r="C145" t="s">
        <v>464</v>
      </c>
    </row>
    <row r="146" spans="1:3" x14ac:dyDescent="0.25">
      <c r="A146">
        <v>1038</v>
      </c>
      <c r="B146" t="s">
        <v>465</v>
      </c>
      <c r="C146" t="s">
        <v>466</v>
      </c>
    </row>
    <row r="147" spans="1:3" x14ac:dyDescent="0.25">
      <c r="A147">
        <v>780</v>
      </c>
      <c r="B147" t="s">
        <v>467</v>
      </c>
      <c r="C147" t="s">
        <v>468</v>
      </c>
    </row>
    <row r="148" spans="1:3" x14ac:dyDescent="0.25">
      <c r="A148">
        <v>740</v>
      </c>
      <c r="B148" t="s">
        <v>469</v>
      </c>
      <c r="C148" t="s">
        <v>470</v>
      </c>
    </row>
    <row r="149" spans="1:3" x14ac:dyDescent="0.25">
      <c r="A149">
        <v>787</v>
      </c>
      <c r="B149" t="s">
        <v>471</v>
      </c>
      <c r="C149" t="s">
        <v>472</v>
      </c>
    </row>
    <row r="150" spans="1:3" x14ac:dyDescent="0.25">
      <c r="A150">
        <v>749</v>
      </c>
      <c r="B150" t="s">
        <v>473</v>
      </c>
      <c r="C150" t="s">
        <v>474</v>
      </c>
    </row>
    <row r="151" spans="1:3" x14ac:dyDescent="0.25">
      <c r="A151">
        <v>761</v>
      </c>
      <c r="B151" t="s">
        <v>475</v>
      </c>
      <c r="C151" t="s">
        <v>476</v>
      </c>
    </row>
    <row r="152" spans="1:3" x14ac:dyDescent="0.25">
      <c r="A152">
        <v>618</v>
      </c>
      <c r="B152" t="s">
        <v>477</v>
      </c>
      <c r="C152" t="s">
        <v>478</v>
      </c>
    </row>
    <row r="153" spans="1:3" x14ac:dyDescent="0.25">
      <c r="A153">
        <v>714</v>
      </c>
      <c r="B153" t="s">
        <v>479</v>
      </c>
      <c r="C153" t="s">
        <v>480</v>
      </c>
    </row>
    <row r="154" spans="1:3" x14ac:dyDescent="0.25">
      <c r="A154">
        <v>1085</v>
      </c>
      <c r="B154" t="s">
        <v>481</v>
      </c>
      <c r="C154" t="s">
        <v>482</v>
      </c>
    </row>
    <row r="155" spans="1:3" x14ac:dyDescent="0.25">
      <c r="A155">
        <v>905</v>
      </c>
      <c r="B155" t="s">
        <v>483</v>
      </c>
      <c r="C155" t="s">
        <v>484</v>
      </c>
    </row>
    <row r="156" spans="1:3" x14ac:dyDescent="0.25">
      <c r="A156">
        <v>786</v>
      </c>
      <c r="B156" t="s">
        <v>485</v>
      </c>
      <c r="C156" t="s">
        <v>486</v>
      </c>
    </row>
    <row r="157" spans="1:3" x14ac:dyDescent="0.25">
      <c r="A157">
        <v>744</v>
      </c>
      <c r="B157" t="s">
        <v>487</v>
      </c>
      <c r="C157" t="s">
        <v>488</v>
      </c>
    </row>
    <row r="158" spans="1:3" x14ac:dyDescent="0.25">
      <c r="A158">
        <v>1092</v>
      </c>
      <c r="B158" t="s">
        <v>489</v>
      </c>
      <c r="C158" t="s">
        <v>490</v>
      </c>
    </row>
    <row r="159" spans="1:3" x14ac:dyDescent="0.25">
      <c r="A159">
        <v>773</v>
      </c>
      <c r="B159" t="s">
        <v>491</v>
      </c>
      <c r="C159" t="s">
        <v>492</v>
      </c>
    </row>
    <row r="160" spans="1:3" x14ac:dyDescent="0.25">
      <c r="A160">
        <v>621</v>
      </c>
      <c r="B160" t="s">
        <v>493</v>
      </c>
      <c r="C160" t="s">
        <v>493</v>
      </c>
    </row>
    <row r="161" spans="1:3" x14ac:dyDescent="0.25">
      <c r="A161">
        <v>817</v>
      </c>
      <c r="B161" t="s">
        <v>494</v>
      </c>
      <c r="C161" t="s">
        <v>495</v>
      </c>
    </row>
    <row r="162" spans="1:3" x14ac:dyDescent="0.25">
      <c r="A162">
        <v>528</v>
      </c>
      <c r="B162" t="s">
        <v>496</v>
      </c>
      <c r="C162" t="s">
        <v>497</v>
      </c>
    </row>
    <row r="163" spans="1:3" x14ac:dyDescent="0.25">
      <c r="A163">
        <v>676</v>
      </c>
      <c r="B163" t="s">
        <v>498</v>
      </c>
      <c r="C163" t="s">
        <v>499</v>
      </c>
    </row>
    <row r="164" spans="1:3" x14ac:dyDescent="0.25">
      <c r="A164">
        <v>725</v>
      </c>
      <c r="B164" t="s">
        <v>500</v>
      </c>
      <c r="C164" t="s">
        <v>501</v>
      </c>
    </row>
    <row r="165" spans="1:3" x14ac:dyDescent="0.25">
      <c r="A165">
        <v>841</v>
      </c>
      <c r="B165" t="s">
        <v>502</v>
      </c>
      <c r="C165" t="s">
        <v>503</v>
      </c>
    </row>
    <row r="166" spans="1:3" x14ac:dyDescent="0.25">
      <c r="A166">
        <v>815</v>
      </c>
      <c r="B166" t="s">
        <v>504</v>
      </c>
      <c r="C166" t="s">
        <v>505</v>
      </c>
    </row>
    <row r="167" spans="1:3" x14ac:dyDescent="0.25">
      <c r="A167">
        <v>754</v>
      </c>
      <c r="B167" t="s">
        <v>506</v>
      </c>
      <c r="C167" t="s">
        <v>507</v>
      </c>
    </row>
    <row r="168" spans="1:3" x14ac:dyDescent="0.25">
      <c r="A168">
        <v>579</v>
      </c>
      <c r="B168" t="s">
        <v>508</v>
      </c>
      <c r="C168" t="s">
        <v>509</v>
      </c>
    </row>
    <row r="169" spans="1:3" x14ac:dyDescent="0.25">
      <c r="A169">
        <v>1116</v>
      </c>
      <c r="B169" t="s">
        <v>510</v>
      </c>
      <c r="C169" t="s">
        <v>511</v>
      </c>
    </row>
    <row r="170" spans="1:3" x14ac:dyDescent="0.25">
      <c r="A170">
        <v>865</v>
      </c>
      <c r="B170" t="s">
        <v>512</v>
      </c>
      <c r="C170" t="s">
        <v>513</v>
      </c>
    </row>
    <row r="171" spans="1:3" x14ac:dyDescent="0.25">
      <c r="A171">
        <v>859</v>
      </c>
      <c r="B171" t="s">
        <v>514</v>
      </c>
      <c r="C171" t="s">
        <v>515</v>
      </c>
    </row>
    <row r="172" spans="1:3" x14ac:dyDescent="0.25">
      <c r="A172">
        <v>663</v>
      </c>
      <c r="B172" t="s">
        <v>516</v>
      </c>
      <c r="C172" t="s">
        <v>517</v>
      </c>
    </row>
    <row r="173" spans="1:3" x14ac:dyDescent="0.25">
      <c r="A173">
        <v>834</v>
      </c>
      <c r="B173" t="s">
        <v>518</v>
      </c>
      <c r="C173" t="s">
        <v>519</v>
      </c>
    </row>
    <row r="174" spans="1:3" x14ac:dyDescent="0.25">
      <c r="A174">
        <v>654</v>
      </c>
      <c r="B174" t="s">
        <v>520</v>
      </c>
      <c r="C174" t="s">
        <v>521</v>
      </c>
    </row>
    <row r="175" spans="1:3" x14ac:dyDescent="0.25">
      <c r="A175">
        <v>864</v>
      </c>
      <c r="B175" t="s">
        <v>522</v>
      </c>
      <c r="C175" t="s">
        <v>523</v>
      </c>
    </row>
    <row r="176" spans="1:3" x14ac:dyDescent="0.25">
      <c r="A176">
        <v>890</v>
      </c>
      <c r="B176" t="s">
        <v>524</v>
      </c>
      <c r="C176" t="s">
        <v>525</v>
      </c>
    </row>
    <row r="177" spans="1:3" x14ac:dyDescent="0.25">
      <c r="A177">
        <v>549</v>
      </c>
      <c r="B177" t="s">
        <v>526</v>
      </c>
      <c r="C177" t="s">
        <v>527</v>
      </c>
    </row>
    <row r="178" spans="1:3" x14ac:dyDescent="0.25">
      <c r="A178">
        <v>970</v>
      </c>
      <c r="B178" t="s">
        <v>528</v>
      </c>
      <c r="C178" t="s">
        <v>529</v>
      </c>
    </row>
    <row r="179" spans="1:3" x14ac:dyDescent="0.25">
      <c r="A179">
        <v>818</v>
      </c>
      <c r="B179" t="s">
        <v>530</v>
      </c>
      <c r="C179" t="s">
        <v>531</v>
      </c>
    </row>
    <row r="180" spans="1:3" x14ac:dyDescent="0.25">
      <c r="A180">
        <v>592</v>
      </c>
      <c r="B180" t="s">
        <v>532</v>
      </c>
      <c r="C180" t="s">
        <v>533</v>
      </c>
    </row>
    <row r="181" spans="1:3" x14ac:dyDescent="0.25">
      <c r="A181">
        <v>1015</v>
      </c>
      <c r="B181" t="s">
        <v>534</v>
      </c>
      <c r="C181" t="s">
        <v>535</v>
      </c>
    </row>
    <row r="182" spans="1:3" x14ac:dyDescent="0.25">
      <c r="A182">
        <v>868</v>
      </c>
      <c r="B182" t="s">
        <v>536</v>
      </c>
      <c r="C182" t="s">
        <v>537</v>
      </c>
    </row>
    <row r="183" spans="1:3" x14ac:dyDescent="0.25">
      <c r="A183">
        <v>1133</v>
      </c>
      <c r="B183" t="s">
        <v>538</v>
      </c>
      <c r="C183" t="s">
        <v>539</v>
      </c>
    </row>
    <row r="184" spans="1:3" x14ac:dyDescent="0.25">
      <c r="A184">
        <v>1052</v>
      </c>
      <c r="B184" t="s">
        <v>540</v>
      </c>
      <c r="C184" t="s">
        <v>541</v>
      </c>
    </row>
    <row r="185" spans="1:3" x14ac:dyDescent="0.25">
      <c r="A185">
        <v>651</v>
      </c>
      <c r="B185" t="s">
        <v>542</v>
      </c>
      <c r="C185" t="s">
        <v>542</v>
      </c>
    </row>
    <row r="186" spans="1:3" x14ac:dyDescent="0.25">
      <c r="A186">
        <v>536</v>
      </c>
      <c r="B186" t="s">
        <v>543</v>
      </c>
      <c r="C186" t="s">
        <v>544</v>
      </c>
    </row>
    <row r="187" spans="1:3" x14ac:dyDescent="0.25">
      <c r="A187">
        <v>657</v>
      </c>
      <c r="B187" t="s">
        <v>545</v>
      </c>
      <c r="C187" t="s">
        <v>545</v>
      </c>
    </row>
    <row r="188" spans="1:3" x14ac:dyDescent="0.25">
      <c r="A188">
        <v>801</v>
      </c>
      <c r="B188" t="s">
        <v>546</v>
      </c>
      <c r="C188" t="s">
        <v>547</v>
      </c>
    </row>
    <row r="189" spans="1:3" x14ac:dyDescent="0.25">
      <c r="A189">
        <v>750</v>
      </c>
      <c r="B189" t="s">
        <v>548</v>
      </c>
      <c r="C189" t="s">
        <v>549</v>
      </c>
    </row>
    <row r="190" spans="1:3" x14ac:dyDescent="0.25">
      <c r="A190">
        <v>947</v>
      </c>
      <c r="B190" t="s">
        <v>550</v>
      </c>
      <c r="C190" t="s">
        <v>551</v>
      </c>
    </row>
    <row r="191" spans="1:3" x14ac:dyDescent="0.25">
      <c r="A191">
        <v>909</v>
      </c>
      <c r="B191" t="s">
        <v>552</v>
      </c>
      <c r="C191" t="s">
        <v>553</v>
      </c>
    </row>
    <row r="192" spans="1:3" x14ac:dyDescent="0.25">
      <c r="A192">
        <v>1079</v>
      </c>
      <c r="B192" t="s">
        <v>554</v>
      </c>
      <c r="C192" t="s">
        <v>555</v>
      </c>
    </row>
    <row r="193" spans="1:3" x14ac:dyDescent="0.25">
      <c r="A193">
        <v>916</v>
      </c>
      <c r="B193" t="s">
        <v>556</v>
      </c>
      <c r="C193" t="s">
        <v>557</v>
      </c>
    </row>
    <row r="194" spans="1:3" x14ac:dyDescent="0.25">
      <c r="A194">
        <v>955</v>
      </c>
      <c r="B194" t="s">
        <v>558</v>
      </c>
      <c r="C194" t="s">
        <v>559</v>
      </c>
    </row>
    <row r="195" spans="1:3" x14ac:dyDescent="0.25">
      <c r="A195">
        <v>683</v>
      </c>
      <c r="B195" t="s">
        <v>560</v>
      </c>
      <c r="C195" t="s">
        <v>561</v>
      </c>
    </row>
    <row r="196" spans="1:3" x14ac:dyDescent="0.25">
      <c r="A196">
        <v>513</v>
      </c>
      <c r="B196" t="s">
        <v>562</v>
      </c>
      <c r="C196" t="s">
        <v>563</v>
      </c>
    </row>
    <row r="197" spans="1:3" x14ac:dyDescent="0.25">
      <c r="A197">
        <v>843</v>
      </c>
      <c r="B197" t="s">
        <v>564</v>
      </c>
      <c r="C197" t="s">
        <v>565</v>
      </c>
    </row>
    <row r="198" spans="1:3" x14ac:dyDescent="0.25">
      <c r="A198">
        <v>679</v>
      </c>
      <c r="B198" t="s">
        <v>566</v>
      </c>
      <c r="C198" t="s">
        <v>567</v>
      </c>
    </row>
    <row r="199" spans="1:3" x14ac:dyDescent="0.25">
      <c r="A199">
        <v>726</v>
      </c>
      <c r="B199" t="s">
        <v>568</v>
      </c>
      <c r="C199" t="s">
        <v>569</v>
      </c>
    </row>
    <row r="200" spans="1:3" x14ac:dyDescent="0.25">
      <c r="A200">
        <v>789</v>
      </c>
      <c r="B200" t="s">
        <v>570</v>
      </c>
      <c r="C200" t="s">
        <v>571</v>
      </c>
    </row>
    <row r="201" spans="1:3" x14ac:dyDescent="0.25">
      <c r="A201">
        <v>967</v>
      </c>
      <c r="B201" t="s">
        <v>572</v>
      </c>
      <c r="C201" t="s">
        <v>573</v>
      </c>
    </row>
    <row r="202" spans="1:3" x14ac:dyDescent="0.25">
      <c r="A202">
        <v>838</v>
      </c>
      <c r="B202" t="s">
        <v>574</v>
      </c>
      <c r="C202" t="s">
        <v>575</v>
      </c>
    </row>
    <row r="203" spans="1:3" x14ac:dyDescent="0.25">
      <c r="A203">
        <v>858</v>
      </c>
      <c r="B203" t="s">
        <v>576</v>
      </c>
      <c r="C203" t="s">
        <v>577</v>
      </c>
    </row>
    <row r="204" spans="1:3" x14ac:dyDescent="0.25">
      <c r="A204">
        <v>1059</v>
      </c>
      <c r="B204" t="s">
        <v>578</v>
      </c>
      <c r="C204" t="s">
        <v>579</v>
      </c>
    </row>
    <row r="205" spans="1:3" x14ac:dyDescent="0.25">
      <c r="A205">
        <v>906</v>
      </c>
      <c r="B205" t="s">
        <v>580</v>
      </c>
      <c r="C205" t="s">
        <v>581</v>
      </c>
    </row>
    <row r="206" spans="1:3" x14ac:dyDescent="0.25">
      <c r="A206">
        <v>997</v>
      </c>
      <c r="B206" t="s">
        <v>582</v>
      </c>
      <c r="C206" t="s">
        <v>583</v>
      </c>
    </row>
    <row r="207" spans="1:3" x14ac:dyDescent="0.25">
      <c r="A207">
        <v>1042</v>
      </c>
      <c r="B207" t="s">
        <v>584</v>
      </c>
      <c r="C207" t="s">
        <v>585</v>
      </c>
    </row>
    <row r="208" spans="1:3" x14ac:dyDescent="0.25">
      <c r="A208">
        <v>721</v>
      </c>
      <c r="B208" t="s">
        <v>586</v>
      </c>
      <c r="C208" t="s">
        <v>587</v>
      </c>
    </row>
    <row r="209" spans="1:3" x14ac:dyDescent="0.25">
      <c r="A209">
        <v>844</v>
      </c>
      <c r="B209" t="s">
        <v>588</v>
      </c>
      <c r="C209" t="s">
        <v>589</v>
      </c>
    </row>
    <row r="210" spans="1:3" x14ac:dyDescent="0.25">
      <c r="A210">
        <v>910</v>
      </c>
      <c r="B210" t="s">
        <v>590</v>
      </c>
      <c r="C210" t="s">
        <v>591</v>
      </c>
    </row>
    <row r="211" spans="1:3" x14ac:dyDescent="0.25">
      <c r="A211">
        <v>1019</v>
      </c>
      <c r="B211" t="s">
        <v>592</v>
      </c>
      <c r="C211" t="s">
        <v>593</v>
      </c>
    </row>
    <row r="212" spans="1:3" x14ac:dyDescent="0.25">
      <c r="A212">
        <v>675</v>
      </c>
      <c r="B212" t="s">
        <v>594</v>
      </c>
      <c r="C212" t="s">
        <v>595</v>
      </c>
    </row>
    <row r="213" spans="1:3" x14ac:dyDescent="0.25">
      <c r="A213">
        <v>857</v>
      </c>
      <c r="B213" t="s">
        <v>596</v>
      </c>
      <c r="C213" t="s">
        <v>597</v>
      </c>
    </row>
    <row r="214" spans="1:3" x14ac:dyDescent="0.25">
      <c r="A214">
        <v>1108</v>
      </c>
      <c r="B214" t="s">
        <v>598</v>
      </c>
      <c r="C214" t="s">
        <v>599</v>
      </c>
    </row>
    <row r="215" spans="1:3" x14ac:dyDescent="0.25">
      <c r="A215">
        <v>1147</v>
      </c>
      <c r="B215" t="s">
        <v>600</v>
      </c>
      <c r="C215" t="s">
        <v>601</v>
      </c>
    </row>
    <row r="216" spans="1:3" x14ac:dyDescent="0.25">
      <c r="A216">
        <v>839</v>
      </c>
      <c r="B216" t="s">
        <v>602</v>
      </c>
      <c r="C216" t="s">
        <v>603</v>
      </c>
    </row>
    <row r="217" spans="1:3" x14ac:dyDescent="0.25">
      <c r="A217">
        <v>643</v>
      </c>
      <c r="B217" t="s">
        <v>604</v>
      </c>
      <c r="C217" t="s">
        <v>605</v>
      </c>
    </row>
    <row r="218" spans="1:3" x14ac:dyDescent="0.25">
      <c r="A218">
        <v>1126</v>
      </c>
      <c r="B218" t="s">
        <v>606</v>
      </c>
      <c r="C218" t="s">
        <v>607</v>
      </c>
    </row>
    <row r="219" spans="1:3" x14ac:dyDescent="0.25">
      <c r="A219">
        <v>975</v>
      </c>
      <c r="B219" t="s">
        <v>608</v>
      </c>
      <c r="C219" t="s">
        <v>609</v>
      </c>
    </row>
    <row r="220" spans="1:3" x14ac:dyDescent="0.25">
      <c r="A220">
        <v>1035</v>
      </c>
      <c r="B220" t="s">
        <v>610</v>
      </c>
      <c r="C220" t="s">
        <v>611</v>
      </c>
    </row>
    <row r="221" spans="1:3" x14ac:dyDescent="0.25">
      <c r="A221">
        <v>693</v>
      </c>
      <c r="B221" t="s">
        <v>612</v>
      </c>
      <c r="C221" t="s">
        <v>613</v>
      </c>
    </row>
    <row r="222" spans="1:3" x14ac:dyDescent="0.25">
      <c r="A222">
        <v>603</v>
      </c>
      <c r="B222" t="s">
        <v>614</v>
      </c>
      <c r="C222" t="s">
        <v>615</v>
      </c>
    </row>
    <row r="223" spans="1:3" x14ac:dyDescent="0.25">
      <c r="A223">
        <v>631</v>
      </c>
      <c r="B223" t="s">
        <v>616</v>
      </c>
      <c r="C223" t="s">
        <v>617</v>
      </c>
    </row>
    <row r="224" spans="1:3" x14ac:dyDescent="0.25">
      <c r="A224">
        <v>875</v>
      </c>
      <c r="B224" t="s">
        <v>618</v>
      </c>
      <c r="C224" t="s">
        <v>619</v>
      </c>
    </row>
    <row r="225" spans="1:3" x14ac:dyDescent="0.25">
      <c r="A225">
        <v>856</v>
      </c>
      <c r="B225" t="s">
        <v>620</v>
      </c>
      <c r="C225" t="s">
        <v>621</v>
      </c>
    </row>
    <row r="226" spans="1:3" x14ac:dyDescent="0.25">
      <c r="A226">
        <v>1110</v>
      </c>
      <c r="B226" t="s">
        <v>622</v>
      </c>
      <c r="C226" t="s">
        <v>623</v>
      </c>
    </row>
    <row r="227" spans="1:3" x14ac:dyDescent="0.25">
      <c r="A227">
        <v>825</v>
      </c>
      <c r="B227" t="s">
        <v>624</v>
      </c>
      <c r="C227" t="s">
        <v>625</v>
      </c>
    </row>
    <row r="228" spans="1:3" x14ac:dyDescent="0.25">
      <c r="A228">
        <v>665</v>
      </c>
      <c r="B228" t="s">
        <v>626</v>
      </c>
      <c r="C228" t="s">
        <v>627</v>
      </c>
    </row>
    <row r="229" spans="1:3" x14ac:dyDescent="0.25">
      <c r="A229">
        <v>686</v>
      </c>
      <c r="B229" t="s">
        <v>628</v>
      </c>
      <c r="C229" t="s">
        <v>629</v>
      </c>
    </row>
    <row r="230" spans="1:3" x14ac:dyDescent="0.25">
      <c r="A230">
        <v>702</v>
      </c>
      <c r="B230" t="s">
        <v>630</v>
      </c>
      <c r="C230" t="s">
        <v>631</v>
      </c>
    </row>
    <row r="231" spans="1:3" x14ac:dyDescent="0.25">
      <c r="A231">
        <v>938</v>
      </c>
      <c r="B231" t="s">
        <v>632</v>
      </c>
      <c r="C231" t="s">
        <v>633</v>
      </c>
    </row>
    <row r="232" spans="1:3" x14ac:dyDescent="0.25">
      <c r="A232">
        <v>822</v>
      </c>
      <c r="B232" t="s">
        <v>634</v>
      </c>
      <c r="C232" t="s">
        <v>635</v>
      </c>
    </row>
    <row r="233" spans="1:3" x14ac:dyDescent="0.25">
      <c r="A233">
        <v>896</v>
      </c>
      <c r="B233" t="s">
        <v>636</v>
      </c>
      <c r="C233" t="s">
        <v>637</v>
      </c>
    </row>
    <row r="234" spans="1:3" x14ac:dyDescent="0.25">
      <c r="A234">
        <v>730</v>
      </c>
      <c r="B234" t="s">
        <v>638</v>
      </c>
      <c r="C234" t="s">
        <v>639</v>
      </c>
    </row>
    <row r="235" spans="1:3" x14ac:dyDescent="0.25">
      <c r="A235">
        <v>987</v>
      </c>
      <c r="B235" t="s">
        <v>640</v>
      </c>
      <c r="C235" t="s">
        <v>641</v>
      </c>
    </row>
    <row r="236" spans="1:3" x14ac:dyDescent="0.25">
      <c r="A236">
        <v>972</v>
      </c>
      <c r="B236" t="s">
        <v>642</v>
      </c>
      <c r="C236" t="s">
        <v>643</v>
      </c>
    </row>
    <row r="237" spans="1:3" x14ac:dyDescent="0.25">
      <c r="A237">
        <v>1047</v>
      </c>
      <c r="B237" t="s">
        <v>644</v>
      </c>
      <c r="C237" t="s">
        <v>645</v>
      </c>
    </row>
    <row r="238" spans="1:3" x14ac:dyDescent="0.25">
      <c r="A238">
        <v>851</v>
      </c>
      <c r="B238" t="s">
        <v>646</v>
      </c>
      <c r="C238" t="s">
        <v>647</v>
      </c>
    </row>
    <row r="239" spans="1:3" x14ac:dyDescent="0.25">
      <c r="A239">
        <v>1090</v>
      </c>
      <c r="B239" t="s">
        <v>648</v>
      </c>
      <c r="C239" t="s">
        <v>649</v>
      </c>
    </row>
    <row r="240" spans="1:3" x14ac:dyDescent="0.25">
      <c r="A240">
        <v>518</v>
      </c>
      <c r="B240" t="s">
        <v>650</v>
      </c>
      <c r="C240" t="s">
        <v>651</v>
      </c>
    </row>
    <row r="241" spans="1:3" x14ac:dyDescent="0.25">
      <c r="A241">
        <v>946</v>
      </c>
      <c r="B241" t="s">
        <v>652</v>
      </c>
      <c r="C241" t="s">
        <v>653</v>
      </c>
    </row>
    <row r="242" spans="1:3" x14ac:dyDescent="0.25">
      <c r="A242">
        <v>527</v>
      </c>
      <c r="B242" t="s">
        <v>654</v>
      </c>
      <c r="C242" t="s">
        <v>655</v>
      </c>
    </row>
    <row r="243" spans="1:3" x14ac:dyDescent="0.25">
      <c r="A243">
        <v>619</v>
      </c>
      <c r="B243" t="s">
        <v>656</v>
      </c>
      <c r="C243" t="s">
        <v>657</v>
      </c>
    </row>
    <row r="244" spans="1:3" x14ac:dyDescent="0.25">
      <c r="A244">
        <v>1123</v>
      </c>
      <c r="B244" t="s">
        <v>658</v>
      </c>
      <c r="C244" t="s">
        <v>659</v>
      </c>
    </row>
    <row r="245" spans="1:3" x14ac:dyDescent="0.25">
      <c r="A245">
        <v>1135</v>
      </c>
      <c r="B245" t="s">
        <v>660</v>
      </c>
      <c r="C245" t="s">
        <v>661</v>
      </c>
    </row>
    <row r="246" spans="1:3" x14ac:dyDescent="0.25">
      <c r="A246">
        <v>990</v>
      </c>
      <c r="B246" t="s">
        <v>662</v>
      </c>
      <c r="C246" t="s">
        <v>663</v>
      </c>
    </row>
    <row r="247" spans="1:3" x14ac:dyDescent="0.25">
      <c r="A247">
        <v>760</v>
      </c>
      <c r="B247" t="s">
        <v>664</v>
      </c>
      <c r="C247" t="s">
        <v>665</v>
      </c>
    </row>
    <row r="248" spans="1:3" x14ac:dyDescent="0.25">
      <c r="A248">
        <v>779</v>
      </c>
      <c r="B248" t="s">
        <v>666</v>
      </c>
      <c r="C248" t="s">
        <v>667</v>
      </c>
    </row>
    <row r="249" spans="1:3" x14ac:dyDescent="0.25">
      <c r="A249">
        <v>872</v>
      </c>
      <c r="B249" t="s">
        <v>668</v>
      </c>
      <c r="C249" t="s">
        <v>669</v>
      </c>
    </row>
    <row r="250" spans="1:3" x14ac:dyDescent="0.25">
      <c r="A250">
        <v>1096</v>
      </c>
      <c r="B250" t="s">
        <v>670</v>
      </c>
      <c r="C250" t="s">
        <v>671</v>
      </c>
    </row>
    <row r="251" spans="1:3" x14ac:dyDescent="0.25">
      <c r="A251">
        <v>1138</v>
      </c>
      <c r="B251" t="s">
        <v>672</v>
      </c>
      <c r="C251" t="s">
        <v>673</v>
      </c>
    </row>
    <row r="252" spans="1:3" x14ac:dyDescent="0.25">
      <c r="A252">
        <v>701</v>
      </c>
      <c r="B252" t="s">
        <v>674</v>
      </c>
      <c r="C252" t="s">
        <v>675</v>
      </c>
    </row>
    <row r="253" spans="1:3" x14ac:dyDescent="0.25">
      <c r="A253">
        <v>703</v>
      </c>
      <c r="B253" t="s">
        <v>676</v>
      </c>
      <c r="C253" t="s">
        <v>676</v>
      </c>
    </row>
    <row r="254" spans="1:3" x14ac:dyDescent="0.25">
      <c r="A254">
        <v>605</v>
      </c>
      <c r="B254" t="s">
        <v>677</v>
      </c>
      <c r="C254" t="s">
        <v>678</v>
      </c>
    </row>
    <row r="255" spans="1:3" x14ac:dyDescent="0.25">
      <c r="A255">
        <v>1113</v>
      </c>
      <c r="B255" t="s">
        <v>679</v>
      </c>
      <c r="C255" t="s">
        <v>680</v>
      </c>
    </row>
    <row r="256" spans="1:3" x14ac:dyDescent="0.25">
      <c r="A256">
        <v>1002</v>
      </c>
      <c r="B256" t="s">
        <v>681</v>
      </c>
      <c r="C256" t="s">
        <v>682</v>
      </c>
    </row>
    <row r="257" spans="1:3" x14ac:dyDescent="0.25">
      <c r="A257">
        <v>576</v>
      </c>
      <c r="B257" t="s">
        <v>683</v>
      </c>
      <c r="C257" t="s">
        <v>684</v>
      </c>
    </row>
    <row r="258" spans="1:3" x14ac:dyDescent="0.25">
      <c r="A258">
        <v>1041</v>
      </c>
      <c r="B258" t="s">
        <v>685</v>
      </c>
      <c r="C258" t="s">
        <v>686</v>
      </c>
    </row>
    <row r="259" spans="1:3" x14ac:dyDescent="0.25">
      <c r="A259">
        <v>978</v>
      </c>
      <c r="B259" t="s">
        <v>687</v>
      </c>
      <c r="C259" t="s">
        <v>688</v>
      </c>
    </row>
    <row r="260" spans="1:3" x14ac:dyDescent="0.25">
      <c r="A260">
        <v>694</v>
      </c>
      <c r="B260" t="s">
        <v>689</v>
      </c>
      <c r="C260" t="s">
        <v>690</v>
      </c>
    </row>
    <row r="261" spans="1:3" x14ac:dyDescent="0.25">
      <c r="A261">
        <v>712</v>
      </c>
      <c r="B261" t="s">
        <v>691</v>
      </c>
      <c r="C261" t="s">
        <v>692</v>
      </c>
    </row>
    <row r="262" spans="1:3" x14ac:dyDescent="0.25">
      <c r="A262">
        <v>623</v>
      </c>
      <c r="B262" t="s">
        <v>693</v>
      </c>
      <c r="C262" t="s">
        <v>694</v>
      </c>
    </row>
    <row r="263" spans="1:3" x14ac:dyDescent="0.25">
      <c r="A263">
        <v>1120</v>
      </c>
      <c r="B263" t="s">
        <v>695</v>
      </c>
      <c r="C263" t="s">
        <v>696</v>
      </c>
    </row>
    <row r="264" spans="1:3" x14ac:dyDescent="0.25">
      <c r="A264">
        <v>716</v>
      </c>
      <c r="B264" t="s">
        <v>697</v>
      </c>
      <c r="C264" t="s">
        <v>697</v>
      </c>
    </row>
    <row r="265" spans="1:3" x14ac:dyDescent="0.25">
      <c r="A265">
        <v>1125</v>
      </c>
      <c r="B265" t="s">
        <v>698</v>
      </c>
      <c r="C265" t="s">
        <v>699</v>
      </c>
    </row>
    <row r="266" spans="1:3" x14ac:dyDescent="0.25">
      <c r="A266">
        <v>806</v>
      </c>
      <c r="B266" t="s">
        <v>700</v>
      </c>
      <c r="C266" t="s">
        <v>701</v>
      </c>
    </row>
    <row r="267" spans="1:3" x14ac:dyDescent="0.25">
      <c r="A267">
        <v>667</v>
      </c>
      <c r="B267" t="s">
        <v>702</v>
      </c>
      <c r="C267" t="s">
        <v>703</v>
      </c>
    </row>
    <row r="268" spans="1:3" x14ac:dyDescent="0.25">
      <c r="A268">
        <v>957</v>
      </c>
      <c r="B268" t="s">
        <v>704</v>
      </c>
      <c r="C268" t="s">
        <v>705</v>
      </c>
    </row>
    <row r="269" spans="1:3" x14ac:dyDescent="0.25">
      <c r="A269">
        <v>724</v>
      </c>
      <c r="B269" t="s">
        <v>706</v>
      </c>
      <c r="C269" t="s">
        <v>706</v>
      </c>
    </row>
    <row r="270" spans="1:3" x14ac:dyDescent="0.25">
      <c r="A270">
        <v>927</v>
      </c>
      <c r="B270" t="s">
        <v>707</v>
      </c>
      <c r="C270" t="s">
        <v>708</v>
      </c>
    </row>
    <row r="271" spans="1:3" x14ac:dyDescent="0.25">
      <c r="A271">
        <v>690</v>
      </c>
      <c r="B271" t="s">
        <v>709</v>
      </c>
      <c r="C271" t="s">
        <v>710</v>
      </c>
    </row>
    <row r="272" spans="1:3" x14ac:dyDescent="0.25">
      <c r="A272">
        <v>541</v>
      </c>
      <c r="B272" t="s">
        <v>711</v>
      </c>
      <c r="C272" t="s">
        <v>712</v>
      </c>
    </row>
    <row r="273" spans="1:3" x14ac:dyDescent="0.25">
      <c r="A273">
        <v>1128</v>
      </c>
      <c r="B273" t="s">
        <v>713</v>
      </c>
      <c r="C273" t="s">
        <v>713</v>
      </c>
    </row>
    <row r="274" spans="1:3" x14ac:dyDescent="0.25">
      <c r="A274">
        <v>1064</v>
      </c>
      <c r="B274" t="s">
        <v>714</v>
      </c>
      <c r="C274" t="s">
        <v>715</v>
      </c>
    </row>
    <row r="275" spans="1:3" x14ac:dyDescent="0.25">
      <c r="A275">
        <v>551</v>
      </c>
      <c r="B275" t="s">
        <v>716</v>
      </c>
      <c r="C275" t="s">
        <v>717</v>
      </c>
    </row>
    <row r="276" spans="1:3" x14ac:dyDescent="0.25">
      <c r="A276">
        <v>650</v>
      </c>
      <c r="B276" t="s">
        <v>718</v>
      </c>
      <c r="C276" t="s">
        <v>719</v>
      </c>
    </row>
    <row r="277" spans="1:3" x14ac:dyDescent="0.25">
      <c r="A277">
        <v>620</v>
      </c>
      <c r="B277" t="s">
        <v>720</v>
      </c>
      <c r="C277" t="s">
        <v>721</v>
      </c>
    </row>
    <row r="278" spans="1:3" x14ac:dyDescent="0.25">
      <c r="A278">
        <v>956</v>
      </c>
      <c r="B278" t="s">
        <v>722</v>
      </c>
      <c r="C278" t="s">
        <v>723</v>
      </c>
    </row>
    <row r="279" spans="1:3" x14ac:dyDescent="0.25">
      <c r="A279">
        <v>835</v>
      </c>
      <c r="B279" t="s">
        <v>724</v>
      </c>
      <c r="C279" t="s">
        <v>725</v>
      </c>
    </row>
    <row r="280" spans="1:3" x14ac:dyDescent="0.25">
      <c r="A280">
        <v>741</v>
      </c>
      <c r="B280" t="s">
        <v>726</v>
      </c>
      <c r="C280" t="s">
        <v>727</v>
      </c>
    </row>
    <row r="281" spans="1:3" x14ac:dyDescent="0.25">
      <c r="A281">
        <v>823</v>
      </c>
      <c r="B281" t="s">
        <v>728</v>
      </c>
      <c r="C281" t="s">
        <v>729</v>
      </c>
    </row>
    <row r="282" spans="1:3" x14ac:dyDescent="0.25">
      <c r="A282">
        <v>559</v>
      </c>
      <c r="B282" t="s">
        <v>730</v>
      </c>
      <c r="C282" t="s">
        <v>731</v>
      </c>
    </row>
    <row r="283" spans="1:3" x14ac:dyDescent="0.25">
      <c r="A283">
        <v>531</v>
      </c>
      <c r="B283" t="s">
        <v>732</v>
      </c>
      <c r="C283" t="s">
        <v>733</v>
      </c>
    </row>
    <row r="284" spans="1:3" x14ac:dyDescent="0.25">
      <c r="A284">
        <v>625</v>
      </c>
      <c r="B284" t="s">
        <v>734</v>
      </c>
      <c r="C284" t="s">
        <v>735</v>
      </c>
    </row>
    <row r="285" spans="1:3" x14ac:dyDescent="0.25">
      <c r="A285">
        <v>1024</v>
      </c>
      <c r="B285" t="s">
        <v>736</v>
      </c>
      <c r="C285" t="s">
        <v>737</v>
      </c>
    </row>
    <row r="286" spans="1:3" x14ac:dyDescent="0.25">
      <c r="A286">
        <v>699</v>
      </c>
      <c r="B286" t="s">
        <v>738</v>
      </c>
      <c r="C286" t="s">
        <v>739</v>
      </c>
    </row>
    <row r="287" spans="1:3" x14ac:dyDescent="0.25">
      <c r="A287">
        <v>945</v>
      </c>
      <c r="B287" t="s">
        <v>740</v>
      </c>
      <c r="C287" t="s">
        <v>741</v>
      </c>
    </row>
    <row r="288" spans="1:3" x14ac:dyDescent="0.25">
      <c r="A288">
        <v>977</v>
      </c>
      <c r="B288" t="s">
        <v>742</v>
      </c>
      <c r="C288" t="s">
        <v>743</v>
      </c>
    </row>
    <row r="289" spans="1:3" x14ac:dyDescent="0.25">
      <c r="A289">
        <v>804</v>
      </c>
      <c r="B289" t="s">
        <v>744</v>
      </c>
      <c r="C289" t="s">
        <v>745</v>
      </c>
    </row>
    <row r="290" spans="1:3" x14ac:dyDescent="0.25">
      <c r="A290">
        <v>1021</v>
      </c>
      <c r="B290" t="s">
        <v>746</v>
      </c>
      <c r="C290" t="s">
        <v>747</v>
      </c>
    </row>
    <row r="291" spans="1:3" x14ac:dyDescent="0.25">
      <c r="A291">
        <v>953</v>
      </c>
      <c r="B291" t="s">
        <v>748</v>
      </c>
      <c r="C291" t="s">
        <v>749</v>
      </c>
    </row>
    <row r="292" spans="1:3" x14ac:dyDescent="0.25">
      <c r="A292">
        <v>911</v>
      </c>
      <c r="B292" t="s">
        <v>750</v>
      </c>
      <c r="C292" t="s">
        <v>751</v>
      </c>
    </row>
    <row r="293" spans="1:3" x14ac:dyDescent="0.25">
      <c r="A293">
        <v>922</v>
      </c>
      <c r="B293" t="s">
        <v>752</v>
      </c>
      <c r="C293" t="s">
        <v>753</v>
      </c>
    </row>
    <row r="294" spans="1:3" x14ac:dyDescent="0.25">
      <c r="A294">
        <v>1094</v>
      </c>
      <c r="B294" t="s">
        <v>754</v>
      </c>
      <c r="C294" t="s">
        <v>755</v>
      </c>
    </row>
    <row r="295" spans="1:3" x14ac:dyDescent="0.25">
      <c r="A295">
        <v>814</v>
      </c>
      <c r="B295" t="s">
        <v>756</v>
      </c>
      <c r="C295" t="s">
        <v>757</v>
      </c>
    </row>
    <row r="296" spans="1:3" x14ac:dyDescent="0.25">
      <c r="A296">
        <v>878</v>
      </c>
      <c r="B296" t="s">
        <v>758</v>
      </c>
      <c r="C296" t="s">
        <v>759</v>
      </c>
    </row>
    <row r="297" spans="1:3" x14ac:dyDescent="0.25">
      <c r="A297">
        <v>514</v>
      </c>
      <c r="B297" t="s">
        <v>760</v>
      </c>
      <c r="C297" t="s">
        <v>761</v>
      </c>
    </row>
    <row r="298" spans="1:3" x14ac:dyDescent="0.25">
      <c r="A298">
        <v>794</v>
      </c>
      <c r="B298" t="s">
        <v>762</v>
      </c>
      <c r="C298" t="s">
        <v>763</v>
      </c>
    </row>
    <row r="299" spans="1:3" x14ac:dyDescent="0.25">
      <c r="A299">
        <v>907</v>
      </c>
      <c r="B299" t="s">
        <v>764</v>
      </c>
      <c r="C299" t="s">
        <v>765</v>
      </c>
    </row>
    <row r="300" spans="1:3" x14ac:dyDescent="0.25">
      <c r="A300">
        <v>1004</v>
      </c>
      <c r="B300" t="s">
        <v>766</v>
      </c>
      <c r="C300" t="s">
        <v>767</v>
      </c>
    </row>
    <row r="301" spans="1:3" x14ac:dyDescent="0.25">
      <c r="A301">
        <v>999</v>
      </c>
      <c r="B301" t="s">
        <v>768</v>
      </c>
      <c r="C301" t="s">
        <v>769</v>
      </c>
    </row>
    <row r="302" spans="1:3" x14ac:dyDescent="0.25">
      <c r="A302">
        <v>560</v>
      </c>
      <c r="B302" t="s">
        <v>770</v>
      </c>
      <c r="C302" t="s">
        <v>771</v>
      </c>
    </row>
    <row r="303" spans="1:3" x14ac:dyDescent="0.25">
      <c r="A303">
        <v>637</v>
      </c>
      <c r="B303" t="s">
        <v>772</v>
      </c>
      <c r="C303" t="s">
        <v>773</v>
      </c>
    </row>
    <row r="304" spans="1:3" x14ac:dyDescent="0.25">
      <c r="A304">
        <v>782</v>
      </c>
      <c r="B304" t="s">
        <v>774</v>
      </c>
      <c r="C304" t="s">
        <v>775</v>
      </c>
    </row>
    <row r="305" spans="1:3" x14ac:dyDescent="0.25">
      <c r="A305">
        <v>885</v>
      </c>
      <c r="B305" t="s">
        <v>776</v>
      </c>
      <c r="C305" t="s">
        <v>777</v>
      </c>
    </row>
    <row r="306" spans="1:3" x14ac:dyDescent="0.25">
      <c r="A306">
        <v>962</v>
      </c>
      <c r="B306" t="s">
        <v>778</v>
      </c>
      <c r="C306" t="s">
        <v>779</v>
      </c>
    </row>
    <row r="307" spans="1:3" x14ac:dyDescent="0.25">
      <c r="A307">
        <v>1132</v>
      </c>
      <c r="B307" t="s">
        <v>780</v>
      </c>
      <c r="C307" t="s">
        <v>780</v>
      </c>
    </row>
    <row r="308" spans="1:3" x14ac:dyDescent="0.25">
      <c r="A308">
        <v>751</v>
      </c>
      <c r="B308" t="s">
        <v>781</v>
      </c>
      <c r="C308" t="s">
        <v>781</v>
      </c>
    </row>
    <row r="309" spans="1:3" x14ac:dyDescent="0.25">
      <c r="A309">
        <v>944</v>
      </c>
      <c r="B309" t="s">
        <v>782</v>
      </c>
      <c r="C309" t="s">
        <v>783</v>
      </c>
    </row>
    <row r="310" spans="1:3" x14ac:dyDescent="0.25">
      <c r="A310">
        <v>1023</v>
      </c>
      <c r="B310" t="s">
        <v>784</v>
      </c>
      <c r="C310" t="s">
        <v>785</v>
      </c>
    </row>
    <row r="311" spans="1:3" x14ac:dyDescent="0.25">
      <c r="A311">
        <v>521</v>
      </c>
      <c r="B311" t="s">
        <v>786</v>
      </c>
      <c r="C311" t="s">
        <v>787</v>
      </c>
    </row>
    <row r="312" spans="1:3" x14ac:dyDescent="0.25">
      <c r="A312">
        <v>1046</v>
      </c>
      <c r="B312" t="s">
        <v>788</v>
      </c>
      <c r="C312" t="s">
        <v>789</v>
      </c>
    </row>
    <row r="313" spans="1:3" x14ac:dyDescent="0.25">
      <c r="A313">
        <v>994</v>
      </c>
      <c r="B313" t="s">
        <v>790</v>
      </c>
      <c r="C313" t="s">
        <v>791</v>
      </c>
    </row>
    <row r="314" spans="1:3" x14ac:dyDescent="0.25">
      <c r="A314">
        <v>1003</v>
      </c>
      <c r="B314" t="s">
        <v>792</v>
      </c>
      <c r="C314" t="s">
        <v>793</v>
      </c>
    </row>
    <row r="315" spans="1:3" x14ac:dyDescent="0.25">
      <c r="A315">
        <v>638</v>
      </c>
      <c r="B315" t="s">
        <v>794</v>
      </c>
      <c r="C315" t="s">
        <v>795</v>
      </c>
    </row>
    <row r="316" spans="1:3" x14ac:dyDescent="0.25">
      <c r="A316">
        <v>1131</v>
      </c>
      <c r="B316" t="s">
        <v>796</v>
      </c>
      <c r="C316" t="s">
        <v>797</v>
      </c>
    </row>
    <row r="317" spans="1:3" x14ac:dyDescent="0.25">
      <c r="A317">
        <v>963</v>
      </c>
      <c r="B317" t="s">
        <v>798</v>
      </c>
      <c r="C317" t="s">
        <v>799</v>
      </c>
    </row>
    <row r="318" spans="1:3" x14ac:dyDescent="0.25">
      <c r="A318">
        <v>658</v>
      </c>
      <c r="B318" t="s">
        <v>800</v>
      </c>
      <c r="C318" t="s">
        <v>801</v>
      </c>
    </row>
    <row r="319" spans="1:3" x14ac:dyDescent="0.25">
      <c r="A319">
        <v>1078</v>
      </c>
      <c r="B319" t="s">
        <v>802</v>
      </c>
      <c r="C319" t="s">
        <v>803</v>
      </c>
    </row>
    <row r="320" spans="1:3" x14ac:dyDescent="0.25">
      <c r="A320">
        <v>1080</v>
      </c>
      <c r="B320" t="s">
        <v>804</v>
      </c>
      <c r="C320" t="s">
        <v>805</v>
      </c>
    </row>
    <row r="321" spans="1:3" x14ac:dyDescent="0.25">
      <c r="A321">
        <v>672</v>
      </c>
      <c r="B321" t="s">
        <v>806</v>
      </c>
      <c r="C321" t="s">
        <v>807</v>
      </c>
    </row>
    <row r="322" spans="1:3" x14ac:dyDescent="0.25">
      <c r="A322">
        <v>861</v>
      </c>
      <c r="B322" t="s">
        <v>808</v>
      </c>
      <c r="C322" t="s">
        <v>809</v>
      </c>
    </row>
    <row r="323" spans="1:3" x14ac:dyDescent="0.25">
      <c r="A323">
        <v>900</v>
      </c>
      <c r="B323" t="s">
        <v>810</v>
      </c>
      <c r="C323" t="s">
        <v>811</v>
      </c>
    </row>
    <row r="324" spans="1:3" x14ac:dyDescent="0.25">
      <c r="A324">
        <v>1056</v>
      </c>
      <c r="B324" t="s">
        <v>812</v>
      </c>
      <c r="C324" t="s">
        <v>812</v>
      </c>
    </row>
    <row r="325" spans="1:3" x14ac:dyDescent="0.25">
      <c r="A325">
        <v>519</v>
      </c>
      <c r="B325" t="s">
        <v>813</v>
      </c>
      <c r="C325" t="s">
        <v>814</v>
      </c>
    </row>
    <row r="326" spans="1:3" x14ac:dyDescent="0.25">
      <c r="A326">
        <v>533</v>
      </c>
      <c r="B326" t="s">
        <v>815</v>
      </c>
      <c r="C326" t="s">
        <v>816</v>
      </c>
    </row>
    <row r="327" spans="1:3" x14ac:dyDescent="0.25">
      <c r="A327">
        <v>564</v>
      </c>
      <c r="B327" t="s">
        <v>817</v>
      </c>
      <c r="C327" t="s">
        <v>818</v>
      </c>
    </row>
    <row r="328" spans="1:3" x14ac:dyDescent="0.25">
      <c r="A328">
        <v>1087</v>
      </c>
      <c r="B328" t="s">
        <v>819</v>
      </c>
      <c r="C328" t="s">
        <v>820</v>
      </c>
    </row>
    <row r="329" spans="1:3" x14ac:dyDescent="0.25">
      <c r="A329">
        <v>991</v>
      </c>
      <c r="B329" t="s">
        <v>821</v>
      </c>
      <c r="C329" t="s">
        <v>822</v>
      </c>
    </row>
    <row r="330" spans="1:3" x14ac:dyDescent="0.25">
      <c r="A330">
        <v>641</v>
      </c>
      <c r="B330" t="s">
        <v>823</v>
      </c>
      <c r="C330" t="s">
        <v>824</v>
      </c>
    </row>
    <row r="331" spans="1:3" x14ac:dyDescent="0.25">
      <c r="A331">
        <v>848</v>
      </c>
      <c r="B331" t="s">
        <v>825</v>
      </c>
      <c r="C331" t="s">
        <v>826</v>
      </c>
    </row>
    <row r="332" spans="1:3" x14ac:dyDescent="0.25">
      <c r="A332">
        <v>784</v>
      </c>
      <c r="B332" t="s">
        <v>827</v>
      </c>
      <c r="C332" t="s">
        <v>827</v>
      </c>
    </row>
    <row r="333" spans="1:3" x14ac:dyDescent="0.25">
      <c r="A333">
        <v>954</v>
      </c>
      <c r="B333" t="s">
        <v>828</v>
      </c>
      <c r="C333" t="s">
        <v>829</v>
      </c>
    </row>
    <row r="334" spans="1:3" x14ac:dyDescent="0.25">
      <c r="A334">
        <v>765</v>
      </c>
      <c r="B334" t="s">
        <v>830</v>
      </c>
      <c r="C334" t="s">
        <v>831</v>
      </c>
    </row>
    <row r="335" spans="1:3" x14ac:dyDescent="0.25">
      <c r="A335">
        <v>973</v>
      </c>
      <c r="B335" t="s">
        <v>832</v>
      </c>
      <c r="C335" t="s">
        <v>833</v>
      </c>
    </row>
    <row r="336" spans="1:3" x14ac:dyDescent="0.25">
      <c r="A336">
        <v>951</v>
      </c>
      <c r="B336" t="s">
        <v>834</v>
      </c>
      <c r="C336" t="s">
        <v>835</v>
      </c>
    </row>
    <row r="337" spans="1:3" x14ac:dyDescent="0.25">
      <c r="A337">
        <v>1043</v>
      </c>
      <c r="B337" t="s">
        <v>836</v>
      </c>
      <c r="C337" t="s">
        <v>837</v>
      </c>
    </row>
    <row r="338" spans="1:3" x14ac:dyDescent="0.25">
      <c r="A338">
        <v>543</v>
      </c>
      <c r="B338" t="s">
        <v>838</v>
      </c>
      <c r="C338" t="s">
        <v>839</v>
      </c>
    </row>
    <row r="339" spans="1:3" x14ac:dyDescent="0.25">
      <c r="A339">
        <v>545</v>
      </c>
      <c r="B339" t="s">
        <v>840</v>
      </c>
      <c r="C339" t="s">
        <v>841</v>
      </c>
    </row>
    <row r="340" spans="1:3" x14ac:dyDescent="0.25">
      <c r="A340">
        <v>577</v>
      </c>
      <c r="B340" t="s">
        <v>842</v>
      </c>
      <c r="C340" t="s">
        <v>843</v>
      </c>
    </row>
    <row r="341" spans="1:3" x14ac:dyDescent="0.25">
      <c r="A341">
        <v>881</v>
      </c>
      <c r="B341" t="s">
        <v>844</v>
      </c>
      <c r="C341" t="s">
        <v>845</v>
      </c>
    </row>
    <row r="342" spans="1:3" x14ac:dyDescent="0.25">
      <c r="A342">
        <v>863</v>
      </c>
      <c r="B342" t="s">
        <v>846</v>
      </c>
      <c r="C342" t="s">
        <v>847</v>
      </c>
    </row>
    <row r="343" spans="1:3" x14ac:dyDescent="0.25">
      <c r="A343">
        <v>961</v>
      </c>
      <c r="B343" t="s">
        <v>848</v>
      </c>
      <c r="C343" t="s">
        <v>849</v>
      </c>
    </row>
    <row r="344" spans="1:3" x14ac:dyDescent="0.25">
      <c r="A344">
        <v>732</v>
      </c>
      <c r="B344" t="s">
        <v>850</v>
      </c>
      <c r="C344" t="s">
        <v>851</v>
      </c>
    </row>
    <row r="345" spans="1:3" x14ac:dyDescent="0.25">
      <c r="A345">
        <v>799</v>
      </c>
      <c r="B345" t="s">
        <v>852</v>
      </c>
      <c r="C345" t="s">
        <v>853</v>
      </c>
    </row>
    <row r="346" spans="1:3" x14ac:dyDescent="0.25">
      <c r="A346">
        <v>731</v>
      </c>
      <c r="B346" t="s">
        <v>854</v>
      </c>
      <c r="C346" t="s">
        <v>855</v>
      </c>
    </row>
    <row r="347" spans="1:3" x14ac:dyDescent="0.25">
      <c r="A347">
        <v>1153</v>
      </c>
      <c r="B347" t="s">
        <v>856</v>
      </c>
      <c r="C347" t="s">
        <v>857</v>
      </c>
    </row>
    <row r="348" spans="1:3" x14ac:dyDescent="0.25">
      <c r="A348">
        <v>1083</v>
      </c>
      <c r="B348" t="s">
        <v>858</v>
      </c>
      <c r="C348" t="s">
        <v>859</v>
      </c>
    </row>
    <row r="349" spans="1:3" x14ac:dyDescent="0.25">
      <c r="A349">
        <v>792</v>
      </c>
      <c r="B349" t="s">
        <v>860</v>
      </c>
      <c r="C349" t="s">
        <v>860</v>
      </c>
    </row>
    <row r="350" spans="1:3" x14ac:dyDescent="0.25">
      <c r="A350">
        <v>511</v>
      </c>
      <c r="B350" t="s">
        <v>861</v>
      </c>
      <c r="C350" t="s">
        <v>862</v>
      </c>
    </row>
    <row r="351" spans="1:3" x14ac:dyDescent="0.25">
      <c r="A351">
        <v>793</v>
      </c>
      <c r="B351" t="s">
        <v>863</v>
      </c>
      <c r="C351" t="s">
        <v>863</v>
      </c>
    </row>
    <row r="352" spans="1:3" x14ac:dyDescent="0.25">
      <c r="A352">
        <v>1114</v>
      </c>
      <c r="B352" t="s">
        <v>864</v>
      </c>
      <c r="C352" t="s">
        <v>865</v>
      </c>
    </row>
    <row r="353" spans="1:3" x14ac:dyDescent="0.25">
      <c r="A353">
        <v>795</v>
      </c>
      <c r="B353" t="s">
        <v>866</v>
      </c>
      <c r="C353" t="s">
        <v>867</v>
      </c>
    </row>
    <row r="354" spans="1:3" x14ac:dyDescent="0.25">
      <c r="A354">
        <v>1137</v>
      </c>
      <c r="B354" t="s">
        <v>868</v>
      </c>
      <c r="C354" t="s">
        <v>868</v>
      </c>
    </row>
    <row r="355" spans="1:3" x14ac:dyDescent="0.25">
      <c r="A355">
        <v>1063</v>
      </c>
      <c r="B355" t="s">
        <v>869</v>
      </c>
      <c r="C355" t="s">
        <v>869</v>
      </c>
    </row>
    <row r="356" spans="1:3" x14ac:dyDescent="0.25">
      <c r="A356">
        <v>1062</v>
      </c>
      <c r="B356" t="s">
        <v>870</v>
      </c>
      <c r="C356" t="s">
        <v>871</v>
      </c>
    </row>
    <row r="357" spans="1:3" x14ac:dyDescent="0.25">
      <c r="A357">
        <v>678</v>
      </c>
      <c r="B357" t="s">
        <v>872</v>
      </c>
      <c r="C357" t="s">
        <v>873</v>
      </c>
    </row>
    <row r="358" spans="1:3" x14ac:dyDescent="0.25">
      <c r="A358">
        <v>743</v>
      </c>
      <c r="B358" t="s">
        <v>874</v>
      </c>
      <c r="C358" t="s">
        <v>875</v>
      </c>
    </row>
    <row r="359" spans="1:3" x14ac:dyDescent="0.25">
      <c r="A359">
        <v>662</v>
      </c>
      <c r="B359" t="s">
        <v>876</v>
      </c>
      <c r="C359" t="s">
        <v>877</v>
      </c>
    </row>
    <row r="360" spans="1:3" x14ac:dyDescent="0.25">
      <c r="A360">
        <v>756</v>
      </c>
      <c r="B360" t="s">
        <v>878</v>
      </c>
      <c r="C360" t="s">
        <v>879</v>
      </c>
    </row>
    <row r="361" spans="1:3" x14ac:dyDescent="0.25">
      <c r="A361">
        <v>996</v>
      </c>
      <c r="B361" t="s">
        <v>880</v>
      </c>
      <c r="C361" t="s">
        <v>881</v>
      </c>
    </row>
    <row r="362" spans="1:3" x14ac:dyDescent="0.25">
      <c r="A362">
        <v>512</v>
      </c>
      <c r="B362" t="s">
        <v>882</v>
      </c>
      <c r="C362" t="s">
        <v>883</v>
      </c>
    </row>
    <row r="363" spans="1:3" x14ac:dyDescent="0.25">
      <c r="A363">
        <v>776</v>
      </c>
      <c r="B363" t="s">
        <v>884</v>
      </c>
      <c r="C363" t="s">
        <v>885</v>
      </c>
    </row>
    <row r="364" spans="1:3" x14ac:dyDescent="0.25">
      <c r="A364">
        <v>993</v>
      </c>
      <c r="B364" t="s">
        <v>886</v>
      </c>
      <c r="C364" t="s">
        <v>887</v>
      </c>
    </row>
    <row r="365" spans="1:3" x14ac:dyDescent="0.25">
      <c r="A365">
        <v>612</v>
      </c>
      <c r="B365" t="s">
        <v>888</v>
      </c>
      <c r="C365" t="s">
        <v>889</v>
      </c>
    </row>
    <row r="366" spans="1:3" x14ac:dyDescent="0.25">
      <c r="A366">
        <v>871</v>
      </c>
      <c r="B366" t="s">
        <v>890</v>
      </c>
      <c r="C366" t="s">
        <v>891</v>
      </c>
    </row>
    <row r="367" spans="1:3" x14ac:dyDescent="0.25">
      <c r="A367">
        <v>597</v>
      </c>
      <c r="B367" t="s">
        <v>892</v>
      </c>
      <c r="C367" t="s">
        <v>893</v>
      </c>
    </row>
    <row r="368" spans="1:3" x14ac:dyDescent="0.25">
      <c r="A368">
        <v>600</v>
      </c>
      <c r="B368" t="s">
        <v>894</v>
      </c>
      <c r="C368" t="s">
        <v>895</v>
      </c>
    </row>
    <row r="369" spans="1:3" x14ac:dyDescent="0.25">
      <c r="A369">
        <v>719</v>
      </c>
      <c r="B369" t="s">
        <v>896</v>
      </c>
      <c r="C369" t="s">
        <v>897</v>
      </c>
    </row>
    <row r="370" spans="1:3" x14ac:dyDescent="0.25">
      <c r="A370">
        <v>681</v>
      </c>
      <c r="B370" t="s">
        <v>898</v>
      </c>
      <c r="C370" t="s">
        <v>899</v>
      </c>
    </row>
    <row r="371" spans="1:3" x14ac:dyDescent="0.25">
      <c r="A371">
        <v>729</v>
      </c>
      <c r="B371" t="s">
        <v>900</v>
      </c>
      <c r="C371" t="s">
        <v>901</v>
      </c>
    </row>
    <row r="372" spans="1:3" x14ac:dyDescent="0.25">
      <c r="A372">
        <v>965</v>
      </c>
      <c r="B372" t="s">
        <v>902</v>
      </c>
      <c r="C372" t="s">
        <v>903</v>
      </c>
    </row>
    <row r="373" spans="1:3" x14ac:dyDescent="0.25">
      <c r="A373">
        <v>783</v>
      </c>
      <c r="B373" t="s">
        <v>904</v>
      </c>
      <c r="C373" t="s">
        <v>905</v>
      </c>
    </row>
    <row r="374" spans="1:3" x14ac:dyDescent="0.25">
      <c r="A374">
        <v>924</v>
      </c>
      <c r="B374" t="s">
        <v>906</v>
      </c>
      <c r="C374" t="s">
        <v>907</v>
      </c>
    </row>
    <row r="375" spans="1:3" x14ac:dyDescent="0.25">
      <c r="A375">
        <v>1118</v>
      </c>
      <c r="B375" t="s">
        <v>908</v>
      </c>
      <c r="C375" t="s">
        <v>909</v>
      </c>
    </row>
    <row r="376" spans="1:3" x14ac:dyDescent="0.25">
      <c r="A376">
        <v>1129</v>
      </c>
      <c r="B376" t="s">
        <v>910</v>
      </c>
      <c r="C376" t="s">
        <v>911</v>
      </c>
    </row>
    <row r="377" spans="1:3" x14ac:dyDescent="0.25">
      <c r="A377">
        <v>1139</v>
      </c>
      <c r="B377" t="s">
        <v>912</v>
      </c>
      <c r="C377" t="s">
        <v>912</v>
      </c>
    </row>
    <row r="378" spans="1:3" x14ac:dyDescent="0.25">
      <c r="A378">
        <v>524</v>
      </c>
      <c r="B378" t="s">
        <v>913</v>
      </c>
      <c r="C378" t="s">
        <v>914</v>
      </c>
    </row>
    <row r="379" spans="1:3" x14ac:dyDescent="0.25">
      <c r="A379">
        <v>1011</v>
      </c>
      <c r="B379" t="s">
        <v>915</v>
      </c>
      <c r="C379" t="s">
        <v>916</v>
      </c>
    </row>
    <row r="380" spans="1:3" x14ac:dyDescent="0.25">
      <c r="A380">
        <v>646</v>
      </c>
      <c r="B380" t="s">
        <v>917</v>
      </c>
      <c r="C380" t="s">
        <v>918</v>
      </c>
    </row>
    <row r="381" spans="1:3" x14ac:dyDescent="0.25">
      <c r="A381">
        <v>1028</v>
      </c>
      <c r="B381" t="s">
        <v>919</v>
      </c>
      <c r="C381" t="s">
        <v>920</v>
      </c>
    </row>
    <row r="382" spans="1:3" x14ac:dyDescent="0.25">
      <c r="A382">
        <v>821</v>
      </c>
      <c r="B382" t="s">
        <v>921</v>
      </c>
      <c r="C382" t="s">
        <v>921</v>
      </c>
    </row>
    <row r="383" spans="1:3" x14ac:dyDescent="0.25">
      <c r="A383">
        <v>535</v>
      </c>
      <c r="B383" t="s">
        <v>922</v>
      </c>
      <c r="C383" t="s">
        <v>923</v>
      </c>
    </row>
    <row r="384" spans="1:3" x14ac:dyDescent="0.25">
      <c r="A384">
        <v>753</v>
      </c>
      <c r="B384" t="s">
        <v>924</v>
      </c>
      <c r="C384" t="s">
        <v>925</v>
      </c>
    </row>
    <row r="385" spans="1:3" x14ac:dyDescent="0.25">
      <c r="A385">
        <v>790</v>
      </c>
      <c r="B385" t="s">
        <v>926</v>
      </c>
      <c r="C385" t="s">
        <v>927</v>
      </c>
    </row>
    <row r="386" spans="1:3" x14ac:dyDescent="0.25">
      <c r="A386">
        <v>826</v>
      </c>
      <c r="B386" t="s">
        <v>928</v>
      </c>
      <c r="C386" t="s">
        <v>928</v>
      </c>
    </row>
    <row r="387" spans="1:3" x14ac:dyDescent="0.25">
      <c r="A387">
        <v>763</v>
      </c>
      <c r="B387" t="s">
        <v>929</v>
      </c>
      <c r="C387" t="s">
        <v>930</v>
      </c>
    </row>
    <row r="388" spans="1:3" x14ac:dyDescent="0.25">
      <c r="A388">
        <v>1069</v>
      </c>
      <c r="B388" t="s">
        <v>931</v>
      </c>
      <c r="C388" t="s">
        <v>931</v>
      </c>
    </row>
    <row r="389" spans="1:3" x14ac:dyDescent="0.25">
      <c r="A389">
        <v>1141</v>
      </c>
      <c r="B389" t="s">
        <v>932</v>
      </c>
      <c r="C389" t="s">
        <v>932</v>
      </c>
    </row>
    <row r="390" spans="1:3" x14ac:dyDescent="0.25">
      <c r="A390">
        <v>1142</v>
      </c>
      <c r="B390" t="s">
        <v>933</v>
      </c>
      <c r="C390" t="s">
        <v>933</v>
      </c>
    </row>
    <row r="391" spans="1:3" x14ac:dyDescent="0.25">
      <c r="A391">
        <v>1143</v>
      </c>
      <c r="B391" t="s">
        <v>933</v>
      </c>
      <c r="C391" t="s">
        <v>934</v>
      </c>
    </row>
    <row r="392" spans="1:3" x14ac:dyDescent="0.25">
      <c r="A392">
        <v>1144</v>
      </c>
      <c r="B392" t="s">
        <v>935</v>
      </c>
      <c r="C392" t="s">
        <v>935</v>
      </c>
    </row>
    <row r="393" spans="1:3" x14ac:dyDescent="0.25">
      <c r="A393">
        <v>1104</v>
      </c>
      <c r="B393" t="s">
        <v>936</v>
      </c>
      <c r="C393" t="s">
        <v>936</v>
      </c>
    </row>
    <row r="394" spans="1:3" x14ac:dyDescent="0.25">
      <c r="A394">
        <v>828</v>
      </c>
      <c r="B394" t="s">
        <v>937</v>
      </c>
      <c r="C394" t="s">
        <v>937</v>
      </c>
    </row>
    <row r="395" spans="1:3" x14ac:dyDescent="0.25">
      <c r="A395">
        <v>829</v>
      </c>
      <c r="B395" t="s">
        <v>938</v>
      </c>
      <c r="C395" t="s">
        <v>938</v>
      </c>
    </row>
    <row r="396" spans="1:3" x14ac:dyDescent="0.25">
      <c r="A396">
        <v>1070</v>
      </c>
      <c r="B396" t="s">
        <v>939</v>
      </c>
      <c r="C396" t="s">
        <v>939</v>
      </c>
    </row>
    <row r="397" spans="1:3" x14ac:dyDescent="0.25">
      <c r="A397">
        <v>1072</v>
      </c>
      <c r="B397" t="s">
        <v>940</v>
      </c>
      <c r="C397" t="s">
        <v>940</v>
      </c>
    </row>
    <row r="398" spans="1:3" x14ac:dyDescent="0.25">
      <c r="A398">
        <v>1106</v>
      </c>
      <c r="B398" t="s">
        <v>941</v>
      </c>
      <c r="C398" t="s">
        <v>941</v>
      </c>
    </row>
    <row r="399" spans="1:3" x14ac:dyDescent="0.25">
      <c r="A399">
        <v>830</v>
      </c>
      <c r="B399" t="s">
        <v>942</v>
      </c>
      <c r="C399" t="s">
        <v>942</v>
      </c>
    </row>
    <row r="400" spans="1:3" x14ac:dyDescent="0.25">
      <c r="A400">
        <v>796</v>
      </c>
      <c r="B400" t="s">
        <v>943</v>
      </c>
      <c r="C400" t="s">
        <v>944</v>
      </c>
    </row>
    <row r="401" spans="1:3" x14ac:dyDescent="0.25">
      <c r="A401">
        <v>933</v>
      </c>
      <c r="B401" t="s">
        <v>945</v>
      </c>
      <c r="C401" t="s">
        <v>946</v>
      </c>
    </row>
    <row r="402" spans="1:3" x14ac:dyDescent="0.25">
      <c r="A402">
        <v>1075</v>
      </c>
      <c r="B402" t="s">
        <v>947</v>
      </c>
      <c r="C402" t="s">
        <v>948</v>
      </c>
    </row>
    <row r="403" spans="1:3" x14ac:dyDescent="0.25">
      <c r="A403">
        <v>914</v>
      </c>
      <c r="B403" t="s">
        <v>949</v>
      </c>
      <c r="C403" t="s">
        <v>950</v>
      </c>
    </row>
    <row r="404" spans="1:3" x14ac:dyDescent="0.25">
      <c r="A404">
        <v>1097</v>
      </c>
      <c r="B404" t="s">
        <v>951</v>
      </c>
      <c r="C404" t="s">
        <v>952</v>
      </c>
    </row>
    <row r="405" spans="1:3" x14ac:dyDescent="0.25">
      <c r="A405">
        <v>853</v>
      </c>
      <c r="B405" t="s">
        <v>953</v>
      </c>
      <c r="C405" t="s">
        <v>954</v>
      </c>
    </row>
    <row r="406" spans="1:3" x14ac:dyDescent="0.25">
      <c r="A406">
        <v>583</v>
      </c>
      <c r="B406" t="s">
        <v>955</v>
      </c>
      <c r="C406" t="s">
        <v>956</v>
      </c>
    </row>
    <row r="407" spans="1:3" x14ac:dyDescent="0.25">
      <c r="A407">
        <v>630</v>
      </c>
      <c r="B407" t="s">
        <v>957</v>
      </c>
      <c r="C407" t="s">
        <v>958</v>
      </c>
    </row>
    <row r="408" spans="1:3" x14ac:dyDescent="0.25">
      <c r="A408">
        <v>634</v>
      </c>
      <c r="B408" t="s">
        <v>959</v>
      </c>
      <c r="C408" t="s">
        <v>960</v>
      </c>
    </row>
    <row r="409" spans="1:3" x14ac:dyDescent="0.25">
      <c r="A409">
        <v>1122</v>
      </c>
      <c r="B409" t="s">
        <v>961</v>
      </c>
      <c r="C409" t="s">
        <v>962</v>
      </c>
    </row>
    <row r="410" spans="1:3" x14ac:dyDescent="0.25">
      <c r="A410">
        <v>966</v>
      </c>
      <c r="B410" t="s">
        <v>963</v>
      </c>
      <c r="C410" t="s">
        <v>964</v>
      </c>
    </row>
    <row r="411" spans="1:3" x14ac:dyDescent="0.25">
      <c r="A411">
        <v>998</v>
      </c>
      <c r="B411" t="s">
        <v>965</v>
      </c>
      <c r="C411" t="s">
        <v>966</v>
      </c>
    </row>
    <row r="412" spans="1:3" x14ac:dyDescent="0.25">
      <c r="A412">
        <v>774</v>
      </c>
      <c r="B412" t="s">
        <v>967</v>
      </c>
      <c r="C412" t="s">
        <v>968</v>
      </c>
    </row>
    <row r="413" spans="1:3" x14ac:dyDescent="0.25">
      <c r="A413">
        <v>808</v>
      </c>
      <c r="B413" t="s">
        <v>969</v>
      </c>
      <c r="C413" t="s">
        <v>970</v>
      </c>
    </row>
    <row r="414" spans="1:3" x14ac:dyDescent="0.25">
      <c r="A414">
        <v>622</v>
      </c>
      <c r="B414" t="s">
        <v>971</v>
      </c>
      <c r="C414" t="s">
        <v>972</v>
      </c>
    </row>
    <row r="415" spans="1:3" x14ac:dyDescent="0.25">
      <c r="A415">
        <v>876</v>
      </c>
      <c r="B415" t="s">
        <v>973</v>
      </c>
      <c r="C415" t="s">
        <v>974</v>
      </c>
    </row>
    <row r="416" spans="1:3" x14ac:dyDescent="0.25">
      <c r="A416">
        <v>1115</v>
      </c>
      <c r="B416" t="s">
        <v>975</v>
      </c>
      <c r="C416" t="s">
        <v>976</v>
      </c>
    </row>
    <row r="417" spans="1:3" x14ac:dyDescent="0.25">
      <c r="A417">
        <v>516</v>
      </c>
      <c r="B417" t="s">
        <v>977</v>
      </c>
      <c r="C417" t="s">
        <v>978</v>
      </c>
    </row>
    <row r="418" spans="1:3" x14ac:dyDescent="0.25">
      <c r="A418">
        <v>550</v>
      </c>
      <c r="B418" t="s">
        <v>979</v>
      </c>
      <c r="C418" t="s">
        <v>980</v>
      </c>
    </row>
    <row r="419" spans="1:3" x14ac:dyDescent="0.25">
      <c r="A419">
        <v>515</v>
      </c>
      <c r="B419" t="s">
        <v>981</v>
      </c>
      <c r="C419" t="s">
        <v>982</v>
      </c>
    </row>
    <row r="420" spans="1:3" x14ac:dyDescent="0.25">
      <c r="A420">
        <v>722</v>
      </c>
      <c r="B420" t="s">
        <v>983</v>
      </c>
      <c r="C420" t="s">
        <v>984</v>
      </c>
    </row>
    <row r="421" spans="1:3" x14ac:dyDescent="0.25">
      <c r="A421">
        <v>816</v>
      </c>
      <c r="B421" t="s">
        <v>985</v>
      </c>
      <c r="C421" t="s">
        <v>986</v>
      </c>
    </row>
    <row r="422" spans="1:3" x14ac:dyDescent="0.25">
      <c r="A422">
        <v>772</v>
      </c>
      <c r="B422" t="s">
        <v>987</v>
      </c>
      <c r="C422" t="s">
        <v>988</v>
      </c>
    </row>
    <row r="423" spans="1:3" x14ac:dyDescent="0.25">
      <c r="A423">
        <v>777</v>
      </c>
      <c r="B423" t="s">
        <v>989</v>
      </c>
      <c r="C423" t="s">
        <v>990</v>
      </c>
    </row>
    <row r="424" spans="1:3" x14ac:dyDescent="0.25">
      <c r="A424">
        <v>715</v>
      </c>
      <c r="B424" t="s">
        <v>991</v>
      </c>
      <c r="C424" t="s">
        <v>992</v>
      </c>
    </row>
    <row r="425" spans="1:3" x14ac:dyDescent="0.25">
      <c r="A425">
        <v>943</v>
      </c>
      <c r="B425" t="s">
        <v>993</v>
      </c>
      <c r="C425" t="s">
        <v>994</v>
      </c>
    </row>
    <row r="426" spans="1:3" x14ac:dyDescent="0.25">
      <c r="A426">
        <v>611</v>
      </c>
      <c r="B426" t="s">
        <v>995</v>
      </c>
      <c r="C426" t="s">
        <v>996</v>
      </c>
    </row>
    <row r="427" spans="1:3" x14ac:dyDescent="0.25">
      <c r="A427">
        <v>704</v>
      </c>
      <c r="B427" t="s">
        <v>997</v>
      </c>
      <c r="C427" t="s">
        <v>998</v>
      </c>
    </row>
    <row r="428" spans="1:3" x14ac:dyDescent="0.25">
      <c r="A428">
        <v>1121</v>
      </c>
      <c r="B428" t="s">
        <v>999</v>
      </c>
      <c r="C428" t="s">
        <v>1000</v>
      </c>
    </row>
    <row r="429" spans="1:3" x14ac:dyDescent="0.25">
      <c r="A429">
        <v>624</v>
      </c>
      <c r="B429" t="s">
        <v>1001</v>
      </c>
      <c r="C429" t="s">
        <v>1002</v>
      </c>
    </row>
    <row r="430" spans="1:3" x14ac:dyDescent="0.25">
      <c r="A430">
        <v>588</v>
      </c>
      <c r="B430" t="s">
        <v>1003</v>
      </c>
      <c r="C430" t="s">
        <v>1004</v>
      </c>
    </row>
    <row r="431" spans="1:3" x14ac:dyDescent="0.25">
      <c r="A431">
        <v>807</v>
      </c>
      <c r="B431" t="s">
        <v>1005</v>
      </c>
      <c r="C431" t="s">
        <v>1006</v>
      </c>
    </row>
    <row r="432" spans="1:3" x14ac:dyDescent="0.25">
      <c r="A432">
        <v>706</v>
      </c>
      <c r="B432" t="s">
        <v>1007</v>
      </c>
      <c r="C432" t="s">
        <v>1008</v>
      </c>
    </row>
    <row r="433" spans="1:3" x14ac:dyDescent="0.25">
      <c r="A433">
        <v>873</v>
      </c>
      <c r="B433" t="s">
        <v>1009</v>
      </c>
      <c r="C433" t="s">
        <v>1009</v>
      </c>
    </row>
    <row r="434" spans="1:3" x14ac:dyDescent="0.25">
      <c r="A434">
        <v>874</v>
      </c>
      <c r="B434" t="s">
        <v>1010</v>
      </c>
      <c r="C434" t="s">
        <v>1010</v>
      </c>
    </row>
    <row r="435" spans="1:3" x14ac:dyDescent="0.25">
      <c r="A435">
        <v>852</v>
      </c>
      <c r="B435" t="s">
        <v>1011</v>
      </c>
      <c r="C435" t="s">
        <v>1012</v>
      </c>
    </row>
    <row r="436" spans="1:3" x14ac:dyDescent="0.25">
      <c r="A436">
        <v>547</v>
      </c>
      <c r="B436" t="s">
        <v>1013</v>
      </c>
      <c r="C436" t="s">
        <v>1014</v>
      </c>
    </row>
    <row r="437" spans="1:3" x14ac:dyDescent="0.25">
      <c r="A437">
        <v>908</v>
      </c>
      <c r="B437" t="s">
        <v>1015</v>
      </c>
      <c r="C437" t="s">
        <v>1016</v>
      </c>
    </row>
    <row r="438" spans="1:3" x14ac:dyDescent="0.25">
      <c r="A438">
        <v>705</v>
      </c>
      <c r="B438" t="s">
        <v>1017</v>
      </c>
      <c r="C438" t="s">
        <v>1018</v>
      </c>
    </row>
    <row r="439" spans="1:3" x14ac:dyDescent="0.25">
      <c r="A439">
        <v>1048</v>
      </c>
      <c r="B439" t="s">
        <v>1019</v>
      </c>
      <c r="C439" t="s">
        <v>1020</v>
      </c>
    </row>
    <row r="440" spans="1:3" x14ac:dyDescent="0.25">
      <c r="A440">
        <v>928</v>
      </c>
      <c r="B440" t="s">
        <v>1021</v>
      </c>
      <c r="C440" t="s">
        <v>1022</v>
      </c>
    </row>
    <row r="441" spans="1:3" x14ac:dyDescent="0.25">
      <c r="A441">
        <v>982</v>
      </c>
      <c r="B441" t="s">
        <v>1023</v>
      </c>
      <c r="C441" t="s">
        <v>1024</v>
      </c>
    </row>
    <row r="442" spans="1:3" x14ac:dyDescent="0.25">
      <c r="A442">
        <v>1146</v>
      </c>
      <c r="B442" t="s">
        <v>1025</v>
      </c>
      <c r="C442" t="s">
        <v>1025</v>
      </c>
    </row>
    <row r="443" spans="1:3" x14ac:dyDescent="0.25">
      <c r="A443">
        <v>613</v>
      </c>
      <c r="B443" t="s">
        <v>1026</v>
      </c>
      <c r="C443" t="s">
        <v>1027</v>
      </c>
    </row>
    <row r="444" spans="1:3" x14ac:dyDescent="0.25">
      <c r="A444">
        <v>836</v>
      </c>
      <c r="B444" t="s">
        <v>1028</v>
      </c>
      <c r="C444" t="s">
        <v>1029</v>
      </c>
    </row>
    <row r="445" spans="1:3" x14ac:dyDescent="0.25">
      <c r="A445">
        <v>898</v>
      </c>
      <c r="B445" t="s">
        <v>1030</v>
      </c>
      <c r="C445" t="s">
        <v>1031</v>
      </c>
    </row>
    <row r="446" spans="1:3" x14ac:dyDescent="0.25">
      <c r="A446">
        <v>769</v>
      </c>
      <c r="B446" t="s">
        <v>1032</v>
      </c>
      <c r="C446" t="s">
        <v>1033</v>
      </c>
    </row>
    <row r="447" spans="1:3" x14ac:dyDescent="0.25">
      <c r="A447">
        <v>615</v>
      </c>
      <c r="B447" t="s">
        <v>1034</v>
      </c>
      <c r="C447" t="s">
        <v>1035</v>
      </c>
    </row>
    <row r="448" spans="1:3" x14ac:dyDescent="0.25">
      <c r="A448">
        <v>682</v>
      </c>
      <c r="B448" t="s">
        <v>1036</v>
      </c>
      <c r="C448" t="s">
        <v>1037</v>
      </c>
    </row>
    <row r="449" spans="1:3" x14ac:dyDescent="0.25">
      <c r="A449">
        <v>752</v>
      </c>
      <c r="B449" t="s">
        <v>1038</v>
      </c>
      <c r="C449" t="s">
        <v>1039</v>
      </c>
    </row>
    <row r="450" spans="1:3" x14ac:dyDescent="0.25">
      <c r="A450">
        <v>921</v>
      </c>
      <c r="B450" t="s">
        <v>1040</v>
      </c>
      <c r="C450" t="s">
        <v>1041</v>
      </c>
    </row>
    <row r="451" spans="1:3" x14ac:dyDescent="0.25">
      <c r="A451">
        <v>981</v>
      </c>
      <c r="B451" t="s">
        <v>1042</v>
      </c>
      <c r="C451" t="s">
        <v>1043</v>
      </c>
    </row>
    <row r="452" spans="1:3" x14ac:dyDescent="0.25">
      <c r="A452">
        <v>558</v>
      </c>
      <c r="B452" t="s">
        <v>1044</v>
      </c>
      <c r="C452" t="s">
        <v>1045</v>
      </c>
    </row>
    <row r="453" spans="1:3" x14ac:dyDescent="0.25">
      <c r="A453">
        <v>584</v>
      </c>
      <c r="B453" t="s">
        <v>1046</v>
      </c>
      <c r="C453" t="s">
        <v>1047</v>
      </c>
    </row>
    <row r="454" spans="1:3" x14ac:dyDescent="0.25">
      <c r="A454">
        <v>785</v>
      </c>
      <c r="B454" t="s">
        <v>1048</v>
      </c>
      <c r="C454" t="s">
        <v>1049</v>
      </c>
    </row>
    <row r="455" spans="1:3" x14ac:dyDescent="0.25">
      <c r="A455">
        <v>556</v>
      </c>
      <c r="B455" t="s">
        <v>1050</v>
      </c>
      <c r="C455" t="s">
        <v>1051</v>
      </c>
    </row>
    <row r="456" spans="1:3" x14ac:dyDescent="0.25">
      <c r="A456">
        <v>1140</v>
      </c>
      <c r="B456" t="s">
        <v>1052</v>
      </c>
      <c r="C456" t="s">
        <v>1053</v>
      </c>
    </row>
    <row r="457" spans="1:3" x14ac:dyDescent="0.25">
      <c r="A457">
        <v>899</v>
      </c>
      <c r="B457" t="s">
        <v>1054</v>
      </c>
      <c r="C457" t="s">
        <v>1055</v>
      </c>
    </row>
    <row r="458" spans="1:3" x14ac:dyDescent="0.25">
      <c r="A458">
        <v>920</v>
      </c>
      <c r="B458" t="s">
        <v>1056</v>
      </c>
      <c r="C458" t="s">
        <v>1057</v>
      </c>
    </row>
    <row r="459" spans="1:3" x14ac:dyDescent="0.25">
      <c r="A459">
        <v>971</v>
      </c>
      <c r="B459" t="s">
        <v>1058</v>
      </c>
      <c r="C459" t="s">
        <v>1059</v>
      </c>
    </row>
    <row r="460" spans="1:3" x14ac:dyDescent="0.25">
      <c r="A460">
        <v>894</v>
      </c>
      <c r="B460" t="s">
        <v>1060</v>
      </c>
      <c r="C460" t="s">
        <v>1060</v>
      </c>
    </row>
    <row r="461" spans="1:3" x14ac:dyDescent="0.25">
      <c r="A461">
        <v>696</v>
      </c>
      <c r="B461" t="s">
        <v>1061</v>
      </c>
      <c r="C461" t="s">
        <v>1062</v>
      </c>
    </row>
    <row r="462" spans="1:3" x14ac:dyDescent="0.25">
      <c r="A462">
        <v>895</v>
      </c>
      <c r="B462" t="s">
        <v>1063</v>
      </c>
      <c r="C462" t="s">
        <v>1063</v>
      </c>
    </row>
    <row r="463" spans="1:3" x14ac:dyDescent="0.25">
      <c r="A463">
        <v>1155</v>
      </c>
      <c r="B463" t="s">
        <v>1064</v>
      </c>
      <c r="C463" t="s">
        <v>1065</v>
      </c>
    </row>
    <row r="464" spans="1:3" x14ac:dyDescent="0.25">
      <c r="A464">
        <v>629</v>
      </c>
      <c r="B464" t="s">
        <v>1066</v>
      </c>
      <c r="C464" t="s">
        <v>1067</v>
      </c>
    </row>
    <row r="465" spans="1:3" x14ac:dyDescent="0.25">
      <c r="A465">
        <v>1071</v>
      </c>
      <c r="B465" t="s">
        <v>1068</v>
      </c>
      <c r="C465" t="s">
        <v>1069</v>
      </c>
    </row>
    <row r="466" spans="1:3" x14ac:dyDescent="0.25">
      <c r="A466">
        <v>1149</v>
      </c>
      <c r="B466" t="s">
        <v>1070</v>
      </c>
      <c r="C466" t="s">
        <v>1070</v>
      </c>
    </row>
    <row r="467" spans="1:3" x14ac:dyDescent="0.25">
      <c r="A467">
        <v>1150</v>
      </c>
      <c r="B467" t="s">
        <v>1071</v>
      </c>
      <c r="C467" t="s">
        <v>1071</v>
      </c>
    </row>
    <row r="468" spans="1:3" x14ac:dyDescent="0.25">
      <c r="A468">
        <v>1151</v>
      </c>
      <c r="B468" t="s">
        <v>1072</v>
      </c>
      <c r="C468" t="s">
        <v>1072</v>
      </c>
    </row>
    <row r="469" spans="1:3" x14ac:dyDescent="0.25">
      <c r="A469">
        <v>811</v>
      </c>
      <c r="B469" t="s">
        <v>1073</v>
      </c>
      <c r="C469" t="s">
        <v>1074</v>
      </c>
    </row>
    <row r="470" spans="1:3" x14ac:dyDescent="0.25">
      <c r="A470">
        <v>1084</v>
      </c>
      <c r="B470" t="s">
        <v>1075</v>
      </c>
      <c r="C470" t="s">
        <v>1076</v>
      </c>
    </row>
    <row r="471" spans="1:3" x14ac:dyDescent="0.25">
      <c r="A471">
        <v>883</v>
      </c>
      <c r="B471" t="s">
        <v>1077</v>
      </c>
      <c r="C471" t="s">
        <v>1078</v>
      </c>
    </row>
    <row r="472" spans="1:3" x14ac:dyDescent="0.25">
      <c r="A472">
        <v>1101</v>
      </c>
      <c r="B472" t="s">
        <v>1079</v>
      </c>
      <c r="C472" t="s">
        <v>1080</v>
      </c>
    </row>
    <row r="473" spans="1:3" x14ac:dyDescent="0.25">
      <c r="A473">
        <v>770</v>
      </c>
      <c r="B473" t="s">
        <v>1081</v>
      </c>
      <c r="C473" t="s">
        <v>1082</v>
      </c>
    </row>
    <row r="474" spans="1:3" x14ac:dyDescent="0.25">
      <c r="A474">
        <v>591</v>
      </c>
      <c r="B474" t="s">
        <v>1083</v>
      </c>
      <c r="C474" t="s">
        <v>1084</v>
      </c>
    </row>
    <row r="475" spans="1:3" x14ac:dyDescent="0.25">
      <c r="A475">
        <v>616</v>
      </c>
      <c r="B475" t="s">
        <v>1085</v>
      </c>
      <c r="C475" t="s">
        <v>1086</v>
      </c>
    </row>
    <row r="476" spans="1:3" x14ac:dyDescent="0.25">
      <c r="A476">
        <v>635</v>
      </c>
      <c r="B476" t="s">
        <v>1087</v>
      </c>
      <c r="C476" t="s">
        <v>1088</v>
      </c>
    </row>
    <row r="477" spans="1:3" x14ac:dyDescent="0.25">
      <c r="A477">
        <v>668</v>
      </c>
      <c r="B477" t="s">
        <v>1089</v>
      </c>
      <c r="C477" t="s">
        <v>1090</v>
      </c>
    </row>
    <row r="478" spans="1:3" x14ac:dyDescent="0.25">
      <c r="A478">
        <v>674</v>
      </c>
      <c r="B478" t="s">
        <v>1091</v>
      </c>
      <c r="C478" t="s">
        <v>1092</v>
      </c>
    </row>
    <row r="479" spans="1:3" x14ac:dyDescent="0.25">
      <c r="A479">
        <v>901</v>
      </c>
      <c r="B479" t="s">
        <v>1093</v>
      </c>
      <c r="C479" t="s">
        <v>1094</v>
      </c>
    </row>
    <row r="480" spans="1:3" x14ac:dyDescent="0.25">
      <c r="A480">
        <v>912</v>
      </c>
      <c r="B480" t="s">
        <v>1095</v>
      </c>
      <c r="C480" t="s">
        <v>1096</v>
      </c>
    </row>
    <row r="481" spans="1:3" x14ac:dyDescent="0.25">
      <c r="A481">
        <v>655</v>
      </c>
      <c r="B481" t="s">
        <v>1097</v>
      </c>
      <c r="C481" t="s">
        <v>1098</v>
      </c>
    </row>
    <row r="482" spans="1:3" x14ac:dyDescent="0.25">
      <c r="A482">
        <v>1037</v>
      </c>
      <c r="B482" t="s">
        <v>1099</v>
      </c>
      <c r="C482" t="s">
        <v>1100</v>
      </c>
    </row>
    <row r="483" spans="1:3" x14ac:dyDescent="0.25">
      <c r="A483">
        <v>652</v>
      </c>
      <c r="B483" t="s">
        <v>1101</v>
      </c>
      <c r="C483" t="s">
        <v>1102</v>
      </c>
    </row>
    <row r="484" spans="1:3" x14ac:dyDescent="0.25">
      <c r="A484">
        <v>755</v>
      </c>
      <c r="B484" t="s">
        <v>1103</v>
      </c>
      <c r="C484" t="s">
        <v>1104</v>
      </c>
    </row>
    <row r="485" spans="1:3" x14ac:dyDescent="0.25">
      <c r="A485">
        <v>626</v>
      </c>
      <c r="B485" t="s">
        <v>1105</v>
      </c>
      <c r="C485" t="s">
        <v>1106</v>
      </c>
    </row>
    <row r="486" spans="1:3" x14ac:dyDescent="0.25">
      <c r="A486">
        <v>842</v>
      </c>
      <c r="B486" t="s">
        <v>1107</v>
      </c>
      <c r="C486" t="s">
        <v>1108</v>
      </c>
    </row>
    <row r="487" spans="1:3" x14ac:dyDescent="0.25">
      <c r="A487">
        <v>886</v>
      </c>
      <c r="B487" t="s">
        <v>1109</v>
      </c>
      <c r="C487" t="s">
        <v>1110</v>
      </c>
    </row>
    <row r="488" spans="1:3" x14ac:dyDescent="0.25">
      <c r="A488">
        <v>867</v>
      </c>
      <c r="B488" t="s">
        <v>1111</v>
      </c>
      <c r="C488" t="s">
        <v>1112</v>
      </c>
    </row>
    <row r="489" spans="1:3" x14ac:dyDescent="0.25">
      <c r="A489">
        <v>689</v>
      </c>
      <c r="B489" t="s">
        <v>1113</v>
      </c>
      <c r="C489" t="s">
        <v>1114</v>
      </c>
    </row>
    <row r="490" spans="1:3" x14ac:dyDescent="0.25">
      <c r="A490">
        <v>913</v>
      </c>
      <c r="B490" t="s">
        <v>1115</v>
      </c>
      <c r="C490" t="s">
        <v>1116</v>
      </c>
    </row>
    <row r="491" spans="1:3" x14ac:dyDescent="0.25">
      <c r="A491">
        <v>614</v>
      </c>
      <c r="B491" t="s">
        <v>1117</v>
      </c>
      <c r="C491" t="s">
        <v>1118</v>
      </c>
    </row>
    <row r="492" spans="1:3" x14ac:dyDescent="0.25">
      <c r="A492">
        <v>891</v>
      </c>
      <c r="B492" t="s">
        <v>1119</v>
      </c>
      <c r="C492" t="s">
        <v>1120</v>
      </c>
    </row>
    <row r="493" spans="1:3" x14ac:dyDescent="0.25">
      <c r="A493">
        <v>949</v>
      </c>
      <c r="B493" t="s">
        <v>1121</v>
      </c>
      <c r="C493" t="s">
        <v>1122</v>
      </c>
    </row>
    <row r="494" spans="1:3" x14ac:dyDescent="0.25">
      <c r="A494">
        <v>1152</v>
      </c>
      <c r="B494" t="s">
        <v>1123</v>
      </c>
      <c r="C494" t="s">
        <v>1123</v>
      </c>
    </row>
    <row r="495" spans="1:3" x14ac:dyDescent="0.25">
      <c r="A495">
        <v>568</v>
      </c>
      <c r="B495" t="s">
        <v>1124</v>
      </c>
      <c r="C495" t="s">
        <v>1125</v>
      </c>
    </row>
    <row r="496" spans="1:3" x14ac:dyDescent="0.25">
      <c r="A496">
        <v>849</v>
      </c>
      <c r="B496" t="s">
        <v>1126</v>
      </c>
      <c r="C496" t="s">
        <v>1127</v>
      </c>
    </row>
    <row r="497" spans="1:3" x14ac:dyDescent="0.25">
      <c r="A497">
        <v>1029</v>
      </c>
      <c r="B497" t="s">
        <v>1128</v>
      </c>
      <c r="C497" t="s">
        <v>1129</v>
      </c>
    </row>
    <row r="498" spans="1:3" x14ac:dyDescent="0.25">
      <c r="A498">
        <v>530</v>
      </c>
      <c r="B498" t="s">
        <v>1130</v>
      </c>
      <c r="C498" t="s">
        <v>1131</v>
      </c>
    </row>
    <row r="499" spans="1:3" x14ac:dyDescent="0.25">
      <c r="A499">
        <v>604</v>
      </c>
      <c r="B499" t="s">
        <v>1132</v>
      </c>
      <c r="C499" t="s">
        <v>1133</v>
      </c>
    </row>
    <row r="500" spans="1:3" x14ac:dyDescent="0.25">
      <c r="A500">
        <v>644</v>
      </c>
      <c r="B500" t="s">
        <v>1134</v>
      </c>
      <c r="C500" t="s">
        <v>1135</v>
      </c>
    </row>
    <row r="501" spans="1:3" x14ac:dyDescent="0.25">
      <c r="A501">
        <v>976</v>
      </c>
      <c r="B501" t="s">
        <v>1136</v>
      </c>
      <c r="C501" t="s">
        <v>1137</v>
      </c>
    </row>
    <row r="502" spans="1:3" x14ac:dyDescent="0.25">
      <c r="A502">
        <v>929</v>
      </c>
      <c r="B502" t="s">
        <v>1138</v>
      </c>
      <c r="C502" t="s">
        <v>1138</v>
      </c>
    </row>
    <row r="503" spans="1:3" x14ac:dyDescent="0.25">
      <c r="A503">
        <v>931</v>
      </c>
      <c r="B503" t="s">
        <v>1139</v>
      </c>
      <c r="C503" t="s">
        <v>1139</v>
      </c>
    </row>
    <row r="504" spans="1:3" x14ac:dyDescent="0.25">
      <c r="A504">
        <v>1148</v>
      </c>
      <c r="B504" t="s">
        <v>1140</v>
      </c>
      <c r="C504" t="s">
        <v>1141</v>
      </c>
    </row>
    <row r="505" spans="1:3" x14ac:dyDescent="0.25">
      <c r="A505">
        <v>934</v>
      </c>
      <c r="B505" t="s">
        <v>1142</v>
      </c>
      <c r="C505" t="s">
        <v>1142</v>
      </c>
    </row>
    <row r="506" spans="1:3" x14ac:dyDescent="0.25">
      <c r="A506">
        <v>935</v>
      </c>
      <c r="B506" t="s">
        <v>1143</v>
      </c>
      <c r="C506" t="s">
        <v>1143</v>
      </c>
    </row>
    <row r="507" spans="1:3" x14ac:dyDescent="0.25">
      <c r="A507">
        <v>969</v>
      </c>
      <c r="B507" t="s">
        <v>1144</v>
      </c>
      <c r="C507" t="s">
        <v>1145</v>
      </c>
    </row>
    <row r="508" spans="1:3" x14ac:dyDescent="0.25">
      <c r="A508">
        <v>601</v>
      </c>
      <c r="B508" t="s">
        <v>1146</v>
      </c>
      <c r="C508" t="s">
        <v>1147</v>
      </c>
    </row>
    <row r="509" spans="1:3" x14ac:dyDescent="0.25">
      <c r="A509">
        <v>937</v>
      </c>
      <c r="B509" t="s">
        <v>1148</v>
      </c>
      <c r="C509" t="s">
        <v>1148</v>
      </c>
    </row>
    <row r="510" spans="1:3" x14ac:dyDescent="0.25">
      <c r="A510">
        <v>1016</v>
      </c>
      <c r="B510" t="s">
        <v>1149</v>
      </c>
      <c r="C510" t="s">
        <v>1150</v>
      </c>
    </row>
    <row r="511" spans="1:3" x14ac:dyDescent="0.25">
      <c r="A511">
        <v>959</v>
      </c>
      <c r="B511" t="s">
        <v>1151</v>
      </c>
      <c r="C511" t="s">
        <v>1152</v>
      </c>
    </row>
    <row r="512" spans="1:3" x14ac:dyDescent="0.25">
      <c r="A512">
        <v>698</v>
      </c>
      <c r="B512" t="s">
        <v>1153</v>
      </c>
      <c r="C512" t="s">
        <v>1154</v>
      </c>
    </row>
    <row r="513" spans="1:3" x14ac:dyDescent="0.25">
      <c r="A513">
        <v>582</v>
      </c>
      <c r="B513" t="s">
        <v>1155</v>
      </c>
      <c r="C513" t="s">
        <v>1156</v>
      </c>
    </row>
    <row r="514" spans="1:3" x14ac:dyDescent="0.25">
      <c r="A514">
        <v>685</v>
      </c>
      <c r="B514" t="s">
        <v>1157</v>
      </c>
      <c r="C514" t="s">
        <v>1158</v>
      </c>
    </row>
    <row r="515" spans="1:3" x14ac:dyDescent="0.25">
      <c r="A515">
        <v>860</v>
      </c>
      <c r="B515" t="s">
        <v>1159</v>
      </c>
      <c r="C515" t="s">
        <v>1160</v>
      </c>
    </row>
    <row r="516" spans="1:3" x14ac:dyDescent="0.25">
      <c r="A516">
        <v>544</v>
      </c>
      <c r="B516" t="s">
        <v>1161</v>
      </c>
      <c r="C516" t="s">
        <v>1162</v>
      </c>
    </row>
    <row r="517" spans="1:3" x14ac:dyDescent="0.25">
      <c r="A517">
        <v>847</v>
      </c>
      <c r="B517" t="s">
        <v>1163</v>
      </c>
      <c r="C517" t="s">
        <v>1164</v>
      </c>
    </row>
    <row r="518" spans="1:3" x14ac:dyDescent="0.25">
      <c r="A518">
        <v>948</v>
      </c>
      <c r="B518" t="s">
        <v>1165</v>
      </c>
      <c r="C518" t="s">
        <v>1165</v>
      </c>
    </row>
    <row r="519" spans="1:3" x14ac:dyDescent="0.25">
      <c r="A519">
        <v>659</v>
      </c>
      <c r="B519" t="s">
        <v>1166</v>
      </c>
      <c r="C519" t="s">
        <v>1167</v>
      </c>
    </row>
    <row r="520" spans="1:3" x14ac:dyDescent="0.25">
      <c r="A520">
        <v>824</v>
      </c>
      <c r="B520" t="s">
        <v>1168</v>
      </c>
      <c r="C520" t="s">
        <v>1169</v>
      </c>
    </row>
    <row r="521" spans="1:3" x14ac:dyDescent="0.25">
      <c r="A521">
        <v>589</v>
      </c>
      <c r="B521" t="s">
        <v>1170</v>
      </c>
      <c r="C521" t="s">
        <v>1171</v>
      </c>
    </row>
    <row r="522" spans="1:3" x14ac:dyDescent="0.25">
      <c r="A522">
        <v>932</v>
      </c>
      <c r="B522" t="s">
        <v>1172</v>
      </c>
      <c r="C522" t="s">
        <v>1173</v>
      </c>
    </row>
    <row r="523" spans="1:3" x14ac:dyDescent="0.25">
      <c r="A523">
        <v>1105</v>
      </c>
      <c r="B523" t="s">
        <v>1174</v>
      </c>
      <c r="C523" t="s">
        <v>1174</v>
      </c>
    </row>
    <row r="524" spans="1:3" x14ac:dyDescent="0.25">
      <c r="A524">
        <v>713</v>
      </c>
      <c r="B524" t="s">
        <v>1175</v>
      </c>
      <c r="C524" t="s">
        <v>1176</v>
      </c>
    </row>
    <row r="525" spans="1:3" x14ac:dyDescent="0.25">
      <c r="A525">
        <v>738</v>
      </c>
      <c r="B525" t="s">
        <v>1177</v>
      </c>
      <c r="C525" t="s">
        <v>1178</v>
      </c>
    </row>
    <row r="526" spans="1:3" x14ac:dyDescent="0.25">
      <c r="A526">
        <v>1100</v>
      </c>
      <c r="B526" t="s">
        <v>1179</v>
      </c>
      <c r="C526" t="s">
        <v>1180</v>
      </c>
    </row>
    <row r="527" spans="1:3" x14ac:dyDescent="0.25">
      <c r="A527">
        <v>805</v>
      </c>
      <c r="B527" t="s">
        <v>1181</v>
      </c>
      <c r="C527" t="s">
        <v>1182</v>
      </c>
    </row>
    <row r="528" spans="1:3" x14ac:dyDescent="0.25">
      <c r="A528">
        <v>645</v>
      </c>
      <c r="B528" t="s">
        <v>1183</v>
      </c>
      <c r="C528" t="s">
        <v>1184</v>
      </c>
    </row>
    <row r="529" spans="1:3" x14ac:dyDescent="0.25">
      <c r="A529">
        <v>958</v>
      </c>
      <c r="B529" t="s">
        <v>1185</v>
      </c>
      <c r="C529" t="s">
        <v>1185</v>
      </c>
    </row>
    <row r="530" spans="1:3" x14ac:dyDescent="0.25">
      <c r="A530">
        <v>734</v>
      </c>
      <c r="B530" t="s">
        <v>1186</v>
      </c>
      <c r="C530" t="s">
        <v>1187</v>
      </c>
    </row>
    <row r="531" spans="1:3" x14ac:dyDescent="0.25">
      <c r="A531">
        <v>1130</v>
      </c>
      <c r="B531" t="s">
        <v>1188</v>
      </c>
      <c r="C531" t="s">
        <v>1189</v>
      </c>
    </row>
    <row r="532" spans="1:3" x14ac:dyDescent="0.25">
      <c r="A532">
        <v>1001</v>
      </c>
      <c r="B532" t="s">
        <v>1190</v>
      </c>
      <c r="C532" t="s">
        <v>1191</v>
      </c>
    </row>
    <row r="533" spans="1:3" x14ac:dyDescent="0.25">
      <c r="A533">
        <v>952</v>
      </c>
      <c r="B533" t="s">
        <v>1192</v>
      </c>
      <c r="C533" t="s">
        <v>1193</v>
      </c>
    </row>
    <row r="534" spans="1:3" x14ac:dyDescent="0.25">
      <c r="A534">
        <v>827</v>
      </c>
      <c r="B534" t="s">
        <v>1194</v>
      </c>
      <c r="C534" t="s">
        <v>1195</v>
      </c>
    </row>
    <row r="535" spans="1:3" x14ac:dyDescent="0.25">
      <c r="A535">
        <v>964</v>
      </c>
      <c r="B535" t="s">
        <v>1196</v>
      </c>
      <c r="C535" t="s">
        <v>1197</v>
      </c>
    </row>
    <row r="536" spans="1:3" x14ac:dyDescent="0.25">
      <c r="A536">
        <v>648</v>
      </c>
      <c r="B536" t="s">
        <v>1198</v>
      </c>
      <c r="C536" t="s">
        <v>1199</v>
      </c>
    </row>
    <row r="537" spans="1:3" x14ac:dyDescent="0.25">
      <c r="A537">
        <v>812</v>
      </c>
      <c r="B537" t="s">
        <v>1200</v>
      </c>
      <c r="C537" t="s">
        <v>1201</v>
      </c>
    </row>
    <row r="538" spans="1:3" x14ac:dyDescent="0.25">
      <c r="A538">
        <v>974</v>
      </c>
      <c r="B538" t="s">
        <v>1202</v>
      </c>
      <c r="C538" t="s">
        <v>1203</v>
      </c>
    </row>
    <row r="539" spans="1:3" x14ac:dyDescent="0.25">
      <c r="A539">
        <v>598</v>
      </c>
      <c r="B539" t="s">
        <v>1204</v>
      </c>
      <c r="C539" t="s">
        <v>1205</v>
      </c>
    </row>
    <row r="540" spans="1:3" x14ac:dyDescent="0.25">
      <c r="A540">
        <v>561</v>
      </c>
      <c r="B540" t="s">
        <v>1206</v>
      </c>
      <c r="C540" t="s">
        <v>1207</v>
      </c>
    </row>
    <row r="541" spans="1:3" x14ac:dyDescent="0.25">
      <c r="A541">
        <v>537</v>
      </c>
      <c r="B541" t="s">
        <v>1208</v>
      </c>
      <c r="C541" t="s">
        <v>1209</v>
      </c>
    </row>
    <row r="542" spans="1:3" x14ac:dyDescent="0.25">
      <c r="A542">
        <v>979</v>
      </c>
      <c r="B542" t="s">
        <v>1210</v>
      </c>
      <c r="C542" t="s">
        <v>1210</v>
      </c>
    </row>
    <row r="543" spans="1:3" x14ac:dyDescent="0.25">
      <c r="A543">
        <v>980</v>
      </c>
      <c r="B543" t="s">
        <v>1211</v>
      </c>
      <c r="C543" t="s">
        <v>1212</v>
      </c>
    </row>
    <row r="544" spans="1:3" x14ac:dyDescent="0.25">
      <c r="A544">
        <v>983</v>
      </c>
      <c r="B544" t="s">
        <v>1213</v>
      </c>
      <c r="C544" t="s">
        <v>1213</v>
      </c>
    </row>
    <row r="545" spans="1:3" x14ac:dyDescent="0.25">
      <c r="A545">
        <v>1099</v>
      </c>
      <c r="B545" t="s">
        <v>1214</v>
      </c>
      <c r="C545" t="s">
        <v>1214</v>
      </c>
    </row>
    <row r="546" spans="1:3" x14ac:dyDescent="0.25">
      <c r="A546">
        <v>985</v>
      </c>
      <c r="B546" t="s">
        <v>1215</v>
      </c>
      <c r="C546" t="s">
        <v>1215</v>
      </c>
    </row>
    <row r="547" spans="1:3" x14ac:dyDescent="0.25">
      <c r="A547">
        <v>986</v>
      </c>
      <c r="B547" t="s">
        <v>1216</v>
      </c>
      <c r="C547" t="s">
        <v>1216</v>
      </c>
    </row>
    <row r="548" spans="1:3" x14ac:dyDescent="0.25">
      <c r="A548">
        <v>989</v>
      </c>
      <c r="B548" t="s">
        <v>1217</v>
      </c>
      <c r="C548" t="s">
        <v>1217</v>
      </c>
    </row>
    <row r="549" spans="1:3" x14ac:dyDescent="0.25">
      <c r="A549">
        <v>1068</v>
      </c>
      <c r="B549" t="s">
        <v>1218</v>
      </c>
      <c r="C549" t="s">
        <v>1219</v>
      </c>
    </row>
    <row r="550" spans="1:3" x14ac:dyDescent="0.25">
      <c r="A550">
        <v>995</v>
      </c>
      <c r="B550" t="s">
        <v>1220</v>
      </c>
      <c r="C550" t="s">
        <v>1220</v>
      </c>
    </row>
    <row r="551" spans="1:3" x14ac:dyDescent="0.25">
      <c r="A551">
        <v>892</v>
      </c>
      <c r="B551" t="s">
        <v>1221</v>
      </c>
      <c r="C551" t="s">
        <v>1222</v>
      </c>
    </row>
    <row r="552" spans="1:3" x14ac:dyDescent="0.25">
      <c r="A552">
        <v>1127</v>
      </c>
      <c r="B552" t="s">
        <v>1223</v>
      </c>
      <c r="C552" t="s">
        <v>1224</v>
      </c>
    </row>
    <row r="553" spans="1:3" x14ac:dyDescent="0.25">
      <c r="A553">
        <v>737</v>
      </c>
      <c r="B553" t="s">
        <v>1225</v>
      </c>
      <c r="C553" t="s">
        <v>1226</v>
      </c>
    </row>
    <row r="554" spans="1:3" x14ac:dyDescent="0.25">
      <c r="A554">
        <v>1089</v>
      </c>
      <c r="B554" t="s">
        <v>1227</v>
      </c>
      <c r="C554" t="s">
        <v>1228</v>
      </c>
    </row>
    <row r="555" spans="1:3" x14ac:dyDescent="0.25">
      <c r="A555">
        <v>837</v>
      </c>
      <c r="B555" t="s">
        <v>1229</v>
      </c>
      <c r="C555" t="s">
        <v>1230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
  <sheetViews>
    <sheetView showGridLines="0" workbookViewId="0">
      <selection activeCell="K22" sqref="K22"/>
    </sheetView>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defaultRowHeight="15" x14ac:dyDescent="0.25"/>
  <cols>
    <col min="5" max="6" width="67.5703125" bestFit="1" customWidth="1"/>
  </cols>
  <sheetData>
    <row r="1" spans="1:7" x14ac:dyDescent="0.25">
      <c r="A1" t="s">
        <v>2277</v>
      </c>
      <c r="E1" t="s">
        <v>2278</v>
      </c>
    </row>
    <row r="3" spans="1:7" x14ac:dyDescent="0.25">
      <c r="A3" t="s">
        <v>2281</v>
      </c>
    </row>
    <row r="5" spans="1:7" x14ac:dyDescent="0.25">
      <c r="E5" t="s">
        <v>2279</v>
      </c>
      <c r="F5" t="s">
        <v>2279</v>
      </c>
      <c r="G5" t="s">
        <v>2280</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083280-BD49-4F57-8B2E-F0E3A982BD64}">
  <ds:schemaRefs>
    <ds:schemaRef ds:uri="http://www.w3.org/XML/1998/namespace"/>
    <ds:schemaRef ds:uri="http://purl.org/dc/terms/"/>
    <ds:schemaRef ds:uri="http://schemas.microsoft.com/office/2006/documentManagement/types"/>
    <ds:schemaRef ds:uri="http://schemas.microsoft.com/office/2006/metadata/properties"/>
    <ds:schemaRef ds:uri="http://schemas.openxmlformats.org/package/2006/metadata/core-properties"/>
    <ds:schemaRef ds:uri="a6ebcb90-ac09-4851-ae00-ef226ac9e3bb"/>
    <ds:schemaRef ds:uri="http://purl.org/dc/dcmitype/"/>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F20A54-0AF4-46AA-9E11-AFAF9198C6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cp:lastPrinted>2025-10-07T21:48:05Z</cp:lastPrinted>
  <dcterms:created xsi:type="dcterms:W3CDTF">2025-09-01T01:06:44Z</dcterms:created>
  <dcterms:modified xsi:type="dcterms:W3CDTF">2025-10-13T00:09:47Z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