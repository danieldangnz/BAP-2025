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mahau-my.sharepoint.com/personal/tedjat1_student_eit_ac_nz/Documents/"/>
    </mc:Choice>
  </mc:AlternateContent>
  <xr:revisionPtr revIDLastSave="853" documentId="8_{66140293-062B-4628-BAA9-87CAD8AF1A88}" xr6:coauthVersionLast="36" xr6:coauthVersionMax="47" xr10:uidLastSave="{8237ADA8-E8B4-4F4C-9B8C-BC2060B75FBB}"/>
  <bookViews>
    <workbookView xWindow="0" yWindow="495" windowWidth="28800" windowHeight="17505" tabRatio="565" activeTab="1" xr2:uid="{E20453C3-19A2-469D-B268-F65ECF0FF85C}"/>
  </bookViews>
  <sheets>
    <sheet name="Programmes" sheetId="3" r:id="rId1"/>
    <sheet name="Courses" sheetId="6" r:id="rId2"/>
    <sheet name="Staff" sheetId="5" r:id="rId3"/>
    <sheet name="FixedLists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6" l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N3" i="6"/>
  <c r="N4" i="6"/>
  <c r="N5" i="6"/>
  <c r="N6" i="6"/>
  <c r="N7" i="6"/>
  <c r="N8" i="6"/>
  <c r="N9" i="6"/>
  <c r="M9" i="6" s="1"/>
  <c r="N10" i="6"/>
  <c r="N11" i="6"/>
  <c r="N12" i="6"/>
  <c r="N13" i="6"/>
  <c r="N14" i="6"/>
  <c r="N15" i="6"/>
  <c r="N16" i="6"/>
  <c r="N17" i="6"/>
  <c r="M17" i="6" s="1"/>
  <c r="N18" i="6"/>
  <c r="N19" i="6"/>
  <c r="N20" i="6"/>
  <c r="N21" i="6"/>
  <c r="N22" i="6"/>
  <c r="N23" i="6"/>
  <c r="N24" i="6"/>
  <c r="N25" i="6"/>
  <c r="M25" i="6" s="1"/>
  <c r="N26" i="6"/>
  <c r="N27" i="6"/>
  <c r="N28" i="6"/>
  <c r="N29" i="6"/>
  <c r="N30" i="6"/>
  <c r="N31" i="6"/>
  <c r="N32" i="6"/>
  <c r="N33" i="6"/>
  <c r="M33" i="6" s="1"/>
  <c r="N34" i="6"/>
  <c r="N35" i="6"/>
  <c r="N36" i="6"/>
  <c r="N37" i="6"/>
  <c r="N38" i="6"/>
  <c r="N39" i="6"/>
  <c r="N40" i="6"/>
  <c r="N41" i="6"/>
  <c r="M41" i="6" s="1"/>
  <c r="N42" i="6"/>
  <c r="N43" i="6"/>
  <c r="N44" i="6"/>
  <c r="N45" i="6"/>
  <c r="N46" i="6"/>
  <c r="N47" i="6"/>
  <c r="N48" i="6"/>
  <c r="N49" i="6"/>
  <c r="M49" i="6" s="1"/>
  <c r="N50" i="6"/>
  <c r="N51" i="6"/>
  <c r="N52" i="6"/>
  <c r="N53" i="6"/>
  <c r="N54" i="6"/>
  <c r="N55" i="6"/>
  <c r="N56" i="6"/>
  <c r="N57" i="6"/>
  <c r="M57" i="6" s="1"/>
  <c r="N58" i="6"/>
  <c r="N59" i="6"/>
  <c r="N60" i="6"/>
  <c r="N61" i="6"/>
  <c r="N62" i="6"/>
  <c r="N63" i="6"/>
  <c r="N64" i="6"/>
  <c r="N65" i="6"/>
  <c r="M65" i="6" s="1"/>
  <c r="N66" i="6"/>
  <c r="N67" i="6"/>
  <c r="N68" i="6"/>
  <c r="N69" i="6"/>
  <c r="N70" i="6"/>
  <c r="N71" i="6"/>
  <c r="N72" i="6"/>
  <c r="N73" i="6"/>
  <c r="M73" i="6" s="1"/>
  <c r="N74" i="6"/>
  <c r="N75" i="6"/>
  <c r="N76" i="6"/>
  <c r="N77" i="6"/>
  <c r="N78" i="6"/>
  <c r="N79" i="6"/>
  <c r="N80" i="6"/>
  <c r="N81" i="6"/>
  <c r="M81" i="6" s="1"/>
  <c r="N82" i="6"/>
  <c r="N83" i="6"/>
  <c r="N84" i="6"/>
  <c r="N85" i="6"/>
  <c r="N86" i="6"/>
  <c r="N87" i="6"/>
  <c r="N88" i="6"/>
  <c r="N89" i="6"/>
  <c r="M89" i="6" s="1"/>
  <c r="N90" i="6"/>
  <c r="N91" i="6"/>
  <c r="N92" i="6"/>
  <c r="N93" i="6"/>
  <c r="N94" i="6"/>
  <c r="N95" i="6"/>
  <c r="N96" i="6"/>
  <c r="N97" i="6"/>
  <c r="M97" i="6" s="1"/>
  <c r="N98" i="6"/>
  <c r="N99" i="6"/>
  <c r="N100" i="6"/>
  <c r="N101" i="6"/>
  <c r="N102" i="6"/>
  <c r="N103" i="6"/>
  <c r="N104" i="6"/>
  <c r="N105" i="6"/>
  <c r="M105" i="6" s="1"/>
  <c r="N106" i="6"/>
  <c r="N107" i="6"/>
  <c r="N108" i="6"/>
  <c r="N109" i="6"/>
  <c r="N110" i="6"/>
  <c r="N111" i="6"/>
  <c r="N112" i="6"/>
  <c r="N113" i="6"/>
  <c r="M113" i="6" s="1"/>
  <c r="O2" i="6"/>
  <c r="N2" i="6"/>
  <c r="M2" i="6" s="1"/>
  <c r="M3" i="6"/>
  <c r="M4" i="6"/>
  <c r="M5" i="6"/>
  <c r="M6" i="6"/>
  <c r="M7" i="6"/>
  <c r="M8" i="6"/>
  <c r="M10" i="6"/>
  <c r="M11" i="6"/>
  <c r="M12" i="6"/>
  <c r="M13" i="6"/>
  <c r="M14" i="6"/>
  <c r="M15" i="6"/>
  <c r="M16" i="6"/>
  <c r="M18" i="6"/>
  <c r="M19" i="6"/>
  <c r="M20" i="6"/>
  <c r="M21" i="6"/>
  <c r="M22" i="6"/>
  <c r="M23" i="6"/>
  <c r="M24" i="6"/>
  <c r="M26" i="6"/>
  <c r="M27" i="6"/>
  <c r="M28" i="6"/>
  <c r="M29" i="6"/>
  <c r="M30" i="6"/>
  <c r="M31" i="6"/>
  <c r="M32" i="6"/>
  <c r="M34" i="6"/>
  <c r="M35" i="6"/>
  <c r="M36" i="6"/>
  <c r="M37" i="6"/>
  <c r="M38" i="6"/>
  <c r="M39" i="6"/>
  <c r="M40" i="6"/>
  <c r="M42" i="6"/>
  <c r="M43" i="6"/>
  <c r="M44" i="6"/>
  <c r="M45" i="6"/>
  <c r="M46" i="6"/>
  <c r="M47" i="6"/>
  <c r="M48" i="6"/>
  <c r="M50" i="6"/>
  <c r="M51" i="6"/>
  <c r="M52" i="6"/>
  <c r="M53" i="6"/>
  <c r="M54" i="6"/>
  <c r="M55" i="6"/>
  <c r="M56" i="6"/>
  <c r="M58" i="6"/>
  <c r="M59" i="6"/>
  <c r="M60" i="6"/>
  <c r="M61" i="6"/>
  <c r="M62" i="6"/>
  <c r="M63" i="6"/>
  <c r="M64" i="6"/>
  <c r="M66" i="6"/>
  <c r="M67" i="6"/>
  <c r="M68" i="6"/>
  <c r="M69" i="6"/>
  <c r="M70" i="6"/>
  <c r="M71" i="6"/>
  <c r="M72" i="6"/>
  <c r="M74" i="6"/>
  <c r="M75" i="6"/>
  <c r="M76" i="6"/>
  <c r="M77" i="6"/>
  <c r="M78" i="6"/>
  <c r="M79" i="6"/>
  <c r="M80" i="6"/>
  <c r="M82" i="6"/>
  <c r="M83" i="6"/>
  <c r="M84" i="6"/>
  <c r="M85" i="6"/>
  <c r="M86" i="6"/>
  <c r="M87" i="6"/>
  <c r="M88" i="6"/>
  <c r="M90" i="6"/>
  <c r="M91" i="6"/>
  <c r="M92" i="6"/>
  <c r="M93" i="6"/>
  <c r="M94" i="6"/>
  <c r="M95" i="6"/>
  <c r="M96" i="6"/>
  <c r="M98" i="6"/>
  <c r="M99" i="6"/>
  <c r="M100" i="6"/>
  <c r="M101" i="6"/>
  <c r="M102" i="6"/>
  <c r="M103" i="6"/>
  <c r="M104" i="6"/>
  <c r="M106" i="6"/>
  <c r="M107" i="6"/>
  <c r="M108" i="6"/>
  <c r="M109" i="6"/>
  <c r="M110" i="6"/>
  <c r="M111" i="6"/>
  <c r="M11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2" i="6"/>
  <c r="E27" i="3" l="1"/>
  <c r="G27" i="3" s="1"/>
  <c r="J27" i="3" s="1"/>
  <c r="I27" i="3"/>
  <c r="K27" i="3"/>
  <c r="E26" i="3"/>
  <c r="G26" i="3" s="1"/>
  <c r="J26" i="3" s="1"/>
  <c r="I26" i="3"/>
  <c r="K26" i="3"/>
  <c r="E25" i="3"/>
  <c r="G25" i="3" s="1"/>
  <c r="J25" i="3" s="1"/>
  <c r="I25" i="3"/>
  <c r="K25" i="3"/>
  <c r="E24" i="3" l="1"/>
  <c r="G24" i="3" s="1"/>
  <c r="J24" i="3" s="1"/>
  <c r="I24" i="3"/>
  <c r="K24" i="3"/>
  <c r="E23" i="3"/>
  <c r="G23" i="3" s="1"/>
  <c r="J23" i="3" s="1"/>
  <c r="I23" i="3"/>
  <c r="K23" i="3"/>
  <c r="E22" i="3"/>
  <c r="G22" i="3" s="1"/>
  <c r="J22" i="3" s="1"/>
  <c r="I22" i="3"/>
  <c r="K22" i="3"/>
  <c r="E21" i="3" l="1"/>
  <c r="G21" i="3" s="1"/>
  <c r="J21" i="3" s="1"/>
  <c r="I21" i="3"/>
  <c r="K21" i="3"/>
  <c r="E20" i="3" l="1"/>
  <c r="G20" i="3" s="1"/>
  <c r="J20" i="3" s="1"/>
  <c r="I20" i="3"/>
  <c r="K20" i="3"/>
  <c r="E19" i="3"/>
  <c r="G19" i="3" s="1"/>
  <c r="J19" i="3" s="1"/>
  <c r="I19" i="3"/>
  <c r="K19" i="3"/>
  <c r="E18" i="3" l="1"/>
  <c r="G18" i="3" s="1"/>
  <c r="J18" i="3" s="1"/>
  <c r="I18" i="3"/>
  <c r="K18" i="3"/>
  <c r="E17" i="3"/>
  <c r="G17" i="3" s="1"/>
  <c r="J17" i="3" s="1"/>
  <c r="I17" i="3"/>
  <c r="K17" i="3"/>
  <c r="E16" i="3" l="1"/>
  <c r="G16" i="3" s="1"/>
  <c r="J16" i="3" s="1"/>
  <c r="I16" i="3"/>
  <c r="K16" i="3"/>
  <c r="E15" i="3"/>
  <c r="G15" i="3" s="1"/>
  <c r="J15" i="3" s="1"/>
  <c r="I15" i="3"/>
  <c r="K15" i="3"/>
  <c r="E14" i="3"/>
  <c r="G14" i="3" s="1"/>
  <c r="J14" i="3" s="1"/>
  <c r="I14" i="3"/>
  <c r="K14" i="3"/>
  <c r="E13" i="3" l="1"/>
  <c r="G13" i="3" s="1"/>
  <c r="J13" i="3" s="1"/>
  <c r="I13" i="3"/>
  <c r="K13" i="3"/>
  <c r="K3" i="3" l="1"/>
  <c r="K4" i="3"/>
  <c r="K5" i="3"/>
  <c r="K6" i="3"/>
  <c r="K7" i="3"/>
  <c r="K8" i="3"/>
  <c r="K9" i="3"/>
  <c r="K10" i="3"/>
  <c r="K11" i="3"/>
  <c r="K12" i="3"/>
  <c r="K2" i="3"/>
  <c r="I3" i="3"/>
  <c r="I4" i="3"/>
  <c r="I5" i="3"/>
  <c r="I6" i="3"/>
  <c r="I7" i="3"/>
  <c r="I8" i="3"/>
  <c r="I9" i="3"/>
  <c r="I10" i="3"/>
  <c r="I11" i="3"/>
  <c r="I12" i="3"/>
  <c r="I2" i="3"/>
  <c r="E3" i="3"/>
  <c r="G3" i="3" s="1"/>
  <c r="J3" i="3" s="1"/>
  <c r="E2" i="3"/>
  <c r="G2" i="3" s="1"/>
  <c r="J2" i="3" s="1"/>
  <c r="E4" i="3"/>
  <c r="G4" i="3" s="1"/>
  <c r="J4" i="3" s="1"/>
  <c r="E5" i="3"/>
  <c r="G5" i="3" s="1"/>
  <c r="J5" i="3" s="1"/>
  <c r="E6" i="3"/>
  <c r="G6" i="3" s="1"/>
  <c r="J6" i="3" s="1"/>
  <c r="E7" i="3"/>
  <c r="G7" i="3" s="1"/>
  <c r="J7" i="3" s="1"/>
  <c r="E8" i="3"/>
  <c r="G8" i="3" s="1"/>
  <c r="J8" i="3" s="1"/>
  <c r="E9" i="3"/>
  <c r="G9" i="3" s="1"/>
  <c r="J9" i="3" s="1"/>
  <c r="E10" i="3"/>
  <c r="G10" i="3" s="1"/>
  <c r="J10" i="3" s="1"/>
  <c r="E11" i="3"/>
  <c r="G11" i="3" s="1"/>
  <c r="J11" i="3" s="1"/>
  <c r="E12" i="3"/>
  <c r="G12" i="3" s="1"/>
  <c r="J12" i="3" s="1"/>
</calcChain>
</file>

<file path=xl/sharedStrings.xml><?xml version="1.0" encoding="utf-8"?>
<sst xmlns="http://schemas.openxmlformats.org/spreadsheetml/2006/main" count="2148" uniqueCount="1399">
  <si>
    <t>0</t>
  </si>
  <si>
    <t>SectionID</t>
  </si>
  <si>
    <t>Programme Title</t>
  </si>
  <si>
    <t>Base Code</t>
  </si>
  <si>
    <t>Pregion</t>
  </si>
  <si>
    <t>Intake</t>
  </si>
  <si>
    <t>FullProgCode</t>
  </si>
  <si>
    <t>Campus</t>
  </si>
  <si>
    <t>FullPDescript</t>
  </si>
  <si>
    <t>ProgStudSet</t>
  </si>
  <si>
    <t>Prog1Code</t>
  </si>
  <si>
    <t>Business</t>
  </si>
  <si>
    <t>Bachelor of Business Studies</t>
  </si>
  <si>
    <t>BBS</t>
  </si>
  <si>
    <t>Feb</t>
  </si>
  <si>
    <t>Taradale</t>
  </si>
  <si>
    <t>Palmerston Rd</t>
  </si>
  <si>
    <t>Bachelor of Accounting</t>
  </si>
  <si>
    <t>BoA</t>
  </si>
  <si>
    <t>Stout St</t>
  </si>
  <si>
    <t>Jul</t>
  </si>
  <si>
    <t>Wairoa</t>
  </si>
  <si>
    <t>New Zealand Certificate in Business (Accounting Support Services) (L4)</t>
  </si>
  <si>
    <t>CBASS</t>
  </si>
  <si>
    <t>New Zealand Diploma in Business L5</t>
  </si>
  <si>
    <t>NZDB</t>
  </si>
  <si>
    <t>School-based Activities</t>
  </si>
  <si>
    <t>SBA</t>
  </si>
  <si>
    <t>Comput</t>
  </si>
  <si>
    <t>Test Programme</t>
  </si>
  <si>
    <t>Test</t>
  </si>
  <si>
    <t>1</t>
  </si>
  <si>
    <t>EDSS</t>
  </si>
  <si>
    <t>Changed</t>
  </si>
  <si>
    <t>cha</t>
  </si>
  <si>
    <t>Oct</t>
  </si>
  <si>
    <t>Nursing</t>
  </si>
  <si>
    <t>vbnmvbnm</t>
  </si>
  <si>
    <t>SoN</t>
  </si>
  <si>
    <t>Ruatoria</t>
  </si>
  <si>
    <t>BRU</t>
  </si>
  <si>
    <t>Second Create Test</t>
  </si>
  <si>
    <t>puiop</t>
  </si>
  <si>
    <t>Jan</t>
  </si>
  <si>
    <t>dfghdfghdfghdfgh</t>
  </si>
  <si>
    <t>dfgh</t>
  </si>
  <si>
    <t>qwer</t>
  </si>
  <si>
    <t>qwe</t>
  </si>
  <si>
    <t>Waipukurau</t>
  </si>
  <si>
    <t>ghjk</t>
  </si>
  <si>
    <t>ghj</t>
  </si>
  <si>
    <t>vcxzcvzxcvzxcvzx</t>
  </si>
  <si>
    <t>zxc</t>
  </si>
  <si>
    <t>asdfasdfasdf</t>
  </si>
  <si>
    <t>asdf</t>
  </si>
  <si>
    <t>Dec24</t>
  </si>
  <si>
    <t>Oct24</t>
  </si>
  <si>
    <t>soct</t>
  </si>
  <si>
    <t>Nov24</t>
  </si>
  <si>
    <t>zxcv</t>
  </si>
  <si>
    <t>rty</t>
  </si>
  <si>
    <t>rewq</t>
  </si>
  <si>
    <t>ghghghghg</t>
  </si>
  <si>
    <t>Aug24</t>
  </si>
  <si>
    <t>hjkl</t>
  </si>
  <si>
    <t>asdflkjh</t>
  </si>
  <si>
    <t>CourseID</t>
  </si>
  <si>
    <t>CourseDescript</t>
  </si>
  <si>
    <t>CourseCode</t>
  </si>
  <si>
    <t>CRegion</t>
  </si>
  <si>
    <t>CIntake</t>
  </si>
  <si>
    <t>ProgNumb</t>
  </si>
  <si>
    <t>Completed</t>
  </si>
  <si>
    <t>CSection</t>
  </si>
  <si>
    <t>CourseFullCode</t>
  </si>
  <si>
    <t>OnlyMod</t>
  </si>
  <si>
    <t>Ccampus</t>
  </si>
  <si>
    <t>FullCDescript</t>
  </si>
  <si>
    <t>StudSet</t>
  </si>
  <si>
    <t>ProgFullCode</t>
  </si>
  <si>
    <t>Mod1Code</t>
  </si>
  <si>
    <t>Accrual Accounting</t>
  </si>
  <si>
    <t>AC4.01</t>
  </si>
  <si>
    <t>HB</t>
  </si>
  <si>
    <t>Accounting for Taxation</t>
  </si>
  <si>
    <t>AC4.02</t>
  </si>
  <si>
    <t>Accounting Software</t>
  </si>
  <si>
    <t>AC4.03</t>
  </si>
  <si>
    <t>Apr</t>
  </si>
  <si>
    <t>Payroll</t>
  </si>
  <si>
    <t>AC4.04</t>
  </si>
  <si>
    <t>Introduction to Accounting and Taxation</t>
  </si>
  <si>
    <t>ACCY5101</t>
  </si>
  <si>
    <t>TC</t>
  </si>
  <si>
    <t>Applied Accounting</t>
  </si>
  <si>
    <t>ACCY5102</t>
  </si>
  <si>
    <t>Analysis of Financial Information</t>
  </si>
  <si>
    <t>ACCY5103</t>
  </si>
  <si>
    <t>Budgets for Planning &amp; Control</t>
  </si>
  <si>
    <t>ACCY5104</t>
  </si>
  <si>
    <t>Commercial Law</t>
  </si>
  <si>
    <t>ACCY5105</t>
  </si>
  <si>
    <t>Economics</t>
  </si>
  <si>
    <t>ACCY5106</t>
  </si>
  <si>
    <t>Intermediate Management Accounting</t>
  </si>
  <si>
    <t>ACCY6101</t>
  </si>
  <si>
    <t>Intermediate Financial Accounting</t>
  </si>
  <si>
    <t>ACCY6102</t>
  </si>
  <si>
    <t>Taxation in Aotearoa New Zealand</t>
  </si>
  <si>
    <t>ACCY6103</t>
  </si>
  <si>
    <t>Introductiion to Finance</t>
  </si>
  <si>
    <t>ACCY6104</t>
  </si>
  <si>
    <t>Introduction to Finance</t>
  </si>
  <si>
    <t>Data Analytics</t>
  </si>
  <si>
    <t>ACCY6105</t>
  </si>
  <si>
    <t>Law of Business Entities</t>
  </si>
  <si>
    <t>ACCY6106</t>
  </si>
  <si>
    <t>Law of Business Entiities</t>
  </si>
  <si>
    <t>Research Methods</t>
  </si>
  <si>
    <t>ACCY6107</t>
  </si>
  <si>
    <t>Accounting Information Systems</t>
  </si>
  <si>
    <t>ACCY6108</t>
  </si>
  <si>
    <t>Advanced Management Accounting</t>
  </si>
  <si>
    <t>ACCY7101</t>
  </si>
  <si>
    <t>Advanced Financial Accounting</t>
  </si>
  <si>
    <t>ACCY7102</t>
  </si>
  <si>
    <t>Audit and Assurance</t>
  </si>
  <si>
    <t>ACCY7103</t>
  </si>
  <si>
    <t>Organisations in an Aotearoa New Zealand</t>
  </si>
  <si>
    <t>BSNS5001</t>
  </si>
  <si>
    <t>Business Environments</t>
  </si>
  <si>
    <t>BSNS5002</t>
  </si>
  <si>
    <t>Business Environmentsss</t>
  </si>
  <si>
    <t>Business Functions</t>
  </si>
  <si>
    <t>BSNS5003</t>
  </si>
  <si>
    <t>Change and Innovation</t>
  </si>
  <si>
    <t>BSNS5004</t>
  </si>
  <si>
    <t>Introduction to Leadership</t>
  </si>
  <si>
    <t>BSNS5401</t>
  </si>
  <si>
    <t>Operations Management and Compliance</t>
  </si>
  <si>
    <t>BSNS5402</t>
  </si>
  <si>
    <t>Business Planning</t>
  </si>
  <si>
    <t>BSNS5403</t>
  </si>
  <si>
    <t>Managing Projects</t>
  </si>
  <si>
    <t>BSNS5404</t>
  </si>
  <si>
    <t>Accounting and Finance for Managers</t>
  </si>
  <si>
    <t>LM6.01</t>
  </si>
  <si>
    <t>LM6.02</t>
  </si>
  <si>
    <t>International Business</t>
  </si>
  <si>
    <t>LM7.07</t>
  </si>
  <si>
    <t>Supply Chain Management</t>
  </si>
  <si>
    <t>MG6.01</t>
  </si>
  <si>
    <t>Designing and Improving Operations</t>
  </si>
  <si>
    <t>MG6.02</t>
  </si>
  <si>
    <t>Human Resource Management</t>
  </si>
  <si>
    <t>MG6.03</t>
  </si>
  <si>
    <t>Organisational Behaviour</t>
  </si>
  <si>
    <t>MG6.04</t>
  </si>
  <si>
    <t>Employment Relations</t>
  </si>
  <si>
    <t>MG6.05</t>
  </si>
  <si>
    <t>Strategic Management</t>
  </si>
  <si>
    <t>MG7.01</t>
  </si>
  <si>
    <t>Advanced Operations Management</t>
  </si>
  <si>
    <t>MG7.02</t>
  </si>
  <si>
    <t>Advanced Human Resource Management</t>
  </si>
  <si>
    <t>MG7.03</t>
  </si>
  <si>
    <t>Career Management</t>
  </si>
  <si>
    <t>MG7.04</t>
  </si>
  <si>
    <t>Entrepreneurship and Innovation</t>
  </si>
  <si>
    <t>MG7.05</t>
  </si>
  <si>
    <t>Marketing Management</t>
  </si>
  <si>
    <t>MK6.01</t>
  </si>
  <si>
    <t>Consumer Behaviour</t>
  </si>
  <si>
    <t>MK6.02</t>
  </si>
  <si>
    <t>Branding</t>
  </si>
  <si>
    <t>MK6.03</t>
  </si>
  <si>
    <t>Strategic Marketing</t>
  </si>
  <si>
    <t>MK7.01</t>
  </si>
  <si>
    <t>Marketing Research</t>
  </si>
  <si>
    <t>MK7.02</t>
  </si>
  <si>
    <t>Social Media Marketing</t>
  </si>
  <si>
    <t>MK7.10</t>
  </si>
  <si>
    <t>School-based Activitties</t>
  </si>
  <si>
    <t>afaf</t>
  </si>
  <si>
    <t>asfa</t>
  </si>
  <si>
    <t>Working</t>
  </si>
  <si>
    <t>acccececcc</t>
  </si>
  <si>
    <t>Blah Blah</t>
  </si>
  <si>
    <t>BLAH</t>
  </si>
  <si>
    <t>exceciec</t>
  </si>
  <si>
    <t>EX</t>
  </si>
  <si>
    <t>ID</t>
  </si>
  <si>
    <t>Staff</t>
  </si>
  <si>
    <t>Name</t>
  </si>
  <si>
    <t>A Burke</t>
  </si>
  <si>
    <t>Burke, A</t>
  </si>
  <si>
    <t>A Cranston</t>
  </si>
  <si>
    <t>Cranston, A</t>
  </si>
  <si>
    <t>A Nepe-Apatu</t>
  </si>
  <si>
    <t>Nepe-Apatu, A</t>
  </si>
  <si>
    <t>A White</t>
  </si>
  <si>
    <t>White, A</t>
  </si>
  <si>
    <t>Aaron McNaught</t>
  </si>
  <si>
    <t>McNaught, A</t>
  </si>
  <si>
    <t>Abbie March</t>
  </si>
  <si>
    <t>March, A</t>
  </si>
  <si>
    <t>Abby Davis</t>
  </si>
  <si>
    <t>Davis, A</t>
  </si>
  <si>
    <t>Accl4/5</t>
  </si>
  <si>
    <t>Adam Smith</t>
  </si>
  <si>
    <t>Smith, A</t>
  </si>
  <si>
    <t>Adrianna Grogan</t>
  </si>
  <si>
    <t>Grogan, A</t>
  </si>
  <si>
    <t>Ahuriri Houkamau</t>
  </si>
  <si>
    <t>Houkamau, A</t>
  </si>
  <si>
    <t>Akbar Hossain</t>
  </si>
  <si>
    <t>Hossain, A</t>
  </si>
  <si>
    <t>Al Akroyd</t>
  </si>
  <si>
    <t>Akroyd, A</t>
  </si>
  <si>
    <t>Alan Barton</t>
  </si>
  <si>
    <t>Barton, A</t>
  </si>
  <si>
    <t>Alan Tyrell</t>
  </si>
  <si>
    <t>Tyrrell, A</t>
  </si>
  <si>
    <t>Alannah Meyer</t>
  </si>
  <si>
    <t>Meyer, A</t>
  </si>
  <si>
    <t>Alesha Lewis</t>
  </si>
  <si>
    <t>Lewis, A</t>
  </si>
  <si>
    <t>Alexandra Dawson</t>
  </si>
  <si>
    <t>Dawson, A</t>
  </si>
  <si>
    <t>Alice Nevison</t>
  </si>
  <si>
    <t>Nevison, A</t>
  </si>
  <si>
    <t>Alinka Julian</t>
  </si>
  <si>
    <t>Julian, A</t>
  </si>
  <si>
    <t>Alison Clear</t>
  </si>
  <si>
    <t>Clear, A</t>
  </si>
  <si>
    <t>Aman Kaur</t>
  </si>
  <si>
    <t>Kaur, A</t>
  </si>
  <si>
    <t>Amanda Bowman</t>
  </si>
  <si>
    <t>Bowman, A</t>
  </si>
  <si>
    <t>Amanda Libeau</t>
  </si>
  <si>
    <t>Libeau, A</t>
  </si>
  <si>
    <t>Amanda McFarlane</t>
  </si>
  <si>
    <t>McFarlane, A</t>
  </si>
  <si>
    <t>Amber Ramsay</t>
  </si>
  <si>
    <t>Ramsay, A</t>
  </si>
  <si>
    <t>Amelia McQueen</t>
  </si>
  <si>
    <t>McQueen, A</t>
  </si>
  <si>
    <t>Amy Hopkinson-Styles</t>
  </si>
  <si>
    <t>Hopkinson-Styles, A</t>
  </si>
  <si>
    <t>Anabelle Jane</t>
  </si>
  <si>
    <t>Jane, A</t>
  </si>
  <si>
    <t>Anastasia Mozhaeva</t>
  </si>
  <si>
    <t>Mozhaeva, A</t>
  </si>
  <si>
    <t>Andrea Baikie</t>
  </si>
  <si>
    <t>Baikie, A</t>
  </si>
  <si>
    <t>Andrew Baker</t>
  </si>
  <si>
    <t>Baker, A</t>
  </si>
  <si>
    <t>Andrew Hume</t>
  </si>
  <si>
    <t>Hume, A</t>
  </si>
  <si>
    <t>Andrew McCrory</t>
  </si>
  <si>
    <t>McCrory, A</t>
  </si>
  <si>
    <t>Andy Sinclair</t>
  </si>
  <si>
    <t>Sinclair, A</t>
  </si>
  <si>
    <t>Angela Tibble</t>
  </si>
  <si>
    <t>Tibble, A</t>
  </si>
  <si>
    <t>Angela Yang</t>
  </si>
  <si>
    <t>Yang, A</t>
  </si>
  <si>
    <t>Anita Jagroop-Dearing</t>
  </si>
  <si>
    <t>Jagroop-Dearing, A</t>
  </si>
  <si>
    <t>Anna Charrington</t>
  </si>
  <si>
    <t>Charrington, A</t>
  </si>
  <si>
    <t>Anne Hiha</t>
  </si>
  <si>
    <t>Hiha, A</t>
  </si>
  <si>
    <t>Anne McGuire</t>
  </si>
  <si>
    <t>McGuire, A</t>
  </si>
  <si>
    <t>Ant Mackenzie</t>
  </si>
  <si>
    <t>Mackenzie, A</t>
  </si>
  <si>
    <t>Anthony Chiappin</t>
  </si>
  <si>
    <t>Chiappin, A</t>
  </si>
  <si>
    <t>Ashleigh Seagar</t>
  </si>
  <si>
    <t>Seagar, A</t>
  </si>
  <si>
    <t>Ashleigh Sheldrake</t>
  </si>
  <si>
    <t>Sheldrake, A</t>
  </si>
  <si>
    <t>Awhina English</t>
  </si>
  <si>
    <t>English, A</t>
  </si>
  <si>
    <t>B Horwell</t>
  </si>
  <si>
    <t>Horwell, B</t>
  </si>
  <si>
    <t>Barbara Stokes</t>
  </si>
  <si>
    <t>Stokes, B</t>
  </si>
  <si>
    <t>Barbara West</t>
  </si>
  <si>
    <t>West, B</t>
  </si>
  <si>
    <t>Bartlett, H</t>
  </si>
  <si>
    <t>Beernink, C</t>
  </si>
  <si>
    <t>Belinda Stovell</t>
  </si>
  <si>
    <t>Stovell, B</t>
  </si>
  <si>
    <t>Ben Aldrich</t>
  </si>
  <si>
    <t>Aldrich, B</t>
  </si>
  <si>
    <t>Ben Stevenson</t>
  </si>
  <si>
    <t>Stevenson, B</t>
  </si>
  <si>
    <t>Blackburn, C</t>
  </si>
  <si>
    <t>Bobbi-Lee Satchwell</t>
  </si>
  <si>
    <t>Satchwell, B</t>
  </si>
  <si>
    <t>Booth, E</t>
  </si>
  <si>
    <t>Boydie Hall</t>
  </si>
  <si>
    <t>Hall, B</t>
  </si>
  <si>
    <t>Brett Cranswick</t>
  </si>
  <si>
    <t>Cranswick, B</t>
  </si>
  <si>
    <t>Brett Graham</t>
  </si>
  <si>
    <t>Graham, B</t>
  </si>
  <si>
    <t>Brian MacLay</t>
  </si>
  <si>
    <t>McLay, B</t>
  </si>
  <si>
    <t>Brian Rio</t>
  </si>
  <si>
    <t>Rio, B</t>
  </si>
  <si>
    <t>Briar Davies</t>
  </si>
  <si>
    <t>Davies, B</t>
  </si>
  <si>
    <t>Bridget French-Hall</t>
  </si>
  <si>
    <t>French, B</t>
  </si>
  <si>
    <t>Bridget Sutherland</t>
  </si>
  <si>
    <t>Sutherland, B</t>
  </si>
  <si>
    <t>Brydon Nisbet</t>
  </si>
  <si>
    <t>Nisbet, B</t>
  </si>
  <si>
    <t>Business Contractor</t>
  </si>
  <si>
    <t>Bus, Contractor</t>
  </si>
  <si>
    <t>Byron Mabbett</t>
  </si>
  <si>
    <t>Mabbett, B</t>
  </si>
  <si>
    <t>C MacKenzie</t>
  </si>
  <si>
    <t>MacKenzie, C</t>
  </si>
  <si>
    <t>C Ratima</t>
  </si>
  <si>
    <t>Ratima, C</t>
  </si>
  <si>
    <t>C Vuicakau</t>
  </si>
  <si>
    <t>Vuicakau, C</t>
  </si>
  <si>
    <t>Caldwell, A</t>
  </si>
  <si>
    <t>Campbell Johnston</t>
  </si>
  <si>
    <t>Johnston, C</t>
  </si>
  <si>
    <t>Campbell, K</t>
  </si>
  <si>
    <t>Carl Paton</t>
  </si>
  <si>
    <t>Paton, C</t>
  </si>
  <si>
    <t>Carlos Mancer</t>
  </si>
  <si>
    <t>Mancer, C</t>
  </si>
  <si>
    <t>Carolyn Russell</t>
  </si>
  <si>
    <t>Russell, C</t>
  </si>
  <si>
    <t>Casey Aranui</t>
  </si>
  <si>
    <t>Aranui, C</t>
  </si>
  <si>
    <t>Celia Kurta</t>
  </si>
  <si>
    <t>Kurta, C</t>
  </si>
  <si>
    <t>Chad Tareha</t>
  </si>
  <si>
    <t>Tareha, C</t>
  </si>
  <si>
    <t>Chaffey-Aupouri, T</t>
  </si>
  <si>
    <t>Chance Rohe</t>
  </si>
  <si>
    <t>Rohe, C</t>
  </si>
  <si>
    <t>Chandre Honeth</t>
  </si>
  <si>
    <t>Honeth, C</t>
  </si>
  <si>
    <t>Chanel Ruawai</t>
  </si>
  <si>
    <t>Ruawai, C</t>
  </si>
  <si>
    <t>Charlotte Chisnell</t>
  </si>
  <si>
    <t>Chisnell, C</t>
  </si>
  <si>
    <t>Cheryl  Downie</t>
  </si>
  <si>
    <t>Downie, C</t>
  </si>
  <si>
    <t>Cheryl Newman</t>
  </si>
  <si>
    <t>Newman, C</t>
  </si>
  <si>
    <t>Chey Dearing</t>
  </si>
  <si>
    <t>Dearing, C</t>
  </si>
  <si>
    <t>Chris Bryant-Toi</t>
  </si>
  <si>
    <t>Bryant-Toi, C</t>
  </si>
  <si>
    <t>Chris Malcolm</t>
  </si>
  <si>
    <t>Malcolm, C</t>
  </si>
  <si>
    <t>Chris Olsen</t>
  </si>
  <si>
    <t>Olsen, C</t>
  </si>
  <si>
    <t>Chris Thorman</t>
  </si>
  <si>
    <t>Thorman, C</t>
  </si>
  <si>
    <t>Chris Toomey</t>
  </si>
  <si>
    <t>Toomey, C</t>
  </si>
  <si>
    <t>Chris Treacher</t>
  </si>
  <si>
    <t>Treacher, C</t>
  </si>
  <si>
    <t>Claire McCormick</t>
  </si>
  <si>
    <t>McCormick, C</t>
  </si>
  <si>
    <t>Clapham, A</t>
  </si>
  <si>
    <t>Clare Buckner</t>
  </si>
  <si>
    <t>Buckner, C</t>
  </si>
  <si>
    <t>Clare Wills</t>
  </si>
  <si>
    <t>Wills, C</t>
  </si>
  <si>
    <t>Clarke Allen</t>
  </si>
  <si>
    <t>Allen, C</t>
  </si>
  <si>
    <t>Claudia Maaka</t>
  </si>
  <si>
    <t>Maaka, C</t>
  </si>
  <si>
    <t>Clint Whitewood</t>
  </si>
  <si>
    <t>Whitewood, C</t>
  </si>
  <si>
    <t>Cole Petterson</t>
  </si>
  <si>
    <t>Petterson, C</t>
  </si>
  <si>
    <t>Community Computing, H</t>
  </si>
  <si>
    <t>Conrad Schumacher</t>
  </si>
  <si>
    <t>Schumacher, C</t>
  </si>
  <si>
    <t>Contractor for Post grad Health</t>
  </si>
  <si>
    <t>Contractor-PGH</t>
  </si>
  <si>
    <t>Corey McKenzie</t>
  </si>
  <si>
    <t>McKenzie, C</t>
  </si>
  <si>
    <t>Courtenay Booth</t>
  </si>
  <si>
    <t>Booth, C</t>
  </si>
  <si>
    <t>Courtney Blair</t>
  </si>
  <si>
    <t>Blair, C</t>
  </si>
  <si>
    <t>Courtney Cowan</t>
  </si>
  <si>
    <t>Cowan, C</t>
  </si>
  <si>
    <t>Craig Roberts</t>
  </si>
  <si>
    <t>Roberts, C</t>
  </si>
  <si>
    <t>Craig Wooley</t>
  </si>
  <si>
    <t>Wooley, C</t>
  </si>
  <si>
    <t>Crystal Edwards</t>
  </si>
  <si>
    <t>Edwards, C</t>
  </si>
  <si>
    <t>Crystal Herbert</t>
  </si>
  <si>
    <t>Herbert, C</t>
  </si>
  <si>
    <t>CSCP L4 - HB</t>
  </si>
  <si>
    <t>CSCP L4-HB</t>
  </si>
  <si>
    <t>CSCP L4-TC</t>
  </si>
  <si>
    <t>da Silva Vilhena, G</t>
  </si>
  <si>
    <t>Dan Gallagher</t>
  </si>
  <si>
    <t>Gallagher, D</t>
  </si>
  <si>
    <t>Dana Armstrong</t>
  </si>
  <si>
    <t>Armstrong, D</t>
  </si>
  <si>
    <t>Daniel Chamberlain</t>
  </si>
  <si>
    <t>Chamberlain, D</t>
  </si>
  <si>
    <t>Daniel Dang</t>
  </si>
  <si>
    <t>Dang, D</t>
  </si>
  <si>
    <t>Danielle Angland</t>
  </si>
  <si>
    <t>Angland, D</t>
  </si>
  <si>
    <t>Darren Markenstein</t>
  </si>
  <si>
    <t>Markenstein, D</t>
  </si>
  <si>
    <t>David Jordan</t>
  </si>
  <si>
    <t>Jordan, D</t>
  </si>
  <si>
    <t>David Skelton</t>
  </si>
  <si>
    <t>Skelton, D</t>
  </si>
  <si>
    <t>David Tanner</t>
  </si>
  <si>
    <t>Tanner, D</t>
  </si>
  <si>
    <t>Deb Stewart</t>
  </si>
  <si>
    <t>Stewart, D</t>
  </si>
  <si>
    <t>Debbie Leach</t>
  </si>
  <si>
    <t>Leach, D</t>
  </si>
  <si>
    <t>Denise Blanchard</t>
  </si>
  <si>
    <t>Blanchard, D</t>
  </si>
  <si>
    <t>Denise te Hau</t>
  </si>
  <si>
    <t>Te Hau, D</t>
  </si>
  <si>
    <t>Derek Lardelli</t>
  </si>
  <si>
    <t>Lardelli, D</t>
  </si>
  <si>
    <t>Desma Culshaw</t>
  </si>
  <si>
    <t>Culshaw, D</t>
  </si>
  <si>
    <t>Diana Desmond</t>
  </si>
  <si>
    <t>Desmond, D</t>
  </si>
  <si>
    <t>Diana Friis</t>
  </si>
  <si>
    <t>Friis, D</t>
  </si>
  <si>
    <t>Diana Kirton</t>
  </si>
  <si>
    <t>Kirton, D</t>
  </si>
  <si>
    <t>Diane Wilkie</t>
  </si>
  <si>
    <t>Wilkie, D</t>
  </si>
  <si>
    <t>Dobrila Lopez</t>
  </si>
  <si>
    <t>Lopez, D</t>
  </si>
  <si>
    <t>Dorothy Hayes</t>
  </si>
  <si>
    <t>Hayes, D</t>
  </si>
  <si>
    <t>Doug Neilson</t>
  </si>
  <si>
    <t>Neilson, D</t>
  </si>
  <si>
    <t>Dr Dinusha Jayathilake</t>
  </si>
  <si>
    <t>Jayathilake, D</t>
  </si>
  <si>
    <t>Earl Zapf</t>
  </si>
  <si>
    <t>Zapf, E</t>
  </si>
  <si>
    <t>Ed and Soc Sci, B</t>
  </si>
  <si>
    <t>Eddy, C</t>
  </si>
  <si>
    <t>Edmond Otis</t>
  </si>
  <si>
    <t>Otis, E</t>
  </si>
  <si>
    <t>Elayne Papps</t>
  </si>
  <si>
    <t>Papps, E</t>
  </si>
  <si>
    <t>ELC Tutor</t>
  </si>
  <si>
    <t>ELC</t>
  </si>
  <si>
    <t>Elise Montgomery</t>
  </si>
  <si>
    <t>Montgomery, E</t>
  </si>
  <si>
    <t>Elizabeth Mackenzie</t>
  </si>
  <si>
    <t>Mackenzie, E</t>
  </si>
  <si>
    <t>Emily Nelson</t>
  </si>
  <si>
    <t>Nelson, E</t>
  </si>
  <si>
    <t>Emma Martin</t>
  </si>
  <si>
    <t>Martin, E</t>
  </si>
  <si>
    <t>Emma McFadyen</t>
  </si>
  <si>
    <t>McFadyen, E</t>
  </si>
  <si>
    <t>Emre Erturk</t>
  </si>
  <si>
    <t>Erturk, E</t>
  </si>
  <si>
    <t>Erena Koopu</t>
  </si>
  <si>
    <t>Koopu, E</t>
  </si>
  <si>
    <t>Erika Smith</t>
  </si>
  <si>
    <t>Smith, Erika</t>
  </si>
  <si>
    <t>Erina Smith</t>
  </si>
  <si>
    <t>Smith, E</t>
  </si>
  <si>
    <t>Eve Natusch</t>
  </si>
  <si>
    <t>Natusch, E</t>
  </si>
  <si>
    <t>Evelyn Madsen</t>
  </si>
  <si>
    <t>Madsen, E</t>
  </si>
  <si>
    <t>Everett Ubiadas</t>
  </si>
  <si>
    <t>Ubiadas, E</t>
  </si>
  <si>
    <t>Farhad Mehdipour</t>
  </si>
  <si>
    <t>Mehdipour, F</t>
  </si>
  <si>
    <t>Fashion TC, C</t>
  </si>
  <si>
    <t>Fezz Petersen</t>
  </si>
  <si>
    <t>Petersen, F</t>
  </si>
  <si>
    <t>Fiona Barrett</t>
  </si>
  <si>
    <t>Barrett, F</t>
  </si>
  <si>
    <t>Fiona Howard</t>
  </si>
  <si>
    <t>Howard, F</t>
  </si>
  <si>
    <t>Fleur Leighton</t>
  </si>
  <si>
    <t>Leighton, F</t>
  </si>
  <si>
    <t>Fliss Pullman</t>
  </si>
  <si>
    <t>Pullman, F</t>
  </si>
  <si>
    <t>Floyd Pepper</t>
  </si>
  <si>
    <t>Pepper, F</t>
  </si>
  <si>
    <t>Gail Maxey</t>
  </si>
  <si>
    <t>Maxey, G</t>
  </si>
  <si>
    <t>Garth Cranefield</t>
  </si>
  <si>
    <t>Cranefield, G</t>
  </si>
  <si>
    <t>Gawain Fraser</t>
  </si>
  <si>
    <t>Fraser, G</t>
  </si>
  <si>
    <t>Gay Robertson</t>
  </si>
  <si>
    <t>Robertson, G</t>
  </si>
  <si>
    <t>George Reti</t>
  </si>
  <si>
    <t>Reti, G</t>
  </si>
  <si>
    <t>Gerard Henry</t>
  </si>
  <si>
    <t>Henry, G</t>
  </si>
  <si>
    <t>Gillian Postlewaight</t>
  </si>
  <si>
    <t>Postlewaight, G</t>
  </si>
  <si>
    <t>Glen Harkness</t>
  </si>
  <si>
    <t>Harkness, G</t>
  </si>
  <si>
    <t>Glen Robertshaw</t>
  </si>
  <si>
    <t>Robertshaw, G</t>
  </si>
  <si>
    <t>Glen Shadbolt</t>
  </si>
  <si>
    <t>Shadbolt, G</t>
  </si>
  <si>
    <t>Grace Brodie</t>
  </si>
  <si>
    <t>Brodie, G</t>
  </si>
  <si>
    <t>Graham Ward</t>
  </si>
  <si>
    <t>Ward, G</t>
  </si>
  <si>
    <t>Grant Petersen</t>
  </si>
  <si>
    <t>Petersen, G</t>
  </si>
  <si>
    <t>Guy de Latour</t>
  </si>
  <si>
    <t>de Lautour, G</t>
  </si>
  <si>
    <t>H Barlow</t>
  </si>
  <si>
    <t>Barlow, H</t>
  </si>
  <si>
    <t>H Robin</t>
  </si>
  <si>
    <t>Robin, H</t>
  </si>
  <si>
    <t>Haley Meechan</t>
  </si>
  <si>
    <t>Meechan, H</t>
  </si>
  <si>
    <t>Hamish Madden</t>
  </si>
  <si>
    <t>Madden, H</t>
  </si>
  <si>
    <t>Hannam, J</t>
  </si>
  <si>
    <t>Harley Benton</t>
  </si>
  <si>
    <t>Benton, H</t>
  </si>
  <si>
    <t>Haswell, E</t>
  </si>
  <si>
    <t>Hayley Osterfield</t>
  </si>
  <si>
    <t>Osterfield, H</t>
  </si>
  <si>
    <t>Heather Martin</t>
  </si>
  <si>
    <t>Martin, H</t>
  </si>
  <si>
    <t>Heather Tipene-Richards</t>
  </si>
  <si>
    <t>Tipene Richards, H</t>
  </si>
  <si>
    <t>Heidi Smithers</t>
  </si>
  <si>
    <t>Smithers, H</t>
  </si>
  <si>
    <t>Helen Ryan Stewart</t>
  </si>
  <si>
    <t>Ryan-Stewart, H</t>
  </si>
  <si>
    <t>Helen Stewart Mackenzie</t>
  </si>
  <si>
    <t>Stewart MacKenzie, H</t>
  </si>
  <si>
    <t>Hiria Tumoana</t>
  </si>
  <si>
    <t>Tumoana, H</t>
  </si>
  <si>
    <t>Howard Irving</t>
  </si>
  <si>
    <t>Irving, H</t>
  </si>
  <si>
    <t>Ian Allan</t>
  </si>
  <si>
    <t>Allan, I</t>
  </si>
  <si>
    <t>Ian Purdon</t>
  </si>
  <si>
    <t>Purdon, I</t>
  </si>
  <si>
    <t>Isaac Hughes</t>
  </si>
  <si>
    <t>Hughes, I</t>
  </si>
  <si>
    <t>Istvan Lengyel</t>
  </si>
  <si>
    <t>Lengyel, I</t>
  </si>
  <si>
    <t>J Nepe-Apatu</t>
  </si>
  <si>
    <t>Nepe-Apatu, J</t>
  </si>
  <si>
    <t>J Waller</t>
  </si>
  <si>
    <t>Waller, J</t>
  </si>
  <si>
    <t>Jack Pritchard</t>
  </si>
  <si>
    <t>Pritchard, J</t>
  </si>
  <si>
    <t>Jael Reiri</t>
  </si>
  <si>
    <t>Reiri, J</t>
  </si>
  <si>
    <t>Jaikaran Narula</t>
  </si>
  <si>
    <t>Narula, J</t>
  </si>
  <si>
    <t>James Smith</t>
  </si>
  <si>
    <t>Smith, J</t>
  </si>
  <si>
    <t>James Wylie</t>
  </si>
  <si>
    <t>Wylie, J</t>
  </si>
  <si>
    <t>Jamie Hanley</t>
  </si>
  <si>
    <t>Hanley, J</t>
  </si>
  <si>
    <t>Jan Lawrence</t>
  </si>
  <si>
    <t>Lawrence, J</t>
  </si>
  <si>
    <t>Jane Qin</t>
  </si>
  <si>
    <t>Qin, J</t>
  </si>
  <si>
    <t>Jane Soan</t>
  </si>
  <si>
    <t>Soan, J</t>
  </si>
  <si>
    <t>Janine Blamey</t>
  </si>
  <si>
    <t>Blamey, J</t>
  </si>
  <si>
    <t>Jay Hourani</t>
  </si>
  <si>
    <t>Hourani, J</t>
  </si>
  <si>
    <t>Jeff Reid</t>
  </si>
  <si>
    <t>Reid, Jeff</t>
  </si>
  <si>
    <t>Jeffery Adams</t>
  </si>
  <si>
    <t>Adams, J</t>
  </si>
  <si>
    <t>Jenny Satherley</t>
  </si>
  <si>
    <t>Satherley, J</t>
  </si>
  <si>
    <t>Jeremy Pruckmuller</t>
  </si>
  <si>
    <t>Pruckmuller, J</t>
  </si>
  <si>
    <t>Jerry Gull</t>
  </si>
  <si>
    <t>Gull, J</t>
  </si>
  <si>
    <t>Jidu Johny</t>
  </si>
  <si>
    <t>Johny, J</t>
  </si>
  <si>
    <t>Jill  Webster</t>
  </si>
  <si>
    <t>Webster, J</t>
  </si>
  <si>
    <t>Jill Dawson</t>
  </si>
  <si>
    <t>Dawson, J</t>
  </si>
  <si>
    <t>Jillian  Johnstone</t>
  </si>
  <si>
    <t>Johnstone, J</t>
  </si>
  <si>
    <t>Jo Duff</t>
  </si>
  <si>
    <t>Duff, J</t>
  </si>
  <si>
    <t>Joanna Frain</t>
  </si>
  <si>
    <t>Frain, J</t>
  </si>
  <si>
    <t>Joanne Rosandich</t>
  </si>
  <si>
    <t>Rosandich, J</t>
  </si>
  <si>
    <t>Jodee Reid</t>
  </si>
  <si>
    <t>Reid, J</t>
  </si>
  <si>
    <t>Jody Boston</t>
  </si>
  <si>
    <t>Boston, J</t>
  </si>
  <si>
    <t>Joe Pihema</t>
  </si>
  <si>
    <t>Pihema, J</t>
  </si>
  <si>
    <t>John Hill</t>
  </si>
  <si>
    <t>Hill, J</t>
  </si>
  <si>
    <t>John Jamieson</t>
  </si>
  <si>
    <t>Jamieson, J</t>
  </si>
  <si>
    <t>John Keech</t>
  </si>
  <si>
    <t>Keech, J</t>
  </si>
  <si>
    <t>John Thomas</t>
  </si>
  <si>
    <t>Thomas, J</t>
  </si>
  <si>
    <t>Jonathan Pickup</t>
  </si>
  <si>
    <t>Pickup, J</t>
  </si>
  <si>
    <t>Jonathan Sibley</t>
  </si>
  <si>
    <t>Sibley, J</t>
  </si>
  <si>
    <t>Jonelle Lister</t>
  </si>
  <si>
    <t>Lister, J</t>
  </si>
  <si>
    <t>Julie Whyte</t>
  </si>
  <si>
    <t>Whyte, J</t>
  </si>
  <si>
    <t>Justin Warena</t>
  </si>
  <si>
    <t>Warena, J</t>
  </si>
  <si>
    <t>K Khokra</t>
  </si>
  <si>
    <t>Khokra, K</t>
  </si>
  <si>
    <t>K Reedy</t>
  </si>
  <si>
    <t>Reedy, K</t>
  </si>
  <si>
    <t>Kaa Toataua</t>
  </si>
  <si>
    <t>Toataua, K</t>
  </si>
  <si>
    <t>Kaihoe Apiata</t>
  </si>
  <si>
    <t>Apiata, K</t>
  </si>
  <si>
    <t>Kare Tipa</t>
  </si>
  <si>
    <t>Tipa, K</t>
  </si>
  <si>
    <t>Karen Banks</t>
  </si>
  <si>
    <t>Banks, K</t>
  </si>
  <si>
    <t>Karen Fagan</t>
  </si>
  <si>
    <t>Fagan, k</t>
  </si>
  <si>
    <t>Karen Hegarty</t>
  </si>
  <si>
    <t>Hegarty, K</t>
  </si>
  <si>
    <t>Kate Murphy</t>
  </si>
  <si>
    <t>Murphy, K</t>
  </si>
  <si>
    <t>Katherine Harrison-Williams</t>
  </si>
  <si>
    <t>Williams, K</t>
  </si>
  <si>
    <t>Kathleen McCrory</t>
  </si>
  <si>
    <t>McCrory, K</t>
  </si>
  <si>
    <t>Kathy Monson</t>
  </si>
  <si>
    <t>Monson, K</t>
  </si>
  <si>
    <t>Katie Rongonui</t>
  </si>
  <si>
    <t>Rongonui, K</t>
  </si>
  <si>
    <t>Kaylee Whiteman</t>
  </si>
  <si>
    <t>Whiteman, K</t>
  </si>
  <si>
    <t>Kayleigh Oakham-Gui</t>
  </si>
  <si>
    <t>Oakham-Gui, K</t>
  </si>
  <si>
    <t>Keech, Anne</t>
  </si>
  <si>
    <t>Keech, A</t>
  </si>
  <si>
    <t>Keelan, D</t>
  </si>
  <si>
    <t>Kelly Durston</t>
  </si>
  <si>
    <t>Durston, K</t>
  </si>
  <si>
    <t>Ken Deihl</t>
  </si>
  <si>
    <t>Deihl, K</t>
  </si>
  <si>
    <t>Ken York</t>
  </si>
  <si>
    <t>York, K</t>
  </si>
  <si>
    <t>Kerry Corbett</t>
  </si>
  <si>
    <t>Corbett, K</t>
  </si>
  <si>
    <t>Kim Hagen-Hall</t>
  </si>
  <si>
    <t>Hagen-Hall, K</t>
  </si>
  <si>
    <t>Kirsten Westwood</t>
  </si>
  <si>
    <t>Westwood, K</t>
  </si>
  <si>
    <t>Kirsty Jones</t>
  </si>
  <si>
    <t>Jones, K</t>
  </si>
  <si>
    <t>Kitrina Kohleis</t>
  </si>
  <si>
    <t>Kohleis, K</t>
  </si>
  <si>
    <t>Korey Field</t>
  </si>
  <si>
    <t>Field, K</t>
  </si>
  <si>
    <t>Kris Harris</t>
  </si>
  <si>
    <t>Harris, K</t>
  </si>
  <si>
    <t>Kurawaka</t>
  </si>
  <si>
    <t>Laura Jeffares</t>
  </si>
  <si>
    <t>Jeffares, L</t>
  </si>
  <si>
    <t>Laura Parsons</t>
  </si>
  <si>
    <t>Parsons, L</t>
  </si>
  <si>
    <t>Lauren Hindmarsh</t>
  </si>
  <si>
    <t>Hindmarsh, L</t>
  </si>
  <si>
    <t>Lee Turner</t>
  </si>
  <si>
    <t>Turner, L</t>
  </si>
  <si>
    <t>Lee, M</t>
  </si>
  <si>
    <t>Leeanne Taylor</t>
  </si>
  <si>
    <t>Taylor, L</t>
  </si>
  <si>
    <t>Leigh Johnson</t>
  </si>
  <si>
    <t>Johnson, L</t>
  </si>
  <si>
    <t>Les Blair</t>
  </si>
  <si>
    <t>Blair, L</t>
  </si>
  <si>
    <t>Lewis-Te Houkamau, M</t>
  </si>
  <si>
    <t>Libby OBrien</t>
  </si>
  <si>
    <t>OBrien, L</t>
  </si>
  <si>
    <t>Linda Bruce</t>
  </si>
  <si>
    <t>Bruce, L</t>
  </si>
  <si>
    <t>Lindsay Hamilton</t>
  </si>
  <si>
    <t>Hamilton, L</t>
  </si>
  <si>
    <t>Lisa Farrand-Collins</t>
  </si>
  <si>
    <t>Farrand-Collins, L</t>
  </si>
  <si>
    <t>Lisa Turnbull</t>
  </si>
  <si>
    <t>Turnbull, L</t>
  </si>
  <si>
    <t>Lorenzo Pradel</t>
  </si>
  <si>
    <t>Pradel, L</t>
  </si>
  <si>
    <t>Louise MacKenzie</t>
  </si>
  <si>
    <t>MacKenzie, L</t>
  </si>
  <si>
    <t>Louise Pidd</t>
  </si>
  <si>
    <t>Pidd, L</t>
  </si>
  <si>
    <t>Luca Castaldo</t>
  </si>
  <si>
    <t>Castaldo, L</t>
  </si>
  <si>
    <t>Luke Batten</t>
  </si>
  <si>
    <t>Batten, L</t>
  </si>
  <si>
    <t>Lynette Fielding</t>
  </si>
  <si>
    <t>Fielding, L</t>
  </si>
  <si>
    <t>M Clark</t>
  </si>
  <si>
    <t>Clark, M</t>
  </si>
  <si>
    <t>M Karena</t>
  </si>
  <si>
    <t>Karena, M</t>
  </si>
  <si>
    <t>M Timu-Fusio</t>
  </si>
  <si>
    <t>Timu-Fosio, M</t>
  </si>
  <si>
    <t>M Wesche</t>
  </si>
  <si>
    <t>Wesche, M</t>
  </si>
  <si>
    <t>Maewa Para</t>
  </si>
  <si>
    <t>Para, M</t>
  </si>
  <si>
    <t>Mahsa Boroushaki</t>
  </si>
  <si>
    <t>Boroushaki, M</t>
  </si>
  <si>
    <t>Maiya Tsai</t>
  </si>
  <si>
    <t>Tsai, M</t>
  </si>
  <si>
    <t>Makarini Solomon</t>
  </si>
  <si>
    <t>Solomon, M</t>
  </si>
  <si>
    <t>Malot Sune</t>
  </si>
  <si>
    <t>Sune, M</t>
  </si>
  <si>
    <t>Manaia Warena</t>
  </si>
  <si>
    <t>Warena, M</t>
  </si>
  <si>
    <t>Mandy  Pentecost</t>
  </si>
  <si>
    <t>Pentecost, M</t>
  </si>
  <si>
    <t>Mandy Rudge</t>
  </si>
  <si>
    <t>Rudge, M</t>
  </si>
  <si>
    <t>Marcus Allen</t>
  </si>
  <si>
    <t>Allen, M</t>
  </si>
  <si>
    <t>Marei Norris</t>
  </si>
  <si>
    <t>Norris, M</t>
  </si>
  <si>
    <t>Margaret Smith</t>
  </si>
  <si>
    <t>Smith, M</t>
  </si>
  <si>
    <t>Margaret Young</t>
  </si>
  <si>
    <t>Young, Marg</t>
  </si>
  <si>
    <t>Maria Wynyard</t>
  </si>
  <si>
    <t>Wynyard, M</t>
  </si>
  <si>
    <t>Mark Caves</t>
  </si>
  <si>
    <t>Caves, M</t>
  </si>
  <si>
    <t>Mark Gooding</t>
  </si>
  <si>
    <t>Gooding, M</t>
  </si>
  <si>
    <t>Mark Morrell</t>
  </si>
  <si>
    <t>Morrell, M</t>
  </si>
  <si>
    <t>Mark Scott</t>
  </si>
  <si>
    <t>Scott, M</t>
  </si>
  <si>
    <t>Mark Vidulich</t>
  </si>
  <si>
    <t>Vidulich, M</t>
  </si>
  <si>
    <t>Marshall, J</t>
  </si>
  <si>
    <t>Maru, G</t>
  </si>
  <si>
    <t>Matewai Timu</t>
  </si>
  <si>
    <t>Timu, M</t>
  </si>
  <si>
    <t>Max Christie</t>
  </si>
  <si>
    <t>Christie, M</t>
  </si>
  <si>
    <t>Mazin  Bahho</t>
  </si>
  <si>
    <t>Bahho, M</t>
  </si>
  <si>
    <t>Megan Kanz</t>
  </si>
  <si>
    <t>Kanz, M</t>
  </si>
  <si>
    <t>Megan Woollard</t>
  </si>
  <si>
    <t>Woollard, M</t>
  </si>
  <si>
    <t>Megan Young</t>
  </si>
  <si>
    <t>Young, M</t>
  </si>
  <si>
    <t>Melissa Goodwin</t>
  </si>
  <si>
    <t>Goodwin, M</t>
  </si>
  <si>
    <t>Melissa Marfell</t>
  </si>
  <si>
    <t>Marfell, M</t>
  </si>
  <si>
    <t>Mere Waihi</t>
  </si>
  <si>
    <t>Waihi, M</t>
  </si>
  <si>
    <t>Michael Hawksworth</t>
  </si>
  <si>
    <t>Hawksworth, M</t>
  </si>
  <si>
    <t>Michael Roberts</t>
  </si>
  <si>
    <t>Roberts, M</t>
  </si>
  <si>
    <t>Michael Schofield</t>
  </si>
  <si>
    <t>Schofield, M</t>
  </si>
  <si>
    <t>Michelle Horwood</t>
  </si>
  <si>
    <t>Horwood, M</t>
  </si>
  <si>
    <t>Michelle Richardson</t>
  </si>
  <si>
    <t>Richardson, M</t>
  </si>
  <si>
    <t>Michelle Simbulan</t>
  </si>
  <si>
    <t>Simbulan, M</t>
  </si>
  <si>
    <t>Middlebank</t>
  </si>
  <si>
    <t>Mihi Aston</t>
  </si>
  <si>
    <t>Aston, M</t>
  </si>
  <si>
    <t>Mike Beedie</t>
  </si>
  <si>
    <t>Beedie, M</t>
  </si>
  <si>
    <t>Mike Chapman</t>
  </si>
  <si>
    <t>Chapman, M</t>
  </si>
  <si>
    <t>Mike Tapp</t>
  </si>
  <si>
    <t>Tapp, M</t>
  </si>
  <si>
    <t>Mike Williams</t>
  </si>
  <si>
    <t>Williams, M</t>
  </si>
  <si>
    <t>Miles Gregory</t>
  </si>
  <si>
    <t>Gregory, M</t>
  </si>
  <si>
    <t>Misty Ratima</t>
  </si>
  <si>
    <t>Ratima, M</t>
  </si>
  <si>
    <t>Munro, M</t>
  </si>
  <si>
    <t>N Tuhua</t>
  </si>
  <si>
    <t>Tuhua, N</t>
  </si>
  <si>
    <t>Nadine McKinnon</t>
  </si>
  <si>
    <t>McKinnon, N</t>
  </si>
  <si>
    <t>Nat Warren</t>
  </si>
  <si>
    <t>Warren, N</t>
  </si>
  <si>
    <t>Natalie Torrance</t>
  </si>
  <si>
    <t>Torrance, N</t>
  </si>
  <si>
    <t>Ngahuia Harris</t>
  </si>
  <si>
    <t>Harris, N</t>
  </si>
  <si>
    <t>Nick Blow</t>
  </si>
  <si>
    <t>Blow, N</t>
  </si>
  <si>
    <t>Nick Boeyen</t>
  </si>
  <si>
    <t>Boeyen, N</t>
  </si>
  <si>
    <t>Nick Cordery</t>
  </si>
  <si>
    <t>Cordery, N</t>
  </si>
  <si>
    <t>Nicole Sattler</t>
  </si>
  <si>
    <t>Sattler, N</t>
  </si>
  <si>
    <t>Nigel  Roberts</t>
  </si>
  <si>
    <t>Roberts, N</t>
  </si>
  <si>
    <t>Nigel Udy</t>
  </si>
  <si>
    <t>Udy, N</t>
  </si>
  <si>
    <t>Nikki Lloyd</t>
  </si>
  <si>
    <t>Lloyd, N</t>
  </si>
  <si>
    <t>Nikki OConnor</t>
  </si>
  <si>
    <t>O'Connor, N</t>
  </si>
  <si>
    <t>Nirupika Liyanapathirana</t>
  </si>
  <si>
    <t>Liyanapathirana, N</t>
  </si>
  <si>
    <t>Nisansala Wijekoon</t>
  </si>
  <si>
    <t>Wijekoon, N</t>
  </si>
  <si>
    <t>Nitin Seth</t>
  </si>
  <si>
    <t>Seth, N</t>
  </si>
  <si>
    <t>Nohokau, J</t>
  </si>
  <si>
    <t>Noor Alani</t>
  </si>
  <si>
    <t>Alani, N</t>
  </si>
  <si>
    <t>Norris, J</t>
  </si>
  <si>
    <t>Noushad Forez</t>
  </si>
  <si>
    <t>Forez, N</t>
  </si>
  <si>
    <t>Nuku,</t>
  </si>
  <si>
    <t>Nuku, M</t>
  </si>
  <si>
    <t>Nuku, R</t>
  </si>
  <si>
    <t>Nursing placeholder</t>
  </si>
  <si>
    <t>Nursing placeholder 1</t>
  </si>
  <si>
    <t>Nplaceholder 1</t>
  </si>
  <si>
    <t>Oliver Huang</t>
  </si>
  <si>
    <t>Huang, O</t>
  </si>
  <si>
    <t>Olivia Maclaren</t>
  </si>
  <si>
    <t>Maclaren, O</t>
  </si>
  <si>
    <t>Ormond Heather</t>
  </si>
  <si>
    <t>Heather, O</t>
  </si>
  <si>
    <t>Owen McCaffrey</t>
  </si>
  <si>
    <t>McCaffrey, O</t>
  </si>
  <si>
    <t>Pairama Wright</t>
  </si>
  <si>
    <t>Wright, P</t>
  </si>
  <si>
    <t>Pamela Albert</t>
  </si>
  <si>
    <t>Albert, P</t>
  </si>
  <si>
    <t>Pamela Minor</t>
  </si>
  <si>
    <t>Minor, P</t>
  </si>
  <si>
    <t>Pamela Wood</t>
  </si>
  <si>
    <t>Wood, P</t>
  </si>
  <si>
    <t>Panapa Ehau</t>
  </si>
  <si>
    <t>Ehau, P</t>
  </si>
  <si>
    <t>Parekura Rohe</t>
  </si>
  <si>
    <t>Rohe, P</t>
  </si>
  <si>
    <t>Patrick Dewes</t>
  </si>
  <si>
    <t>Dewes, P</t>
  </si>
  <si>
    <t>Patrick Doohan</t>
  </si>
  <si>
    <t>Doohan, P</t>
  </si>
  <si>
    <t>Patrick Lander</t>
  </si>
  <si>
    <t>Lander, P</t>
  </si>
  <si>
    <t>PAUL  HURSTHOUSE</t>
  </si>
  <si>
    <t>HURSTHOUSE, P</t>
  </si>
  <si>
    <t>Paul Lishman</t>
  </si>
  <si>
    <t>Lishman, P</t>
  </si>
  <si>
    <t>Paul Walker</t>
  </si>
  <si>
    <t>Walker, P</t>
  </si>
  <si>
    <t>Paula Morris</t>
  </si>
  <si>
    <t>Morris, P</t>
  </si>
  <si>
    <t>Paula Taaffe</t>
  </si>
  <si>
    <t>Taaffe, P</t>
  </si>
  <si>
    <t>Pauline Gooding</t>
  </si>
  <si>
    <t>Gooding, P</t>
  </si>
  <si>
    <t>Pauly Lowe</t>
  </si>
  <si>
    <t>Lowe, P</t>
  </si>
  <si>
    <t>Payne, Sh</t>
  </si>
  <si>
    <t>Peter  Baker</t>
  </si>
  <si>
    <t>Baker, P</t>
  </si>
  <si>
    <t>Peter Alexander</t>
  </si>
  <si>
    <t>Alexander, P</t>
  </si>
  <si>
    <t>Petera Hakiwai</t>
  </si>
  <si>
    <t>Hakiwai, P</t>
  </si>
  <si>
    <t>Petra Croswell</t>
  </si>
  <si>
    <t>Croswell, P</t>
  </si>
  <si>
    <t>Pettitt, D</t>
  </si>
  <si>
    <t>Phil Belcher</t>
  </si>
  <si>
    <t>Belcher, P</t>
  </si>
  <si>
    <t>Phil Maule</t>
  </si>
  <si>
    <t>Maule, P</t>
  </si>
  <si>
    <t>Pii-Tuulia Nikula</t>
  </si>
  <si>
    <t>Nikula, P</t>
  </si>
  <si>
    <t>Pineaha-Burns, E</t>
  </si>
  <si>
    <t>Pippa McKelvie-Sebilieau</t>
  </si>
  <si>
    <t>McKelvie-Sebileau, P</t>
  </si>
  <si>
    <t>Placeholder Design</t>
  </si>
  <si>
    <t>Placeholder SES</t>
  </si>
  <si>
    <t>Placeholder SES2</t>
  </si>
  <si>
    <t>Placeholder SES3</t>
  </si>
  <si>
    <t>Placeholder sport</t>
  </si>
  <si>
    <t>Placeholder, art</t>
  </si>
  <si>
    <t>Placeholder, C</t>
  </si>
  <si>
    <t>Placeholder, Maori</t>
  </si>
  <si>
    <t>Placeholder, SCPL3</t>
  </si>
  <si>
    <t>Placeholder, TC SPL3</t>
  </si>
  <si>
    <t>placeholder,screen</t>
  </si>
  <si>
    <t>PlaceholderECE</t>
  </si>
  <si>
    <t>Puti Nuku</t>
  </si>
  <si>
    <t>Nuku, P</t>
  </si>
  <si>
    <t>Putiputi Te Wake-Munro</t>
  </si>
  <si>
    <t>Te Wake-Munro, P</t>
  </si>
  <si>
    <t>R Quin</t>
  </si>
  <si>
    <t>Quin, R</t>
  </si>
  <si>
    <t>R Stainton</t>
  </si>
  <si>
    <t>Stainton, R</t>
  </si>
  <si>
    <t>R Woods</t>
  </si>
  <si>
    <t>Woods, R</t>
  </si>
  <si>
    <t>RACHAEL REHU</t>
  </si>
  <si>
    <t>REHU, R</t>
  </si>
  <si>
    <t>Rachel Croft</t>
  </si>
  <si>
    <t>Croft, R</t>
  </si>
  <si>
    <t>Rachel Forrest</t>
  </si>
  <si>
    <t>Forrest, R</t>
  </si>
  <si>
    <t>Rachel Garnham</t>
  </si>
  <si>
    <t>Garnham, R</t>
  </si>
  <si>
    <t>Rachel Hayward</t>
  </si>
  <si>
    <t>Hayward, R</t>
  </si>
  <si>
    <t>Rachel Walker</t>
  </si>
  <si>
    <t>Walker, R</t>
  </si>
  <si>
    <t>Rae Wynfoot</t>
  </si>
  <si>
    <t>Wynfoot, R</t>
  </si>
  <si>
    <t>Raema Merchant</t>
  </si>
  <si>
    <t>Merchant, R</t>
  </si>
  <si>
    <t>Raewyn Paterson</t>
  </si>
  <si>
    <t>Paterson, R</t>
  </si>
  <si>
    <t>Raina Ferris</t>
  </si>
  <si>
    <t>Ferris, R</t>
  </si>
  <si>
    <t>Ram Roy</t>
  </si>
  <si>
    <t>Roy, R</t>
  </si>
  <si>
    <t>Rangatira Fox</t>
  </si>
  <si>
    <t>Fox, R</t>
  </si>
  <si>
    <t>Rawiri Andrews</t>
  </si>
  <si>
    <t>Andrews, R</t>
  </si>
  <si>
    <t>Rawiri Broughton</t>
  </si>
  <si>
    <t>Broughton, R</t>
  </si>
  <si>
    <t>Ray Anderson</t>
  </si>
  <si>
    <t>Anderson, R</t>
  </si>
  <si>
    <t>Ray Lawrence</t>
  </si>
  <si>
    <t>Lawrence, R</t>
  </si>
  <si>
    <t>Raymond Pereira</t>
  </si>
  <si>
    <t>Pereira, R</t>
  </si>
  <si>
    <t>Rei Meha</t>
  </si>
  <si>
    <t>Meha, R</t>
  </si>
  <si>
    <t>Renee Moffitt</t>
  </si>
  <si>
    <t>Moffitt, R</t>
  </si>
  <si>
    <t>Research Librarian, Jadwga Kozyniak</t>
  </si>
  <si>
    <t>Kozyniak, J</t>
  </si>
  <si>
    <t>Rhonda Tibble</t>
  </si>
  <si>
    <t>Tibble, R</t>
  </si>
  <si>
    <t>Richard Edwards</t>
  </si>
  <si>
    <t>Edwards, R</t>
  </si>
  <si>
    <t>Richard Keesom</t>
  </si>
  <si>
    <t>Keesom, R</t>
  </si>
  <si>
    <t>Rob Hay</t>
  </si>
  <si>
    <t>Hay, R</t>
  </si>
  <si>
    <t>Robbie Field</t>
  </si>
  <si>
    <t>Field, R</t>
  </si>
  <si>
    <t>Robert Davis</t>
  </si>
  <si>
    <t>Davis, R</t>
  </si>
  <si>
    <t>ROBYN PASCOE</t>
  </si>
  <si>
    <t>PASCOE, R</t>
  </si>
  <si>
    <t>Roger Kelly</t>
  </si>
  <si>
    <t>Kelly, R</t>
  </si>
  <si>
    <t>Ropiha, R</t>
  </si>
  <si>
    <t>Ropitini, S</t>
  </si>
  <si>
    <t>Rosemary Reeve</t>
  </si>
  <si>
    <t>Reeve, R</t>
  </si>
  <si>
    <t>Russell Booth</t>
  </si>
  <si>
    <t>Booth, R</t>
  </si>
  <si>
    <t>Ruth Smith</t>
  </si>
  <si>
    <t>Smith, R</t>
  </si>
  <si>
    <t>S Kellerman</t>
  </si>
  <si>
    <t>Kellerman, S</t>
  </si>
  <si>
    <t>S Kurei</t>
  </si>
  <si>
    <t>Kurei, S</t>
  </si>
  <si>
    <t>S Taylor</t>
  </si>
  <si>
    <t>Taylor, S</t>
  </si>
  <si>
    <t>S Wharehinga-Clark</t>
  </si>
  <si>
    <t>Wharehinga-Clark, S</t>
  </si>
  <si>
    <t>Salman, S</t>
  </si>
  <si>
    <t>Sam Ekundayo</t>
  </si>
  <si>
    <t>Ekundayo, S</t>
  </si>
  <si>
    <t>Sam Prescott</t>
  </si>
  <si>
    <t>Prescott, S</t>
  </si>
  <si>
    <t>Sam Sidney</t>
  </si>
  <si>
    <t>Sidney, S</t>
  </si>
  <si>
    <t>Sandra McLay</t>
  </si>
  <si>
    <t>McLay, S</t>
  </si>
  <si>
    <t>Sarah Elliott</t>
  </si>
  <si>
    <t>Elliott, S</t>
  </si>
  <si>
    <t>Sarah Hutana-Te Aho</t>
  </si>
  <si>
    <t>Hutana-Te Aho, S</t>
  </si>
  <si>
    <t>Sarah Massingham</t>
  </si>
  <si>
    <t>Massingham, S</t>
  </si>
  <si>
    <t>Sarah Subritzky</t>
  </si>
  <si>
    <t>Subritzky, S</t>
  </si>
  <si>
    <t>Savanna Wharehinga</t>
  </si>
  <si>
    <t>Wharehinga, S</t>
  </si>
  <si>
    <t>Scott Casley</t>
  </si>
  <si>
    <t>Casley, S</t>
  </si>
  <si>
    <t>Scott Cunningham</t>
  </si>
  <si>
    <t>Cunningham, S</t>
  </si>
  <si>
    <t>Sean Murphy</t>
  </si>
  <si>
    <t>Murphy, S</t>
  </si>
  <si>
    <t>Shane Cameron</t>
  </si>
  <si>
    <t>Cameron, S</t>
  </si>
  <si>
    <t>Shane Peri</t>
  </si>
  <si>
    <t>Peri, S</t>
  </si>
  <si>
    <t>Shane Sigglekow</t>
  </si>
  <si>
    <t>Sigglekow, S</t>
  </si>
  <si>
    <t>Sharon Stuart</t>
  </si>
  <si>
    <t>Stuart, S</t>
  </si>
  <si>
    <t>Sharon Ward</t>
  </si>
  <si>
    <t>Ward, S</t>
  </si>
  <si>
    <t>Shepherd, W</t>
  </si>
  <si>
    <t>Sheryl-Lee Judd</t>
  </si>
  <si>
    <t>Judd, S</t>
  </si>
  <si>
    <t>Shivnan, S</t>
  </si>
  <si>
    <t>Shuting Yu</t>
  </si>
  <si>
    <t>Yu, S</t>
  </si>
  <si>
    <t>Sian Forlong-Ford</t>
  </si>
  <si>
    <t>Forlong-Ford, S</t>
  </si>
  <si>
    <t>SLS Placeholder</t>
  </si>
  <si>
    <t>Placeholder, SLS</t>
  </si>
  <si>
    <t>SoC 1</t>
  </si>
  <si>
    <t>SoC 2</t>
  </si>
  <si>
    <t>SoC 3</t>
  </si>
  <si>
    <t>Sonya Payne</t>
  </si>
  <si>
    <t>Payne, S</t>
  </si>
  <si>
    <t>Sophie Simpson</t>
  </si>
  <si>
    <t>Simpson, So</t>
  </si>
  <si>
    <t>Stefan Schmith</t>
  </si>
  <si>
    <t>Schmith, S</t>
  </si>
  <si>
    <t>Steph Barnett</t>
  </si>
  <si>
    <t>Barnett, S</t>
  </si>
  <si>
    <t>Steph McLeay</t>
  </si>
  <si>
    <t>McLeay, S</t>
  </si>
  <si>
    <t>Stephanie Day</t>
  </si>
  <si>
    <t>Day, S</t>
  </si>
  <si>
    <t>Stephen Emmett</t>
  </si>
  <si>
    <t>Emmett, S</t>
  </si>
  <si>
    <t>Steve Gibbs</t>
  </si>
  <si>
    <t>Gibbs, S</t>
  </si>
  <si>
    <t>Steve Hinge</t>
  </si>
  <si>
    <t>Hinge, S</t>
  </si>
  <si>
    <t>Steve Houliston</t>
  </si>
  <si>
    <t>Houliston, S</t>
  </si>
  <si>
    <t>Steve Simpson</t>
  </si>
  <si>
    <t>Simpson, S</t>
  </si>
  <si>
    <t>Steve Spooner</t>
  </si>
  <si>
    <t>Spooner, S</t>
  </si>
  <si>
    <t>Steven Hartley</t>
  </si>
  <si>
    <t>Hartley, S</t>
  </si>
  <si>
    <t>Storm Dunn</t>
  </si>
  <si>
    <t>Dunn, S</t>
  </si>
  <si>
    <t>Stuart Hannam</t>
  </si>
  <si>
    <t>Hannam, S</t>
  </si>
  <si>
    <t>Stuart McAdam</t>
  </si>
  <si>
    <t>McAdam, S</t>
  </si>
  <si>
    <t>Sue Floyd</t>
  </si>
  <si>
    <t>Floyd, S</t>
  </si>
  <si>
    <t>Sue Pulman</t>
  </si>
  <si>
    <t>Pulman, S</t>
  </si>
  <si>
    <t>Sue Scott-Chapman</t>
  </si>
  <si>
    <t>Scott-Chapman, S</t>
  </si>
  <si>
    <t>Suellen Robertson</t>
  </si>
  <si>
    <t>Robertson, S</t>
  </si>
  <si>
    <t>Surej P John</t>
  </si>
  <si>
    <t>John, S</t>
  </si>
  <si>
    <t>Surindar Sran</t>
  </si>
  <si>
    <t>Sran, S</t>
  </si>
  <si>
    <t>Svetlana Eliason</t>
  </si>
  <si>
    <t>Eliason, S</t>
  </si>
  <si>
    <t>Syed Shahid</t>
  </si>
  <si>
    <t>Shahid, S</t>
  </si>
  <si>
    <t>T Tohiariki</t>
  </si>
  <si>
    <t>Tohiariki, T</t>
  </si>
  <si>
    <t>Taiapa, R</t>
  </si>
  <si>
    <t>Talya Christy</t>
  </si>
  <si>
    <t>Christy, T</t>
  </si>
  <si>
    <t>Talya Raukawa</t>
  </si>
  <si>
    <t>Raukawa, T</t>
  </si>
  <si>
    <t>Tane Cruikshank</t>
  </si>
  <si>
    <t>Cruikshank, T</t>
  </si>
  <si>
    <t>Tania Basher</t>
  </si>
  <si>
    <t>Basher, T</t>
  </si>
  <si>
    <t>Tania Du Plessis</t>
  </si>
  <si>
    <t>DuPlessis, T</t>
  </si>
  <si>
    <t>Tania Hagen</t>
  </si>
  <si>
    <t>Hagen, T</t>
  </si>
  <si>
    <t>Tania Webster</t>
  </si>
  <si>
    <t>Webster, T</t>
  </si>
  <si>
    <t>Te Amo, G</t>
  </si>
  <si>
    <t>Te Kani, W</t>
  </si>
  <si>
    <t>Te Rangi Saunders</t>
  </si>
  <si>
    <t>Saunders, T</t>
  </si>
  <si>
    <t>Te Whatukura, P</t>
  </si>
  <si>
    <t>Te Whitu, M</t>
  </si>
  <si>
    <t>Ted Walters</t>
  </si>
  <si>
    <t>Walters, T</t>
  </si>
  <si>
    <t>Teresa Doran</t>
  </si>
  <si>
    <t>Doran, T</t>
  </si>
  <si>
    <t>Terry, S</t>
  </si>
  <si>
    <t>Tessa Beaver</t>
  </si>
  <si>
    <t>Beaver, T</t>
  </si>
  <si>
    <t>Tessa Tylee</t>
  </si>
  <si>
    <t>Tylee, T</t>
  </si>
  <si>
    <t>Thomas Karaka</t>
  </si>
  <si>
    <t>Karaka, T</t>
  </si>
  <si>
    <t>Tim Creagh</t>
  </si>
  <si>
    <t>Creagh, T</t>
  </si>
  <si>
    <t>Tim Jagusch</t>
  </si>
  <si>
    <t>Jagusch, T</t>
  </si>
  <si>
    <t>Tina  Rhodes</t>
  </si>
  <si>
    <t>Rhodes, C</t>
  </si>
  <si>
    <t>Tina Blumenthal</t>
  </si>
  <si>
    <t>Blumenthal, T</t>
  </si>
  <si>
    <t>Tipene Rangihuna</t>
  </si>
  <si>
    <t>Rangihuna, T</t>
  </si>
  <si>
    <t>Tipene-Leach, D</t>
  </si>
  <si>
    <t>Tom Hay</t>
  </si>
  <si>
    <t>Hay, T</t>
  </si>
  <si>
    <t>Tom Pierard</t>
  </si>
  <si>
    <t>Pierard, T</t>
  </si>
  <si>
    <t>Tony Davis</t>
  </si>
  <si>
    <t>Davis, T</t>
  </si>
  <si>
    <t>Tony Te Nahu</t>
  </si>
  <si>
    <t>Te Nahu, T</t>
  </si>
  <si>
    <t>Toy, M</t>
  </si>
  <si>
    <t>Tracey Konig</t>
  </si>
  <si>
    <t>Konig, T</t>
  </si>
  <si>
    <t>Tracey MacGregor</t>
  </si>
  <si>
    <t>MacGregor, T</t>
  </si>
  <si>
    <t>Tracy Adams</t>
  </si>
  <si>
    <t>Adams, T</t>
  </si>
  <si>
    <t>Troy Para</t>
  </si>
  <si>
    <t>Para, T</t>
  </si>
  <si>
    <t>Tu Haggerty</t>
  </si>
  <si>
    <t>Haggerty, T</t>
  </si>
  <si>
    <t>TUW Placeholder</t>
  </si>
  <si>
    <t>Verena Lyons</t>
  </si>
  <si>
    <t>Lyons, V</t>
  </si>
  <si>
    <t>Vicki Mackie</t>
  </si>
  <si>
    <t>Mackie, V</t>
  </si>
  <si>
    <t>Victor Ye</t>
  </si>
  <si>
    <t>Ye, V</t>
  </si>
  <si>
    <t>Virgil Troy</t>
  </si>
  <si>
    <t>Troy, V</t>
  </si>
  <si>
    <t>Vivienne Pinkham</t>
  </si>
  <si>
    <t>Pinkham, V</t>
  </si>
  <si>
    <t>Walford, Richard</t>
  </si>
  <si>
    <t>Walford, R</t>
  </si>
  <si>
    <t>Warren Hales</t>
  </si>
  <si>
    <t>Hales, W</t>
  </si>
  <si>
    <t>Warren Payne</t>
  </si>
  <si>
    <t>Payne, W</t>
  </si>
  <si>
    <t>Wawatai-Aldrich, Nikki</t>
  </si>
  <si>
    <t>Wawatai-Aldrich, N</t>
  </si>
  <si>
    <t>Wayne  Dobson</t>
  </si>
  <si>
    <t>Dobson, W</t>
  </si>
  <si>
    <t>Wayne Chaffey</t>
  </si>
  <si>
    <t>Chaffey, W</t>
  </si>
  <si>
    <t>Wellesley  Binding</t>
  </si>
  <si>
    <t>Binding, W</t>
  </si>
  <si>
    <t>Whaanga, L</t>
  </si>
  <si>
    <t>Whaanga, Rehia</t>
  </si>
  <si>
    <t>Whaanga, R</t>
  </si>
  <si>
    <t>Whatarau, J</t>
  </si>
  <si>
    <t>Wheeler, B</t>
  </si>
  <si>
    <t>Whiting, G</t>
  </si>
  <si>
    <t>Whiunui, S</t>
  </si>
  <si>
    <t>Williams, A</t>
  </si>
  <si>
    <t>Winston Pitt</t>
  </si>
  <si>
    <t>Pitt,W</t>
  </si>
  <si>
    <t>Wright, J</t>
  </si>
  <si>
    <t>Yogeshwar Shastri</t>
  </si>
  <si>
    <t>Shastri, Y</t>
  </si>
  <si>
    <t>Yshma Kavanagh</t>
  </si>
  <si>
    <t>Kavanagh, Y</t>
  </si>
  <si>
    <t>Yvette MacDonald</t>
  </si>
  <si>
    <t>MacDonald, Y</t>
  </si>
  <si>
    <t>Zac Te Maro</t>
  </si>
  <si>
    <t>Te Maro, Z</t>
  </si>
  <si>
    <t>Zana Price</t>
  </si>
  <si>
    <t>Price, Z</t>
  </si>
  <si>
    <t>Type</t>
  </si>
  <si>
    <t>Code</t>
  </si>
  <si>
    <t>CampusName</t>
  </si>
  <si>
    <t>CampusCode</t>
  </si>
  <si>
    <t>HolidayID</t>
  </si>
  <si>
    <t>Action</t>
  </si>
  <si>
    <t>RoomType</t>
  </si>
  <si>
    <t>RoomLabel</t>
  </si>
  <si>
    <t>SectionCode</t>
  </si>
  <si>
    <t>Section</t>
  </si>
  <si>
    <t>Time</t>
  </si>
  <si>
    <t>SPlusTime</t>
  </si>
  <si>
    <t>Status</t>
  </si>
  <si>
    <t>Duration</t>
  </si>
  <si>
    <t>Periods</t>
  </si>
  <si>
    <t>Same Time</t>
  </si>
  <si>
    <t>RoomTypeInfo</t>
  </si>
  <si>
    <t>Lecture</t>
  </si>
  <si>
    <t>Lec</t>
  </si>
  <si>
    <t>-</t>
  </si>
  <si>
    <t>Cancel the activity</t>
  </si>
  <si>
    <t>Computer</t>
  </si>
  <si>
    <t>- Computer</t>
  </si>
  <si>
    <t>Business Relationship Unit</t>
  </si>
  <si>
    <t>None</t>
  </si>
  <si>
    <t xml:space="preserve">Make this the same time </t>
  </si>
  <si>
    <t>Computer rooms generally have the same software so do not require attributes to be selected.  Any non-standard software can be listed in Other Details.</t>
  </si>
  <si>
    <t>Tutorial</t>
  </si>
  <si>
    <t>Tut</t>
  </si>
  <si>
    <t>Ignore the holiday</t>
  </si>
  <si>
    <t>- Lecture</t>
  </si>
  <si>
    <t>2</t>
  </si>
  <si>
    <t>School of Business</t>
  </si>
  <si>
    <t>07:00</t>
  </si>
  <si>
    <t xml:space="preserve">Same time not needed </t>
  </si>
  <si>
    <t>This Activity needs the following lab type.</t>
  </si>
  <si>
    <t>Lab</t>
  </si>
  <si>
    <t>Hastings</t>
  </si>
  <si>
    <t>H</t>
  </si>
  <si>
    <t>Reschedule to another day/week</t>
  </si>
  <si>
    <t>Workshop</t>
  </si>
  <si>
    <t>-Workshop</t>
  </si>
  <si>
    <t>3</t>
  </si>
  <si>
    <t>School of Computing</t>
  </si>
  <si>
    <t>07:30</t>
  </si>
  <si>
    <t>This Activity needs the following Workshop.</t>
  </si>
  <si>
    <t>Wkshp</t>
  </si>
  <si>
    <t>CHB</t>
  </si>
  <si>
    <t>Offsite</t>
  </si>
  <si>
    <t>-Offsite</t>
  </si>
  <si>
    <t>4</t>
  </si>
  <si>
    <t>Education &amp; Social Services</t>
  </si>
  <si>
    <t>08:00</t>
  </si>
  <si>
    <t>This Activity needs the following type of Specialist space.</t>
  </si>
  <si>
    <t>Off</t>
  </si>
  <si>
    <t>W</t>
  </si>
  <si>
    <t>Specialist</t>
  </si>
  <si>
    <t>-Specialist</t>
  </si>
  <si>
    <t>5</t>
  </si>
  <si>
    <t>English Language Centre</t>
  </si>
  <si>
    <t>08:30</t>
  </si>
  <si>
    <t>Lecture spaces are all tiered and have the same equipment so do not require attributes to be selected.</t>
  </si>
  <si>
    <t>Other</t>
  </si>
  <si>
    <t>O</t>
  </si>
  <si>
    <t>Classroom</t>
  </si>
  <si>
    <t>- Classroom</t>
  </si>
  <si>
    <t>6</t>
  </si>
  <si>
    <t>FCT</t>
  </si>
  <si>
    <t>Faculty of Commerce &amp; Technology</t>
  </si>
  <si>
    <t>09:00</t>
  </si>
  <si>
    <t>Select from here if this activity needs more than the standard Whiteboard, Data Projector or TV.</t>
  </si>
  <si>
    <t>Exam</t>
  </si>
  <si>
    <t>SS</t>
  </si>
  <si>
    <t>No Room Required</t>
  </si>
  <si>
    <t>- No Room Required</t>
  </si>
  <si>
    <t>7</t>
  </si>
  <si>
    <t>FEHH</t>
  </si>
  <si>
    <t>Faculty of Education, Humanities and Health</t>
  </si>
  <si>
    <t>09:30</t>
  </si>
  <si>
    <t>Assessment</t>
  </si>
  <si>
    <t>Assess</t>
  </si>
  <si>
    <t>R</t>
  </si>
  <si>
    <t>Laboratory</t>
  </si>
  <si>
    <t>-Laboratory</t>
  </si>
  <si>
    <t>HlthSportSci</t>
  </si>
  <si>
    <t>School of Health &amp; Sport Sciences</t>
  </si>
  <si>
    <t>10:00</t>
  </si>
  <si>
    <t>Practical</t>
  </si>
  <si>
    <t>Prac</t>
  </si>
  <si>
    <t>Online</t>
  </si>
  <si>
    <t>OL</t>
  </si>
  <si>
    <t>Type of Room</t>
  </si>
  <si>
    <t>IS</t>
  </si>
  <si>
    <t>IdeaSchool</t>
  </si>
  <si>
    <t>10:30</t>
  </si>
  <si>
    <t>Self Directed Session</t>
  </si>
  <si>
    <t>SD</t>
  </si>
  <si>
    <t>Auckland</t>
  </si>
  <si>
    <t>AK</t>
  </si>
  <si>
    <t>Mar</t>
  </si>
  <si>
    <t>School of Nursing</t>
  </si>
  <si>
    <t>11:00</t>
  </si>
  <si>
    <t>Clinic</t>
  </si>
  <si>
    <t>ISH</t>
  </si>
  <si>
    <t>SPI</t>
  </si>
  <si>
    <t>School of Primary Industries</t>
  </si>
  <si>
    <t>11:30</t>
  </si>
  <si>
    <t>Maraenui</t>
  </si>
  <si>
    <t>M</t>
  </si>
  <si>
    <t>May</t>
  </si>
  <si>
    <t>Tairawhiti</t>
  </si>
  <si>
    <t>12:00</t>
  </si>
  <si>
    <t>Noho</t>
  </si>
  <si>
    <t>Tokomaru</t>
  </si>
  <si>
    <t>Tk</t>
  </si>
  <si>
    <t>Jun</t>
  </si>
  <si>
    <t>Toiho</t>
  </si>
  <si>
    <t>Toihoukura</t>
  </si>
  <si>
    <t>12:30</t>
  </si>
  <si>
    <t>NA</t>
  </si>
  <si>
    <t>TourHosp</t>
  </si>
  <si>
    <t>School of Tourism and Hospitality</t>
  </si>
  <si>
    <t>13:00</t>
  </si>
  <si>
    <t>Alternate Sites HB</t>
  </si>
  <si>
    <t>AS</t>
  </si>
  <si>
    <t>Aug</t>
  </si>
  <si>
    <t>TradeTech</t>
  </si>
  <si>
    <t>School of Trades &amp; Technology</t>
  </si>
  <si>
    <t>13:30</t>
  </si>
  <si>
    <t>Sept</t>
  </si>
  <si>
    <t>TUW</t>
  </si>
  <si>
    <t>School of Te Uranga Waka</t>
  </si>
  <si>
    <t>14:00</t>
  </si>
  <si>
    <t>VET</t>
  </si>
  <si>
    <t>Centre for Veterinary Nursing</t>
  </si>
  <si>
    <t>14:30</t>
  </si>
  <si>
    <t>Nov</t>
  </si>
  <si>
    <t>Vit &amp; Wine</t>
  </si>
  <si>
    <t>School of Vit &amp; Wine</t>
  </si>
  <si>
    <t>15:00</t>
  </si>
  <si>
    <t>Dec</t>
  </si>
  <si>
    <t>School of Test</t>
  </si>
  <si>
    <t>15:30</t>
  </si>
  <si>
    <t>Apr24</t>
  </si>
  <si>
    <t>Test2</t>
  </si>
  <si>
    <t>Second school test</t>
  </si>
  <si>
    <t>16:00</t>
  </si>
  <si>
    <t>May24</t>
  </si>
  <si>
    <t>16:30</t>
  </si>
  <si>
    <t>Jun24</t>
  </si>
  <si>
    <t>17:00</t>
  </si>
  <si>
    <t>Jul24</t>
  </si>
  <si>
    <t>17:30</t>
  </si>
  <si>
    <t>18:00</t>
  </si>
  <si>
    <t>Sept24</t>
  </si>
  <si>
    <t>18:30</t>
  </si>
  <si>
    <t>19:00</t>
  </si>
  <si>
    <t>19:30</t>
  </si>
  <si>
    <t>20:00</t>
  </si>
  <si>
    <t>20:30</t>
  </si>
  <si>
    <t>21:00</t>
  </si>
  <si>
    <t>21:30</t>
  </si>
  <si>
    <t>22:00</t>
  </si>
  <si>
    <t>22:30</t>
  </si>
  <si>
    <t>23:00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</si>
</sst>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0"/>
      <name val="Aptos Narrow"/>
      <scheme val="minor"/>
    </font>
    <font>
      <sz val="11"/>
      <color theme="1"/>
      <name val="Aptos Narrow"/>
      <scheme val="minor"/>
    </font>
    <font>
      <sz val="11"/>
      <color indexed="8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15">
    <xf numFmtId="0" fontId="0" fillId="0" borderId="0" xfId="0"/>
    <xf numFmtId="1" fontId="2" fillId="0" borderId="0" xfId="3" applyNumberFormat="1" applyFont="1" applyAlignment="1">
      <alignment horizontal="right"/>
    </xf>
    <xf numFmtId="0" fontId="2" fillId="0" borderId="0" xfId="3" applyFont="1"/>
    <xf numFmtId="1" fontId="2" fillId="0" borderId="0" xfId="3" applyNumberFormat="1" applyFont="1" applyAlignment="1">
      <alignment horizontal="center"/>
    </xf>
    <xf numFmtId="0" fontId="2" fillId="0" borderId="0" xfId="3" applyFont="1" applyAlignment="1">
      <alignment horizontal="center"/>
    </xf>
    <xf numFmtId="0" fontId="4" fillId="0" borderId="0" xfId="3" applyFont="1" applyAlignment="1">
      <alignment horizontal="center"/>
    </xf>
    <xf numFmtId="0" fontId="5" fillId="0" borderId="0" xfId="0" applyFont="1"/>
    <xf numFmtId="0" fontId="6" fillId="0" borderId="0" xfId="3" applyFont="1"/>
    <xf numFmtId="9" fontId="4" fillId="0" borderId="0" xfId="1" applyFont="1" applyFill="1" applyBorder="1" applyAlignment="1">
      <alignment horizontal="center"/>
    </xf>
    <xf numFmtId="1" fontId="6" fillId="0" borderId="0" xfId="1" applyNumberFormat="1" applyFont="1" applyFill="1" applyBorder="1" applyAlignment="1">
      <alignment horizontal="right"/>
    </xf>
    <xf numFmtId="9" fontId="6" fillId="0" borderId="0" xfId="1" applyFont="1" applyFill="1" applyBorder="1" applyAlignment="1"/>
    <xf numFmtId="1" fontId="6" fillId="0" borderId="0" xfId="2" applyNumberFormat="1" applyFont="1" applyAlignment="1">
      <alignment horizontal="right"/>
    </xf>
    <xf numFmtId="0" fontId="6" fillId="0" borderId="0" xfId="2" applyFont="1"/>
    <xf numFmtId="16" fontId="0" fillId="0" borderId="0" xfId="0" applyNumberFormat="1"/>
    <xf numFmtId="49" fontId="0" fillId="0" borderId="0" xfId="0" applyNumberFormat="1"/>
  </cellXfs>
  <cellStyles count="4">
    <cellStyle name="Normal" xfId="0" builtinId="0"/>
    <cellStyle name="Normal_Sections" xfId="3" xr:uid="{E722CE45-A1A4-470B-A637-19233E351694}"/>
    <cellStyle name="Normal_Sheet1" xfId="2" xr:uid="{2AC9400E-742E-4B2C-B2BF-2B29F9B92980}"/>
    <cellStyle name="Percent" xfId="1" builtinId="5"/>
  </cellStyles>
  <dxfs count="10"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1E4CCC"/>
      <color rgb="FF132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F82E7-90E0-486C-AB33-B1C042DB3A45}" name="tblProg" displayName="tblProg" ref="A1:K27" totalsRowShown="0">
  <autoFilter ref="A1:K27" xr:uid="{0C2F82E7-90E0-486C-AB33-B1C042DB3A45}"/>
  <tableColumns count="11">
    <tableColumn id="1" xr3:uid="{74E3ECB3-4ABF-4FE9-9AC9-EC5796A63669}" name="0"/>
    <tableColumn id="2" xr3:uid="{2592758F-8694-434C-9CA4-2034AE01F356}" name="SectionID"/>
    <tableColumn id="3" xr3:uid="{814FF368-9E97-4B7C-8356-99A3F64C19AA}" name="Programme Title"/>
    <tableColumn id="4" xr3:uid="{E256FC7A-675F-48DE-B5E6-15F073BB53DE}" name="Base Code"/>
    <tableColumn id="5" xr3:uid="{66E588D3-7305-437B-9066-5D1FA560CF46}" name="Pregion" dataDxfId="9">
      <calculatedColumnFormula>INDEX(tblCampus[CampusCode], MATCH(tblProg[[#This Row],[Campus]], tblCampus[CampusName], 0))</calculatedColumnFormula>
    </tableColumn>
    <tableColumn id="6" xr3:uid="{43653B84-2094-4BFA-8024-CE0FB40630D0}" name="Intake"/>
    <tableColumn id="7" xr3:uid="{CFA0F65C-0CAA-4789-94B2-F02EBF0A0FF2}" name="FullProgCode">
      <calculatedColumnFormula>tblProg[[#This Row],[Base Code]]&amp;"/"&amp;tblProg[[#This Row],[Pregion]]&amp;"/"&amp;tblProg[[#This Row],[Intake]]</calculatedColumnFormula>
    </tableColumn>
    <tableColumn id="8" xr3:uid="{F2D8136E-BEF2-4147-8557-782CF927BB68}" name="Campus"/>
    <tableColumn id="9" xr3:uid="{6100F85F-297F-45E8-A63A-45958634F2A8}" name="FullPDescript">
      <calculatedColumnFormula>tblProg[[#This Row],[Programme Title]]&amp;" - "&amp;tblProg[[#This Row],[Campus]]&amp;" - "&amp;tblProg[[#This Row],[Intake]]</calculatedColumnFormula>
    </tableColumn>
    <tableColumn id="10" xr3:uid="{0770842F-8422-4369-B412-E1248C6A1A3A}" name="ProgStudSet">
      <calculatedColumnFormula>tblProg[[#This Row],[FullProgCode]]&amp;"/1"</calculatedColumnFormula>
    </tableColumn>
    <tableColumn id="11" xr3:uid="{8B03DD60-6694-41DB-ADE5-98712D72F343}" name="Prog1Code">
      <calculatedColumnFormula>tblProg[[#This Row],[Base Code]]&amp;"/"&amp;tblProg[[#This Row],[Campus]]&amp;"/"&amp;tblProg[[#This Row],[Intake]]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F7FCDA-7988-45C4-8391-AEF0B6C792F8}" name="tblCourse" displayName="tblCourse" ref="A1:O113" totalsRowShown="0">
  <autoFilter ref="A1:O113" xr:uid="{40F7FCDA-7988-45C4-8391-AEF0B6C792F8}"/>
  <tableColumns count="15">
    <tableColumn id="1" xr3:uid="{F170E41C-4056-4687-A039-4505ADDE31CB}" name="CourseID"/>
    <tableColumn id="2" xr3:uid="{882E5854-5304-41F6-B529-B1CB3E9DE454}" name="CourseDescript"/>
    <tableColumn id="3" xr3:uid="{1C5C47C4-8F34-467A-A72E-AAA9C4DA7494}" name="CourseCode"/>
    <tableColumn id="4" xr3:uid="{7B818ED8-AAAB-462C-BF31-4AAC3E0E371D}" name="CRegion"/>
    <tableColumn id="5" xr3:uid="{FEB99B3E-008C-44FE-9562-2AAE2CCDE86E}" name="CIntake"/>
    <tableColumn id="6" xr3:uid="{99CF14E7-3ACE-42D9-BEC6-75114A682EE5}" name="ProgNumb"/>
    <tableColumn id="7" xr3:uid="{39D9AD05-FCBB-403E-9A47-8954178085AA}" name="Completed"/>
    <tableColumn id="8" xr3:uid="{D0AEDBF8-D643-4727-9BA3-C0F0E6381BBC}" name="CSection"/>
    <tableColumn id="9" xr3:uid="{0A3A7C74-0B7D-4E94-B193-ED27E60D0AAD}" name="CourseFullCode">
      <calculatedColumnFormula>tblCourse[[#This Row],[CourseCode]]&amp;"/"&amp;tblCourse[[#This Row],[CRegion]]&amp;"/"&amp;tblCourse[[#This Row],[CIntake]]</calculatedColumnFormula>
    </tableColumn>
    <tableColumn id="10" xr3:uid="{39541D9D-72D3-4B04-9FB4-2403B1F46395}" name="OnlyMod"/>
    <tableColumn id="11" xr3:uid="{620B64E4-BD58-4A3A-ABD1-D58A07F9F13C}" name="Ccampus">
      <calculatedColumnFormula>INDEX(tblCampus[CampusName],MATCH(tblCourse[[#This Row],[CRegion]],tblCampus[CampusCode],))</calculatedColumnFormula>
    </tableColumn>
    <tableColumn id="12" xr3:uid="{09A2CC46-2C8E-4AC9-BF9D-2FEF4D6ABCA1}" name="FullCDescript">
      <calculatedColumnFormula>tblCourse[[#This Row],[CourseDescript]]&amp;"  -  "&amp;tblCourse[[#This Row],[Ccampus]]&amp;"  -  "&amp;tblCourse[[#This Row],[CIntake]]</calculatedColumnFormula>
    </tableColumn>
    <tableColumn id="13" xr3:uid="{39217DF6-D091-43E5-B9D5-1862897ED642}" name="StudSet">
      <calculatedColumnFormula>tblCourse[[#This Row],[ProgFullCode]]&amp;"/1"</calculatedColumnFormula>
    </tableColumn>
    <tableColumn id="14" xr3:uid="{E101E478-6F00-4F3C-A4F3-56E7E4D0C44E}" name="ProgFullCode">
      <calculatedColumnFormula>INDEX(Programmes!G:G,MATCH(tblCourse[[#This Row],[ProgNumb]],Programmes!A:A,))</calculatedColumnFormula>
    </tableColumn>
    <tableColumn id="15" xr3:uid="{E764552C-A3B0-47E7-ADE0-A355901DB65E}" name="Mod1Code">
      <calculatedColumnFormula>tblCourse[[#This Row],[CourseCode]]&amp;"/"&amp;tblCourse[[#This Row],[Ccampus]]&amp;"/"&amp;tblCourse[[#This Row],[CIntake]]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F19B3D-86E0-4AA6-8928-F2658DD2E9C5}" name="tblStaff" displayName="tblStaff" ref="A1:C556" totalsRowShown="0">
  <autoFilter ref="A1:C556" xr:uid="{71F19B3D-86E0-4AA6-8928-F2658DD2E9C5}"/>
  <tableColumns count="3">
    <tableColumn id="1" xr3:uid="{C20AA341-ECCA-4136-BE64-7C90024BB26B}" name="ID"/>
    <tableColumn id="2" xr3:uid="{5F88A5B6-CF36-49DE-830C-6CA16129AEA5}" name="Staff"/>
    <tableColumn id="3" xr3:uid="{3F971184-7502-49C8-AA1E-DE7FDD05866C}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927ABD-64A4-49E4-A5E6-FA07D296197E}" name="tblSection" displayName="tblSection" ref="X1:Z21" totalsRowShown="0">
  <autoFilter ref="X1:Z21" xr:uid="{9A927ABD-64A4-49E4-A5E6-FA07D296197E}"/>
  <tableColumns count="3">
    <tableColumn id="1" xr3:uid="{91A2B393-49D7-4392-98CF-196ED98CE14B}" name="SectionID"/>
    <tableColumn id="2" xr3:uid="{4F863ED3-F0D5-4B0B-9A48-61729D1FFF05}" name="SectionCode"/>
    <tableColumn id="3" xr3:uid="{0AB797A3-2653-498E-97C0-7742A94D746B}" name="Se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800F3D-03BB-499C-A976-F94FA359D525}" name="tblActType" displayName="tblActType" ref="A1:C15" totalsRowShown="0" headerRowDxfId="8" dataDxfId="7">
  <autoFilter ref="A1:C15" xr:uid="{DB998D92-321B-4589-BA95-71FEB2C79293}"/>
  <tableColumns count="3">
    <tableColumn id="1" xr3:uid="{3E069DB2-B125-40E7-BF51-63949776F327}" name="ID" dataDxfId="6" dataCellStyle="Normal_Sheet1"/>
    <tableColumn id="2" xr3:uid="{2CCF351F-760C-430A-8F46-280DE1060AA0}" name="Type" dataDxfId="5" dataCellStyle="Normal_Sheet1"/>
    <tableColumn id="3" xr3:uid="{CA2126F8-68CE-4906-AA64-F92EB3EFD5D6}" name="Code" dataDxfId="4" dataCellStyle="Normal_Sheet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4C2FEE-31B3-4295-8AA9-2F855E1D3850}" name="tblCampus" displayName="tblCampus" ref="F1:H16" totalsRowShown="0">
  <autoFilter ref="F1:H16" xr:uid="{BEE3FDA9-DF33-4F36-9A00-EDF969C9EADE}"/>
  <tableColumns count="3">
    <tableColumn id="1" xr3:uid="{F653BA79-ACB6-4D75-8569-D5646A119457}" name="ID"/>
    <tableColumn id="2" xr3:uid="{69E1D8C5-63B8-4D62-A1D1-6EC8FA4E527A}" name="CampusName"/>
    <tableColumn id="3" xr3:uid="{2D9DB53E-AB7A-4766-8848-B51ABCD8AA3D}" name="Campus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594178-AB39-4E2D-BC17-E9EF1561CBA7}" name="tblHoliday" displayName="tblHoliday" ref="K1:L4" totalsRowShown="0" headerRowDxfId="3" dataDxfId="2">
  <autoFilter ref="K1:L4" xr:uid="{85D26F3C-D53C-4837-A72A-DB6CC6FFBB4D}"/>
  <tableColumns count="2">
    <tableColumn id="1" xr3:uid="{9832D07C-4E3C-4F18-B276-FC433E8AD827}" name="HolidayID" dataDxfId="1"/>
    <tableColumn id="2" xr3:uid="{6427AA4C-7304-452B-AB6C-B07BF27D8FCC}" name="Action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72411-D914-4328-82A1-A82FAC6CA87E}" name="tblRmType" displayName="tblRmType" ref="O1:Q10" totalsRowShown="0">
  <autoFilter ref="O1:Q10" xr:uid="{1C9BA570-EB09-4247-915D-60A28AF944F3}"/>
  <tableColumns count="3">
    <tableColumn id="1" xr3:uid="{3AB6F9AD-DD68-4851-969C-1FC131AC2063}" name="ID"/>
    <tableColumn id="2" xr3:uid="{A2F03370-E6A9-4792-8FBE-785AFF99DA98}" name="RoomType"/>
    <tableColumn id="3" xr3:uid="{75AB00D3-ABE8-4E8E-8486-041B62BB3E62}" name="RoomLab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3CEB72-88D5-4CB3-A229-3A2D50F47F5B}" name="tblIntake" displayName="tblIntake" ref="T1:U30" totalsRowShown="0">
  <autoFilter ref="T1:U30" xr:uid="{A27A9A48-030B-4C5B-B9BD-298EDEABBE0E}"/>
  <tableColumns count="2">
    <tableColumn id="1" xr3:uid="{DB848C80-6102-46EC-875C-BCD686E39FA3}" name="ID"/>
    <tableColumn id="2" xr3:uid="{7457A113-A513-41F9-9FAE-42C4761E4670}" name="Intak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7FDAEB-891B-4237-8212-5E0D13901031}" name="tblTime" displayName="tblTime" ref="AC1:AE35" totalsRowShown="0">
  <autoFilter ref="AC1:AE35" xr:uid="{D3820957-203B-48BF-AF75-D20EACE7ADDD}"/>
  <tableColumns count="3">
    <tableColumn id="1" xr3:uid="{987DDE5D-AF95-499E-A086-DE31D951BFE2}" name="ID"/>
    <tableColumn id="2" xr3:uid="{4C14D287-E89E-41E0-A103-D046295FA4B7}" name="Time"/>
    <tableColumn id="3" xr3:uid="{BB5B0A29-7362-4A02-B736-C462889667A7}" name="SPlusTi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24EDE56-7CD2-4C38-A909-0C80B09AFF49}" name="tblDuration" displayName="tblDuration" ref="AK1:AL34" totalsRowShown="0">
  <autoFilter ref="AK1:AL34" xr:uid="{777579DB-25A1-4B7E-877F-D634D456DBF2}"/>
  <tableColumns count="2">
    <tableColumn id="1" xr3:uid="{342AB58F-D987-494D-9850-A107EEAD57B7}" name="Duration"/>
    <tableColumn id="2" xr3:uid="{42F96933-EF97-45DF-A374-5E63022E39C8}" name="Period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7B7A64-C5E1-4568-9A32-E9845F6E94D4}" name="tblSameTime" displayName="tblSameTime" ref="AO1:AO3" totalsRowShown="0">
  <autoFilter ref="AO1:AO3" xr:uid="{355E0AE8-8E47-4A1B-B18D-49A285522D2B}"/>
  <tableColumns count="1">
    <tableColumn id="1" xr3:uid="{776506B3-DA2A-4019-9EAC-DF507D18DFBA}" name="Same Tim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64BB9C6-43FF-43EE-A1E1-E58B1096B15C}" name="tblRmTypeInfo" displayName="tblRmTypeInfo" ref="AR1:AR7" totalsRowShown="0">
  <autoFilter ref="AR1:AR7" xr:uid="{E6124023-516A-473D-82AD-1E5D22165CF2}"/>
  <tableColumns count="1">
    <tableColumn id="1" xr3:uid="{1C685634-D30D-4010-8DBD-D5006267E833}" name="RoomTypeInfo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4AE6744-4052-490D-BE97-171E3EE7F695}" name="tblStatus" displayName="tblStatus" ref="AH1:AH3" totalsRowShown="0">
  <autoFilter ref="AH1:AH3" xr:uid="{3998A05B-E18F-4AC5-B8A8-39F9B39D881E}"/>
  <tableColumns count="1">
    <tableColumn id="1" xr3:uid="{0315E833-4417-4801-823F-73CC68EC641E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D32A-2E22-4BDF-9B69-DD3C5D94DD0D}">
  <sheetPr codeName="Programmes"/>
  <dimension ref="A1:K27"/>
  <sheetViews>
    <sheetView workbookViewId="0">
      <selection activeCell="G6" sqref="G6"/>
    </sheetView>
  </sheetViews>
  <sheetFormatPr defaultColWidth="8.875" defaultRowHeight="14.25"/>
  <cols>
    <col min="1" max="1" width="7" bestFit="1" customWidth="1"/>
    <col min="2" max="2" width="15.625" customWidth="1"/>
    <col min="3" max="3" width="64.5" bestFit="1" customWidth="1"/>
    <col min="4" max="4" width="12.875" bestFit="1" customWidth="1"/>
    <col min="5" max="5" width="10" customWidth="1"/>
    <col min="6" max="6" width="8.375" bestFit="1" customWidth="1"/>
    <col min="7" max="7" width="15.375" customWidth="1"/>
    <col min="8" max="8" width="14" bestFit="1" customWidth="1"/>
    <col min="9" max="9" width="79" bestFit="1" customWidth="1"/>
    <col min="10" max="10" width="15.375" bestFit="1" customWidth="1"/>
    <col min="11" max="11" width="23.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72</v>
      </c>
      <c r="B2" t="s">
        <v>11</v>
      </c>
      <c r="C2" t="s">
        <v>12</v>
      </c>
      <c r="D2" t="s">
        <v>13</v>
      </c>
      <c r="E2" t="str">
        <f>INDEX(tblCampus[CampusCode], MATCH(tblProg[[#This Row],[Campus]], tblCampus[CampusName], 0))</f>
        <v>HB</v>
      </c>
      <c r="F2" t="s">
        <v>14</v>
      </c>
      <c r="G2" t="str">
        <f>tblProg[[#This Row],[Base Code]]&amp;"/"&amp;tblProg[[#This Row],[Pregion]]&amp;"/"&amp;tblProg[[#This Row],[Intake]]</f>
        <v>BBS/HB/Feb</v>
      </c>
      <c r="H2" t="s">
        <v>15</v>
      </c>
      <c r="I2" t="str">
        <f>tblProg[[#This Row],[Programme Title]]&amp;" - "&amp;tblProg[[#This Row],[Campus]]&amp;" - "&amp;tblProg[[#This Row],[Intake]]</f>
        <v>Bachelor of Business Studies - Taradale - Feb</v>
      </c>
      <c r="J2" t="str">
        <f>tblProg[[#This Row],[FullProgCode]]&amp;"/1"</f>
        <v>BBS/HB/Feb/1</v>
      </c>
      <c r="K2" t="str">
        <f>tblProg[[#This Row],[Base Code]]&amp;"/"&amp;tblProg[[#This Row],[Campus]]&amp;"/"&amp;tblProg[[#This Row],[Intake]]</f>
        <v>BBS/Taradale/Feb</v>
      </c>
    </row>
    <row r="3" spans="1:11">
      <c r="A3">
        <v>73</v>
      </c>
      <c r="B3" t="s">
        <v>11</v>
      </c>
      <c r="C3" t="s">
        <v>12</v>
      </c>
      <c r="D3" t="s">
        <v>13</v>
      </c>
      <c r="E3" t="str">
        <f>INDEX(tblCampus[CampusCode], MATCH(tblProg[[#This Row],[Campus]], tblCampus[CampusName], 0))</f>
        <v>TC</v>
      </c>
      <c r="F3" t="s">
        <v>14</v>
      </c>
      <c r="G3" t="str">
        <f>tblProg[[#This Row],[Base Code]]&amp;"/"&amp;tblProg[[#This Row],[Pregion]]&amp;"/"&amp;tblProg[[#This Row],[Intake]]</f>
        <v>BBS/TC/Feb</v>
      </c>
      <c r="H3" t="s">
        <v>16</v>
      </c>
      <c r="I3" t="str">
        <f>tblProg[[#This Row],[Programme Title]]&amp;" - "&amp;tblProg[[#This Row],[Campus]]&amp;" - "&amp;tblProg[[#This Row],[Intake]]</f>
        <v>Bachelor of Business Studies - Palmerston Rd - Feb</v>
      </c>
      <c r="J3" t="str">
        <f>tblProg[[#This Row],[FullProgCode]]&amp;"/1"</f>
        <v>BBS/TC/Feb/1</v>
      </c>
      <c r="K3" t="str">
        <f>tblProg[[#This Row],[Base Code]]&amp;"/"&amp;tblProg[[#This Row],[Campus]]&amp;"/"&amp;tblProg[[#This Row],[Intake]]</f>
        <v>BBS/Palmerston Rd/Feb</v>
      </c>
    </row>
    <row r="4" spans="1:11">
      <c r="A4">
        <v>100001</v>
      </c>
      <c r="B4" t="s">
        <v>11</v>
      </c>
      <c r="C4" t="s">
        <v>17</v>
      </c>
      <c r="D4" t="s">
        <v>18</v>
      </c>
      <c r="E4" t="str">
        <f>INDEX(tblCampus[CampusCode], MATCH(tblProg[[#This Row],[Campus]], tblCampus[CampusName], 0))</f>
        <v>HB</v>
      </c>
      <c r="F4" t="s">
        <v>14</v>
      </c>
      <c r="G4" t="str">
        <f>tblProg[[#This Row],[Base Code]]&amp;"/"&amp;tblProg[[#This Row],[Pregion]]&amp;"/"&amp;tblProg[[#This Row],[Intake]]</f>
        <v>BoA/HB/Feb</v>
      </c>
      <c r="H4" t="s">
        <v>15</v>
      </c>
      <c r="I4" t="str">
        <f>tblProg[[#This Row],[Programme Title]]&amp;" - "&amp;tblProg[[#This Row],[Campus]]&amp;" - "&amp;tblProg[[#This Row],[Intake]]</f>
        <v>Bachelor of Accounting - Taradale - Feb</v>
      </c>
      <c r="J4" t="str">
        <f>tblProg[[#This Row],[FullProgCode]]&amp;"/1"</f>
        <v>BoA/HB/Feb/1</v>
      </c>
      <c r="K4" t="str">
        <f>tblProg[[#This Row],[Base Code]]&amp;"/"&amp;tblProg[[#This Row],[Campus]]&amp;"/"&amp;tblProg[[#This Row],[Intake]]</f>
        <v>BoA/Taradale/Feb</v>
      </c>
    </row>
    <row r="5" spans="1:11">
      <c r="A5">
        <v>100002</v>
      </c>
      <c r="B5" t="s">
        <v>11</v>
      </c>
      <c r="C5" t="s">
        <v>17</v>
      </c>
      <c r="D5" t="s">
        <v>18</v>
      </c>
      <c r="E5" t="str">
        <f>INDEX(tblCampus[CampusCode], MATCH(tblProg[[#This Row],[Campus]], tblCampus[CampusName], 0))</f>
        <v>SS</v>
      </c>
      <c r="F5" t="s">
        <v>14</v>
      </c>
      <c r="G5" t="str">
        <f>tblProg[[#This Row],[Base Code]]&amp;"/"&amp;tblProg[[#This Row],[Pregion]]&amp;"/"&amp;tblProg[[#This Row],[Intake]]</f>
        <v>BoA/SS/Feb</v>
      </c>
      <c r="H5" t="s">
        <v>19</v>
      </c>
      <c r="I5" t="str">
        <f>tblProg[[#This Row],[Programme Title]]&amp;" - "&amp;tblProg[[#This Row],[Campus]]&amp;" - "&amp;tblProg[[#This Row],[Intake]]</f>
        <v>Bachelor of Accounting - Stout St - Feb</v>
      </c>
      <c r="J5" t="str">
        <f>tblProg[[#This Row],[FullProgCode]]&amp;"/1"</f>
        <v>BoA/SS/Feb/1</v>
      </c>
      <c r="K5" t="str">
        <f>tblProg[[#This Row],[Base Code]]&amp;"/"&amp;tblProg[[#This Row],[Campus]]&amp;"/"&amp;tblProg[[#This Row],[Intake]]</f>
        <v>BoA/Stout St/Feb</v>
      </c>
    </row>
    <row r="6" spans="1:11">
      <c r="A6">
        <v>100007</v>
      </c>
      <c r="B6" t="s">
        <v>11</v>
      </c>
      <c r="C6" t="s">
        <v>17</v>
      </c>
      <c r="D6" t="s">
        <v>18</v>
      </c>
      <c r="E6" t="str">
        <f>INDEX(tblCampus[CampusCode], MATCH(tblProg[[#This Row],[Campus]], tblCampus[CampusName], 0))</f>
        <v>W</v>
      </c>
      <c r="F6" t="s">
        <v>20</v>
      </c>
      <c r="G6" t="str">
        <f>tblProg[[#This Row],[Base Code]]&amp;"/"&amp;tblProg[[#This Row],[Pregion]]&amp;"/"&amp;tblProg[[#This Row],[Intake]]</f>
        <v>BoA/W/Jul</v>
      </c>
      <c r="H6" t="s">
        <v>21</v>
      </c>
      <c r="I6" t="str">
        <f>tblProg[[#This Row],[Programme Title]]&amp;" - "&amp;tblProg[[#This Row],[Campus]]&amp;" - "&amp;tblProg[[#This Row],[Intake]]</f>
        <v>Bachelor of Accounting - Wairoa - Jul</v>
      </c>
      <c r="J6" t="str">
        <f>tblProg[[#This Row],[FullProgCode]]&amp;"/1"</f>
        <v>BoA/W/Jul/1</v>
      </c>
      <c r="K6" t="str">
        <f>tblProg[[#This Row],[Base Code]]&amp;"/"&amp;tblProg[[#This Row],[Campus]]&amp;"/"&amp;tblProg[[#This Row],[Intake]]</f>
        <v>BoA/Wairoa/Jul</v>
      </c>
    </row>
    <row r="7" spans="1:11">
      <c r="A7">
        <v>79</v>
      </c>
      <c r="B7" t="s">
        <v>11</v>
      </c>
      <c r="C7" t="s">
        <v>22</v>
      </c>
      <c r="D7" t="s">
        <v>23</v>
      </c>
      <c r="E7" t="str">
        <f>INDEX(tblCampus[CampusCode], MATCH(tblProg[[#This Row],[Campus]], tblCampus[CampusName], 0))</f>
        <v>HB</v>
      </c>
      <c r="F7" t="s">
        <v>14</v>
      </c>
      <c r="G7" t="str">
        <f>tblProg[[#This Row],[Base Code]]&amp;"/"&amp;tblProg[[#This Row],[Pregion]]&amp;"/"&amp;tblProg[[#This Row],[Intake]]</f>
        <v>CBASS/HB/Feb</v>
      </c>
      <c r="H7" t="s">
        <v>15</v>
      </c>
      <c r="I7" t="str">
        <f>tblProg[[#This Row],[Programme Title]]&amp;" - "&amp;tblProg[[#This Row],[Campus]]&amp;" - "&amp;tblProg[[#This Row],[Intake]]</f>
        <v>New Zealand Certificate in Business (Accounting Support Services) (L4) - Taradale - Feb</v>
      </c>
      <c r="J7" t="str">
        <f>tblProg[[#This Row],[FullProgCode]]&amp;"/1"</f>
        <v>CBASS/HB/Feb/1</v>
      </c>
      <c r="K7" t="str">
        <f>tblProg[[#This Row],[Base Code]]&amp;"/"&amp;tblProg[[#This Row],[Campus]]&amp;"/"&amp;tblProg[[#This Row],[Intake]]</f>
        <v>CBASS/Taradale/Feb</v>
      </c>
    </row>
    <row r="8" spans="1:11">
      <c r="A8">
        <v>82</v>
      </c>
      <c r="B8" t="s">
        <v>11</v>
      </c>
      <c r="C8" t="s">
        <v>24</v>
      </c>
      <c r="D8" t="s">
        <v>25</v>
      </c>
      <c r="E8" t="str">
        <f>INDEX(tblCampus[CampusCode], MATCH(tblProg[[#This Row],[Campus]], tblCampus[CampusName], 0))</f>
        <v>HB</v>
      </c>
      <c r="F8" t="s">
        <v>14</v>
      </c>
      <c r="G8" t="str">
        <f>tblProg[[#This Row],[Base Code]]&amp;"/"&amp;tblProg[[#This Row],[Pregion]]&amp;"/"&amp;tblProg[[#This Row],[Intake]]</f>
        <v>NZDB/HB/Feb</v>
      </c>
      <c r="H8" t="s">
        <v>15</v>
      </c>
      <c r="I8" t="str">
        <f>tblProg[[#This Row],[Programme Title]]&amp;" - "&amp;tblProg[[#This Row],[Campus]]&amp;" - "&amp;tblProg[[#This Row],[Intake]]</f>
        <v>New Zealand Diploma in Business L5 - Taradale - Feb</v>
      </c>
      <c r="J8" t="str">
        <f>tblProg[[#This Row],[FullProgCode]]&amp;"/1"</f>
        <v>NZDB/HB/Feb/1</v>
      </c>
      <c r="K8" t="str">
        <f>tblProg[[#This Row],[Base Code]]&amp;"/"&amp;tblProg[[#This Row],[Campus]]&amp;"/"&amp;tblProg[[#This Row],[Intake]]</f>
        <v>NZDB/Taradale/Feb</v>
      </c>
    </row>
    <row r="9" spans="1:11">
      <c r="A9">
        <v>81</v>
      </c>
      <c r="B9" t="s">
        <v>11</v>
      </c>
      <c r="C9" t="s">
        <v>24</v>
      </c>
      <c r="D9" t="s">
        <v>25</v>
      </c>
      <c r="E9" t="str">
        <f>INDEX(tblCampus[CampusCode], MATCH(tblProg[[#This Row],[Campus]], tblCampus[CampusName], 0))</f>
        <v>TC</v>
      </c>
      <c r="F9" t="s">
        <v>14</v>
      </c>
      <c r="G9" t="str">
        <f>tblProg[[#This Row],[Base Code]]&amp;"/"&amp;tblProg[[#This Row],[Pregion]]&amp;"/"&amp;tblProg[[#This Row],[Intake]]</f>
        <v>NZDB/TC/Feb</v>
      </c>
      <c r="H9" t="s">
        <v>16</v>
      </c>
      <c r="I9" t="str">
        <f>tblProg[[#This Row],[Programme Title]]&amp;" - "&amp;tblProg[[#This Row],[Campus]]&amp;" - "&amp;tblProg[[#This Row],[Intake]]</f>
        <v>New Zealand Diploma in Business L5 - Palmerston Rd - Feb</v>
      </c>
      <c r="J9" t="str">
        <f>tblProg[[#This Row],[FullProgCode]]&amp;"/1"</f>
        <v>NZDB/TC/Feb/1</v>
      </c>
      <c r="K9" t="str">
        <f>tblProg[[#This Row],[Base Code]]&amp;"/"&amp;tblProg[[#This Row],[Campus]]&amp;"/"&amp;tblProg[[#This Row],[Intake]]</f>
        <v>NZDB/Palmerston Rd/Feb</v>
      </c>
    </row>
    <row r="10" spans="1:11">
      <c r="A10">
        <v>100003</v>
      </c>
      <c r="B10" t="s">
        <v>11</v>
      </c>
      <c r="C10" t="s">
        <v>26</v>
      </c>
      <c r="D10" t="s">
        <v>27</v>
      </c>
      <c r="E10" t="str">
        <f>INDEX(tblCampus[CampusCode], MATCH(tblProg[[#This Row],[Campus]], tblCampus[CampusName], 0))</f>
        <v>HB</v>
      </c>
      <c r="F10" t="s">
        <v>14</v>
      </c>
      <c r="G10" t="str">
        <f>tblProg[[#This Row],[Base Code]]&amp;"/"&amp;tblProg[[#This Row],[Pregion]]&amp;"/"&amp;tblProg[[#This Row],[Intake]]</f>
        <v>SBA/HB/Feb</v>
      </c>
      <c r="H10" t="s">
        <v>15</v>
      </c>
      <c r="I10" t="str">
        <f>tblProg[[#This Row],[Programme Title]]&amp;" - "&amp;tblProg[[#This Row],[Campus]]&amp;" - "&amp;tblProg[[#This Row],[Intake]]</f>
        <v>School-based Activities - Taradale - Feb</v>
      </c>
      <c r="J10" t="str">
        <f>tblProg[[#This Row],[FullProgCode]]&amp;"/1"</f>
        <v>SBA/HB/Feb/1</v>
      </c>
      <c r="K10" t="str">
        <f>tblProg[[#This Row],[Base Code]]&amp;"/"&amp;tblProg[[#This Row],[Campus]]&amp;"/"&amp;tblProg[[#This Row],[Intake]]</f>
        <v>SBA/Taradale/Feb</v>
      </c>
    </row>
    <row r="11" spans="1:11">
      <c r="A11">
        <v>100004</v>
      </c>
      <c r="B11" t="s">
        <v>11</v>
      </c>
      <c r="C11" t="s">
        <v>26</v>
      </c>
      <c r="D11" t="s">
        <v>27</v>
      </c>
      <c r="E11" t="str">
        <f>INDEX(tblCampus[CampusCode], MATCH(tblProg[[#This Row],[Campus]], tblCampus[CampusName], 0))</f>
        <v>TC</v>
      </c>
      <c r="F11" t="s">
        <v>14</v>
      </c>
      <c r="G11" t="str">
        <f>tblProg[[#This Row],[Base Code]]&amp;"/"&amp;tblProg[[#This Row],[Pregion]]&amp;"/"&amp;tblProg[[#This Row],[Intake]]</f>
        <v>SBA/TC/Feb</v>
      </c>
      <c r="H11" t="s">
        <v>16</v>
      </c>
      <c r="I11" t="str">
        <f>tblProg[[#This Row],[Programme Title]]&amp;" - "&amp;tblProg[[#This Row],[Campus]]&amp;" - "&amp;tblProg[[#This Row],[Intake]]</f>
        <v>School-based Activities - Palmerston Rd - Feb</v>
      </c>
      <c r="J11" t="str">
        <f>tblProg[[#This Row],[FullProgCode]]&amp;"/1"</f>
        <v>SBA/TC/Feb/1</v>
      </c>
      <c r="K11" t="str">
        <f>tblProg[[#This Row],[Base Code]]&amp;"/"&amp;tblProg[[#This Row],[Campus]]&amp;"/"&amp;tblProg[[#This Row],[Intake]]</f>
        <v>SBA/Palmerston Rd/Feb</v>
      </c>
    </row>
    <row r="12" spans="1:11">
      <c r="A12">
        <v>200012</v>
      </c>
      <c r="B12" t="s">
        <v>28</v>
      </c>
      <c r="C12" t="s">
        <v>29</v>
      </c>
      <c r="D12" t="s">
        <v>30</v>
      </c>
      <c r="E12" t="str">
        <f>INDEX(tblCampus[CampusCode], MATCH(tblProg[[#This Row],[Campus]], tblCampus[CampusName], 0))</f>
        <v>HB</v>
      </c>
      <c r="F12" t="s">
        <v>31</v>
      </c>
      <c r="G12" t="str">
        <f>tblProg[[#This Row],[Base Code]]&amp;"/"&amp;tblProg[[#This Row],[Pregion]]&amp;"/"&amp;tblProg[[#This Row],[Intake]]</f>
        <v>Test/HB/1</v>
      </c>
      <c r="H12" t="s">
        <v>15</v>
      </c>
      <c r="I12" t="str">
        <f>tblProg[[#This Row],[Programme Title]]&amp;" - "&amp;tblProg[[#This Row],[Campus]]&amp;" - "&amp;tblProg[[#This Row],[Intake]]</f>
        <v>Test Programme - Taradale - 1</v>
      </c>
      <c r="J12" t="str">
        <f>tblProg[[#This Row],[FullProgCode]]&amp;"/1"</f>
        <v>Test/HB/1/1</v>
      </c>
      <c r="K12" t="str">
        <f>tblProg[[#This Row],[Base Code]]&amp;"/"&amp;tblProg[[#This Row],[Campus]]&amp;"/"&amp;tblProg[[#This Row],[Intake]]</f>
        <v>Test/Taradale/1</v>
      </c>
    </row>
    <row r="13" spans="1:11">
      <c r="A13">
        <v>200013</v>
      </c>
      <c r="B13" t="s">
        <v>32</v>
      </c>
      <c r="C13" t="s">
        <v>33</v>
      </c>
      <c r="D13" t="s">
        <v>34</v>
      </c>
      <c r="E13" t="str">
        <f>INDEX(tblCampus[CampusCode], MATCH(tblProg[[#This Row],[Campus]], tblCampus[CampusName], 0))</f>
        <v>SS</v>
      </c>
      <c r="F13" t="s">
        <v>35</v>
      </c>
      <c r="G13" t="str">
        <f>tblProg[[#This Row],[Base Code]]&amp;"/"&amp;tblProg[[#This Row],[Pregion]]&amp;"/"&amp;tblProg[[#This Row],[Intake]]</f>
        <v>cha/SS/Oct</v>
      </c>
      <c r="H13" t="s">
        <v>19</v>
      </c>
      <c r="I13" t="str">
        <f>tblProg[[#This Row],[Programme Title]]&amp;" - "&amp;tblProg[[#This Row],[Campus]]&amp;" - "&amp;tblProg[[#This Row],[Intake]]</f>
        <v>Changed - Stout St - Oct</v>
      </c>
      <c r="J13" t="str">
        <f>tblProg[[#This Row],[FullProgCode]]&amp;"/1"</f>
        <v>cha/SS/Oct/1</v>
      </c>
      <c r="K13" t="str">
        <f>tblProg[[#This Row],[Base Code]]&amp;"/"&amp;tblProg[[#This Row],[Campus]]&amp;"/"&amp;tblProg[[#This Row],[Intake]]</f>
        <v>cha/Stout St/Oct</v>
      </c>
    </row>
    <row r="14" spans="1:11">
      <c r="A14">
        <v>200014</v>
      </c>
      <c r="B14" t="s">
        <v>36</v>
      </c>
      <c r="C14" t="s">
        <v>37</v>
      </c>
      <c r="D14" t="s">
        <v>38</v>
      </c>
      <c r="E14" t="str">
        <f>INDEX(tblCampus[CampusCode], MATCH(tblProg[[#This Row],[Campus]], tblCampus[CampusName], 0))</f>
        <v>R</v>
      </c>
      <c r="F14" t="s">
        <v>35</v>
      </c>
      <c r="G14" t="str">
        <f>tblProg[[#This Row],[Base Code]]&amp;"/"&amp;tblProg[[#This Row],[Pregion]]&amp;"/"&amp;tblProg[[#This Row],[Intake]]</f>
        <v>SoN/R/Oct</v>
      </c>
      <c r="H14" t="s">
        <v>39</v>
      </c>
      <c r="I14" t="str">
        <f>tblProg[[#This Row],[Programme Title]]&amp;" - "&amp;tblProg[[#This Row],[Campus]]&amp;" - "&amp;tblProg[[#This Row],[Intake]]</f>
        <v>vbnmvbnm - Ruatoria - Oct</v>
      </c>
      <c r="J14" t="str">
        <f>tblProg[[#This Row],[FullProgCode]]&amp;"/1"</f>
        <v>SoN/R/Oct/1</v>
      </c>
      <c r="K14" t="str">
        <f>tblProg[[#This Row],[Base Code]]&amp;"/"&amp;tblProg[[#This Row],[Campus]]&amp;"/"&amp;tblProg[[#This Row],[Intake]]</f>
        <v>SoN/Ruatoria/Oct</v>
      </c>
    </row>
    <row r="15" spans="1:11">
      <c r="A15">
        <v>200015</v>
      </c>
      <c r="B15" t="s">
        <v>40</v>
      </c>
      <c r="C15" t="s">
        <v>41</v>
      </c>
      <c r="D15" t="s">
        <v>42</v>
      </c>
      <c r="E15" t="str">
        <f>INDEX(tblCampus[CampusCode], MATCH(tblProg[[#This Row],[Campus]], tblCampus[CampusName], 0))</f>
        <v>W</v>
      </c>
      <c r="F15" t="s">
        <v>43</v>
      </c>
      <c r="G15" t="str">
        <f>tblProg[[#This Row],[Base Code]]&amp;"/"&amp;tblProg[[#This Row],[Pregion]]&amp;"/"&amp;tblProg[[#This Row],[Intake]]</f>
        <v>puiop/W/Jan</v>
      </c>
      <c r="H15" t="s">
        <v>21</v>
      </c>
      <c r="I15" t="str">
        <f>tblProg[[#This Row],[Programme Title]]&amp;" - "&amp;tblProg[[#This Row],[Campus]]&amp;" - "&amp;tblProg[[#This Row],[Intake]]</f>
        <v>Second Create Test - Wairoa - Jan</v>
      </c>
      <c r="J15" t="str">
        <f>tblProg[[#This Row],[FullProgCode]]&amp;"/1"</f>
        <v>puiop/W/Jan/1</v>
      </c>
      <c r="K15" t="str">
        <f>tblProg[[#This Row],[Base Code]]&amp;"/"&amp;tblProg[[#This Row],[Campus]]&amp;"/"&amp;tblProg[[#This Row],[Intake]]</f>
        <v>puiop/Wairoa/Jan</v>
      </c>
    </row>
    <row r="16" spans="1:11">
      <c r="A16">
        <v>200017</v>
      </c>
      <c r="B16" t="s">
        <v>11</v>
      </c>
      <c r="C16" t="s">
        <v>44</v>
      </c>
      <c r="D16" t="s">
        <v>45</v>
      </c>
      <c r="E16" t="str">
        <f>INDEX(tblCampus[CampusCode], MATCH(tblProg[[#This Row],[Campus]], tblCampus[CampusName], 0))</f>
        <v>HB</v>
      </c>
      <c r="F16" t="s">
        <v>14</v>
      </c>
      <c r="G16" t="str">
        <f>tblProg[[#This Row],[Base Code]]&amp;"/"&amp;tblProg[[#This Row],[Pregion]]&amp;"/"&amp;tblProg[[#This Row],[Intake]]</f>
        <v>dfgh/HB/Feb</v>
      </c>
      <c r="H16" t="s">
        <v>15</v>
      </c>
      <c r="I16" t="str">
        <f>tblProg[[#This Row],[Programme Title]]&amp;" - "&amp;tblProg[[#This Row],[Campus]]&amp;" - "&amp;tblProg[[#This Row],[Intake]]</f>
        <v>dfghdfghdfghdfgh - Taradale - Feb</v>
      </c>
      <c r="J16" t="str">
        <f>tblProg[[#This Row],[FullProgCode]]&amp;"/1"</f>
        <v>dfgh/HB/Feb/1</v>
      </c>
      <c r="K16" t="str">
        <f>tblProg[[#This Row],[Base Code]]&amp;"/"&amp;tblProg[[#This Row],[Campus]]&amp;"/"&amp;tblProg[[#This Row],[Intake]]</f>
        <v>dfgh/Taradale/Feb</v>
      </c>
    </row>
    <row r="17" spans="1:11">
      <c r="A17">
        <v>200018</v>
      </c>
      <c r="B17" t="s">
        <v>40</v>
      </c>
      <c r="C17" t="s">
        <v>46</v>
      </c>
      <c r="D17" t="s">
        <v>47</v>
      </c>
      <c r="E17" t="str">
        <f>INDEX(tblCampus[CampusCode], MATCH(tblProg[[#This Row],[Campus]], tblCampus[CampusName], 0))</f>
        <v>CHB</v>
      </c>
      <c r="F17" t="s">
        <v>43</v>
      </c>
      <c r="G17" t="str">
        <f>tblProg[[#This Row],[Base Code]]&amp;"/"&amp;tblProg[[#This Row],[Pregion]]&amp;"/"&amp;tblProg[[#This Row],[Intake]]</f>
        <v>qwe/CHB/Jan</v>
      </c>
      <c r="H17" t="s">
        <v>48</v>
      </c>
      <c r="I17" t="str">
        <f>tblProg[[#This Row],[Programme Title]]&amp;" - "&amp;tblProg[[#This Row],[Campus]]&amp;" - "&amp;tblProg[[#This Row],[Intake]]</f>
        <v>qwer - Waipukurau - Jan</v>
      </c>
      <c r="J17" t="str">
        <f>tblProg[[#This Row],[FullProgCode]]&amp;"/1"</f>
        <v>qwe/CHB/Jan/1</v>
      </c>
      <c r="K17" t="str">
        <f>tblProg[[#This Row],[Base Code]]&amp;"/"&amp;tblProg[[#This Row],[Campus]]&amp;"/"&amp;tblProg[[#This Row],[Intake]]</f>
        <v>qwe/Waipukurau/Jan</v>
      </c>
    </row>
    <row r="18" spans="1:11">
      <c r="A18">
        <v>200019</v>
      </c>
      <c r="B18" t="s">
        <v>40</v>
      </c>
      <c r="C18" t="s">
        <v>49</v>
      </c>
      <c r="D18" t="s">
        <v>50</v>
      </c>
      <c r="E18" t="str">
        <f>INDEX(tblCampus[CampusCode], MATCH(tblProg[[#This Row],[Campus]], tblCampus[CampusName], 0))</f>
        <v>TC</v>
      </c>
      <c r="F18" t="s">
        <v>43</v>
      </c>
      <c r="G18" t="str">
        <f>tblProg[[#This Row],[Base Code]]&amp;"/"&amp;tblProg[[#This Row],[Pregion]]&amp;"/"&amp;tblProg[[#This Row],[Intake]]</f>
        <v>ghj/TC/Jan</v>
      </c>
      <c r="H18" t="s">
        <v>16</v>
      </c>
      <c r="I18" t="str">
        <f>tblProg[[#This Row],[Programme Title]]&amp;" - "&amp;tblProg[[#This Row],[Campus]]&amp;" - "&amp;tblProg[[#This Row],[Intake]]</f>
        <v>ghjk - Palmerston Rd - Jan</v>
      </c>
      <c r="J18" t="str">
        <f>tblProg[[#This Row],[FullProgCode]]&amp;"/1"</f>
        <v>ghj/TC/Jan/1</v>
      </c>
      <c r="K18" t="str">
        <f>tblProg[[#This Row],[Base Code]]&amp;"/"&amp;tblProg[[#This Row],[Campus]]&amp;"/"&amp;tblProg[[#This Row],[Intake]]</f>
        <v>ghj/Palmerston Rd/Jan</v>
      </c>
    </row>
    <row r="19" spans="1:11">
      <c r="A19">
        <v>200021</v>
      </c>
      <c r="B19" t="s">
        <v>40</v>
      </c>
      <c r="C19" t="s">
        <v>51</v>
      </c>
      <c r="D19" t="s">
        <v>52</v>
      </c>
      <c r="E19" t="str">
        <f>INDEX(tblCampus[CampusCode], MATCH(tblProg[[#This Row],[Campus]], tblCampus[CampusName], 0))</f>
        <v>CHB</v>
      </c>
      <c r="F19" s="13" t="s">
        <v>43</v>
      </c>
      <c r="G19" t="str">
        <f>tblProg[[#This Row],[Base Code]]&amp;"/"&amp;tblProg[[#This Row],[Pregion]]&amp;"/"&amp;tblProg[[#This Row],[Intake]]</f>
        <v>zxc/CHB/Jan</v>
      </c>
      <c r="H19" t="s">
        <v>48</v>
      </c>
      <c r="I19" t="str">
        <f>tblProg[[#This Row],[Programme Title]]&amp;" - "&amp;tblProg[[#This Row],[Campus]]&amp;" - "&amp;tblProg[[#This Row],[Intake]]</f>
        <v>vcxzcvzxcvzxcvzx - Waipukurau - Jan</v>
      </c>
      <c r="J19" t="str">
        <f>tblProg[[#This Row],[FullProgCode]]&amp;"/1"</f>
        <v>zxc/CHB/Jan/1</v>
      </c>
      <c r="K19" t="str">
        <f>tblProg[[#This Row],[Base Code]]&amp;"/"&amp;tblProg[[#This Row],[Campus]]&amp;"/"&amp;tblProg[[#This Row],[Intake]]</f>
        <v>zxc/Waipukurau/Jan</v>
      </c>
    </row>
    <row r="20" spans="1:11">
      <c r="A20">
        <v>200022</v>
      </c>
      <c r="B20" t="s">
        <v>40</v>
      </c>
      <c r="C20" t="s">
        <v>53</v>
      </c>
      <c r="D20" t="s">
        <v>54</v>
      </c>
      <c r="E20" t="str">
        <f>INDEX(tblCampus[CampusCode], MATCH(tblProg[[#This Row],[Campus]], tblCampus[CampusName], 0))</f>
        <v>HB</v>
      </c>
      <c r="F20" s="14" t="s">
        <v>55</v>
      </c>
      <c r="G20" t="str">
        <f>tblProg[[#This Row],[Base Code]]&amp;"/"&amp;tblProg[[#This Row],[Pregion]]&amp;"/"&amp;tblProg[[#This Row],[Intake]]</f>
        <v>asdf/HB/Dec24</v>
      </c>
      <c r="H20" t="s">
        <v>15</v>
      </c>
      <c r="I20" t="str">
        <f>tblProg[[#This Row],[Programme Title]]&amp;" - "&amp;tblProg[[#This Row],[Campus]]&amp;" - "&amp;tblProg[[#This Row],[Intake]]</f>
        <v>asdfasdfasdf - Taradale - Dec24</v>
      </c>
      <c r="J20" t="str">
        <f>tblProg[[#This Row],[FullProgCode]]&amp;"/1"</f>
        <v>asdf/HB/Dec24/1</v>
      </c>
      <c r="K20" t="str">
        <f>tblProg[[#This Row],[Base Code]]&amp;"/"&amp;tblProg[[#This Row],[Campus]]&amp;"/"&amp;tblProg[[#This Row],[Intake]]</f>
        <v>asdf/Taradale/Dec24</v>
      </c>
    </row>
    <row r="21" spans="1:11">
      <c r="A21">
        <v>200023</v>
      </c>
      <c r="B21" t="s">
        <v>40</v>
      </c>
      <c r="C21" t="s">
        <v>53</v>
      </c>
      <c r="D21" t="s">
        <v>54</v>
      </c>
      <c r="E21" t="str">
        <f>INDEX(tblCampus[CampusCode], MATCH(tblProg[[#This Row],[Campus]], tblCampus[CampusName], 0))</f>
        <v>HB</v>
      </c>
      <c r="F21" s="14" t="s">
        <v>56</v>
      </c>
      <c r="G21" t="str">
        <f>tblProg[[#This Row],[Base Code]]&amp;"/"&amp;tblProg[[#This Row],[Pregion]]&amp;"/"&amp;tblProg[[#This Row],[Intake]]</f>
        <v>asdf/HB/Oct24</v>
      </c>
      <c r="H21" t="s">
        <v>15</v>
      </c>
      <c r="I21" t="str">
        <f>tblProg[[#This Row],[Programme Title]]&amp;" - "&amp;tblProg[[#This Row],[Campus]]&amp;" - "&amp;tblProg[[#This Row],[Intake]]</f>
        <v>asdfasdfasdf - Taradale - Oct24</v>
      </c>
      <c r="J21" t="str">
        <f>tblProg[[#This Row],[FullProgCode]]&amp;"/1"</f>
        <v>asdf/HB/Oct24/1</v>
      </c>
      <c r="K21" t="str">
        <f>tblProg[[#This Row],[Base Code]]&amp;"/"&amp;tblProg[[#This Row],[Campus]]&amp;"/"&amp;tblProg[[#This Row],[Intake]]</f>
        <v>asdf/Taradale/Oct24</v>
      </c>
    </row>
    <row r="22" spans="1:11">
      <c r="A22">
        <v>200024</v>
      </c>
      <c r="B22" t="s">
        <v>28</v>
      </c>
      <c r="C22" t="s">
        <v>30</v>
      </c>
      <c r="D22" t="s">
        <v>57</v>
      </c>
      <c r="E22" t="str">
        <f>INDEX(tblCampus[CampusCode], MATCH(tblProg[[#This Row],[Campus]], tblCampus[CampusName], 0))</f>
        <v>HB</v>
      </c>
      <c r="F22" s="14" t="s">
        <v>58</v>
      </c>
      <c r="G22" t="str">
        <f>tblProg[[#This Row],[Base Code]]&amp;"/"&amp;tblProg[[#This Row],[Pregion]]&amp;"/"&amp;tblProg[[#This Row],[Intake]]</f>
        <v>soct/HB/Nov24</v>
      </c>
      <c r="H22" t="s">
        <v>15</v>
      </c>
      <c r="I22" t="str">
        <f>tblProg[[#This Row],[Programme Title]]&amp;" - "&amp;tblProg[[#This Row],[Campus]]&amp;" - "&amp;tblProg[[#This Row],[Intake]]</f>
        <v>Test - Taradale - Nov24</v>
      </c>
      <c r="J22" t="str">
        <f>tblProg[[#This Row],[FullProgCode]]&amp;"/1"</f>
        <v>soct/HB/Nov24/1</v>
      </c>
      <c r="K22" t="str">
        <f>tblProg[[#This Row],[Base Code]]&amp;"/"&amp;tblProg[[#This Row],[Campus]]&amp;"/"&amp;tblProg[[#This Row],[Intake]]</f>
        <v>soct/Taradale/Nov24</v>
      </c>
    </row>
    <row r="23" spans="1:11">
      <c r="A23">
        <v>200025</v>
      </c>
      <c r="B23" t="s">
        <v>28</v>
      </c>
      <c r="C23" t="s">
        <v>59</v>
      </c>
      <c r="D23" t="s">
        <v>57</v>
      </c>
      <c r="E23" t="str">
        <f>INDEX(tblCampus[CampusCode], MATCH(tblProg[[#This Row],[Campus]], tblCampus[CampusName], 0))</f>
        <v>HB</v>
      </c>
      <c r="F23" s="14" t="s">
        <v>55</v>
      </c>
      <c r="G23" t="str">
        <f>tblProg[[#This Row],[Base Code]]&amp;"/"&amp;tblProg[[#This Row],[Pregion]]&amp;"/"&amp;tblProg[[#This Row],[Intake]]</f>
        <v>soct/HB/Dec24</v>
      </c>
      <c r="H23" t="s">
        <v>15</v>
      </c>
      <c r="I23" t="str">
        <f>tblProg[[#This Row],[Programme Title]]&amp;" - "&amp;tblProg[[#This Row],[Campus]]&amp;" - "&amp;tblProg[[#This Row],[Intake]]</f>
        <v>zxcv - Taradale - Dec24</v>
      </c>
      <c r="J23" t="str">
        <f>tblProg[[#This Row],[FullProgCode]]&amp;"/1"</f>
        <v>soct/HB/Dec24/1</v>
      </c>
      <c r="K23" t="str">
        <f>tblProg[[#This Row],[Base Code]]&amp;"/"&amp;tblProg[[#This Row],[Campus]]&amp;"/"&amp;tblProg[[#This Row],[Intake]]</f>
        <v>soct/Taradale/Dec24</v>
      </c>
    </row>
    <row r="24" spans="1:11">
      <c r="A24">
        <v>200026</v>
      </c>
      <c r="B24" t="s">
        <v>40</v>
      </c>
      <c r="C24" t="s">
        <v>46</v>
      </c>
      <c r="D24" t="s">
        <v>60</v>
      </c>
      <c r="E24" t="str">
        <f>INDEX(tblCampus[CampusCode], MATCH(tblProg[[#This Row],[Campus]], tblCampus[CampusName], 0))</f>
        <v>CHB</v>
      </c>
      <c r="F24" s="14" t="s">
        <v>43</v>
      </c>
      <c r="G24" t="str">
        <f>tblProg[[#This Row],[Base Code]]&amp;"/"&amp;tblProg[[#This Row],[Pregion]]&amp;"/"&amp;tblProg[[#This Row],[Intake]]</f>
        <v>rty/CHB/Jan</v>
      </c>
      <c r="H24" t="s">
        <v>48</v>
      </c>
      <c r="I24" t="str">
        <f>tblProg[[#This Row],[Programme Title]]&amp;" - "&amp;tblProg[[#This Row],[Campus]]&amp;" - "&amp;tblProg[[#This Row],[Intake]]</f>
        <v>qwer - Waipukurau - Jan</v>
      </c>
      <c r="J24" t="str">
        <f>tblProg[[#This Row],[FullProgCode]]&amp;"/1"</f>
        <v>rty/CHB/Jan/1</v>
      </c>
      <c r="K24" t="str">
        <f>tblProg[[#This Row],[Base Code]]&amp;"/"&amp;tblProg[[#This Row],[Campus]]&amp;"/"&amp;tblProg[[#This Row],[Intake]]</f>
        <v>rty/Waipukurau/Jan</v>
      </c>
    </row>
    <row r="25" spans="1:11">
      <c r="A25">
        <v>200027</v>
      </c>
      <c r="B25" t="s">
        <v>28</v>
      </c>
      <c r="C25" t="s">
        <v>61</v>
      </c>
      <c r="D25" t="s">
        <v>60</v>
      </c>
      <c r="E25" t="str">
        <f>INDEX(tblCampus[CampusCode], MATCH(tblProg[[#This Row],[Campus]], tblCampus[CampusName], 0))</f>
        <v>CHB</v>
      </c>
      <c r="F25" s="14" t="s">
        <v>14</v>
      </c>
      <c r="G25" t="str">
        <f>tblProg[[#This Row],[Base Code]]&amp;"/"&amp;tblProg[[#This Row],[Pregion]]&amp;"/"&amp;tblProg[[#This Row],[Intake]]</f>
        <v>rty/CHB/Feb</v>
      </c>
      <c r="H25" t="s">
        <v>48</v>
      </c>
      <c r="I25" t="str">
        <f>tblProg[[#This Row],[Programme Title]]&amp;" - "&amp;tblProg[[#This Row],[Campus]]&amp;" - "&amp;tblProg[[#This Row],[Intake]]</f>
        <v>rewq - Waipukurau - Feb</v>
      </c>
      <c r="J25" t="str">
        <f>tblProg[[#This Row],[FullProgCode]]&amp;"/1"</f>
        <v>rty/CHB/Feb/1</v>
      </c>
      <c r="K25" t="str">
        <f>tblProg[[#This Row],[Base Code]]&amp;"/"&amp;tblProg[[#This Row],[Campus]]&amp;"/"&amp;tblProg[[#This Row],[Intake]]</f>
        <v>rty/Waipukurau/Feb</v>
      </c>
    </row>
    <row r="26" spans="1:11">
      <c r="A26">
        <v>200028</v>
      </c>
      <c r="B26" t="s">
        <v>40</v>
      </c>
      <c r="C26" t="s">
        <v>62</v>
      </c>
      <c r="D26" t="s">
        <v>54</v>
      </c>
      <c r="E26" t="str">
        <f>INDEX(tblCampus[CampusCode], MATCH(tblProg[[#This Row],[Campus]], tblCampus[CampusName], 0))</f>
        <v>HB</v>
      </c>
      <c r="F26" s="14" t="s">
        <v>63</v>
      </c>
      <c r="G26" t="str">
        <f>tblProg[[#This Row],[Base Code]]&amp;"/"&amp;tblProg[[#This Row],[Pregion]]&amp;"/"&amp;tblProg[[#This Row],[Intake]]</f>
        <v>asdf/HB/Aug24</v>
      </c>
      <c r="H26" t="s">
        <v>15</v>
      </c>
      <c r="I26" t="str">
        <f>tblProg[[#This Row],[Programme Title]]&amp;" - "&amp;tblProg[[#This Row],[Campus]]&amp;" - "&amp;tblProg[[#This Row],[Intake]]</f>
        <v>ghghghghg - Taradale - Aug24</v>
      </c>
      <c r="J26" t="str">
        <f>tblProg[[#This Row],[FullProgCode]]&amp;"/1"</f>
        <v>asdf/HB/Aug24/1</v>
      </c>
      <c r="K26" t="str">
        <f>tblProg[[#This Row],[Base Code]]&amp;"/"&amp;tblProg[[#This Row],[Campus]]&amp;"/"&amp;tblProg[[#This Row],[Intake]]</f>
        <v>asdf/Taradale/Aug24</v>
      </c>
    </row>
    <row r="27" spans="1:11">
      <c r="A27">
        <v>200029</v>
      </c>
      <c r="B27" t="s">
        <v>40</v>
      </c>
      <c r="C27" t="s">
        <v>64</v>
      </c>
      <c r="D27" t="s">
        <v>65</v>
      </c>
      <c r="E27" t="str">
        <f>INDEX(tblCampus[CampusCode], MATCH(tblProg[[#This Row],[Campus]], tblCampus[CampusName], 0))</f>
        <v>HB</v>
      </c>
      <c r="F27" s="14" t="s">
        <v>63</v>
      </c>
      <c r="G27" t="str">
        <f>tblProg[[#This Row],[Base Code]]&amp;"/"&amp;tblProg[[#This Row],[Pregion]]&amp;"/"&amp;tblProg[[#This Row],[Intake]]</f>
        <v>asdflkjh/HB/Aug24</v>
      </c>
      <c r="H27" t="s">
        <v>15</v>
      </c>
      <c r="I27" t="str">
        <f>tblProg[[#This Row],[Programme Title]]&amp;" - "&amp;tblProg[[#This Row],[Campus]]&amp;" - "&amp;tblProg[[#This Row],[Intake]]</f>
        <v>hjkl - Taradale - Aug24</v>
      </c>
      <c r="J27" t="str">
        <f>tblProg[[#This Row],[FullProgCode]]&amp;"/1"</f>
        <v>asdflkjh/HB/Aug24/1</v>
      </c>
      <c r="K27" t="str">
        <f>tblProg[[#This Row],[Base Code]]&amp;"/"&amp;tblProg[[#This Row],[Campus]]&amp;"/"&amp;tblProg[[#This Row],[Intake]]</f>
        <v>asdflkjh/Taradale/Aug24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8DB0-48FB-42B4-801F-DD7C95E78B24}">
  <sheetPr codeName="Courses"/>
  <dimension ref="A1:O113"/>
  <sheetViews>
    <sheetView tabSelected="1" workbookViewId="0">
      <selection activeCell="N14" sqref="N14"/>
    </sheetView>
  </sheetViews>
  <sheetFormatPr defaultColWidth="8.875" defaultRowHeight="14.25"/>
  <cols>
    <col min="1" max="1" width="11.875" bestFit="1" customWidth="1"/>
    <col min="2" max="2" width="39.625" bestFit="1" customWidth="1"/>
    <col min="3" max="3" width="14.625" bestFit="1" customWidth="1"/>
    <col min="4" max="4" width="11" bestFit="1" customWidth="1"/>
    <col min="5" max="5" width="10.375" bestFit="1" customWidth="1"/>
    <col min="6" max="6" width="12.625" bestFit="1" customWidth="1"/>
    <col min="7" max="7" width="13.5" bestFit="1" customWidth="1"/>
    <col min="8" max="8" width="11.5" bestFit="1" customWidth="1"/>
    <col min="9" max="9" width="18.125" bestFit="1" customWidth="1"/>
    <col min="10" max="10" width="11.375" bestFit="1" customWidth="1"/>
    <col min="11" max="11" width="14" bestFit="1" customWidth="1"/>
    <col min="12" max="12" width="60.5" bestFit="1" customWidth="1"/>
    <col min="13" max="13" width="15.375" bestFit="1" customWidth="1"/>
    <col min="14" max="14" width="15.5" bestFit="1" customWidth="1"/>
    <col min="15" max="15" width="27.5" bestFit="1" customWidth="1"/>
  </cols>
  <sheetData>
    <row r="1" spans="1:15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</row>
    <row r="2" spans="1:15">
      <c r="A2">
        <v>697</v>
      </c>
      <c r="B2" t="s">
        <v>81</v>
      </c>
      <c r="C2" t="s">
        <v>82</v>
      </c>
      <c r="D2" t="s">
        <v>83</v>
      </c>
      <c r="E2" t="s">
        <v>14</v>
      </c>
      <c r="F2">
        <v>79</v>
      </c>
      <c r="G2" t="s">
        <v>72</v>
      </c>
      <c r="H2" t="s">
        <v>11</v>
      </c>
      <c r="I2" t="str">
        <f>tblCourse[[#This Row],[CourseCode]]&amp;"/"&amp;tblCourse[[#This Row],[CRegion]]&amp;"/"&amp;tblCourse[[#This Row],[CIntake]]</f>
        <v>AC4.01/HB/Feb</v>
      </c>
      <c r="J2" t="b">
        <v>0</v>
      </c>
      <c r="K2" t="str">
        <f>INDEX(tblCampus[CampusName],MATCH(tblCourse[[#This Row],[CRegion]],tblCampus[CampusCode],))</f>
        <v>Taradale</v>
      </c>
      <c r="L2" t="str">
        <f>tblCourse[[#This Row],[CourseDescript]]&amp;"  -  "&amp;tblCourse[[#This Row],[Ccampus]]&amp;"  -  "&amp;tblCourse[[#This Row],[CIntake]]</f>
        <v>Accrual Accounting  -  Taradale  -  Feb</v>
      </c>
      <c r="M2" t="str">
        <f>tblCourse[[#This Row],[ProgFullCode]]&amp;"/1"</f>
        <v>CBASS/HB/Feb/1</v>
      </c>
      <c r="N2" t="str">
        <f>INDEX(Programmes!G:G,MATCH(tblCourse[[#This Row],[ProgNumb]],Programmes!A:A,))</f>
        <v>CBASS/HB/Feb</v>
      </c>
      <c r="O2" t="str">
        <f>tblCourse[[#This Row],[CourseCode]]&amp;"/"&amp;tblCourse[[#This Row],[Ccampus]]&amp;"/"&amp;tblCourse[[#This Row],[CIntake]]</f>
        <v>AC4.01/Taradale/Feb</v>
      </c>
    </row>
    <row r="3" spans="1:15">
      <c r="A3">
        <v>698</v>
      </c>
      <c r="B3" t="s">
        <v>84</v>
      </c>
      <c r="C3" t="s">
        <v>85</v>
      </c>
      <c r="D3" t="s">
        <v>83</v>
      </c>
      <c r="E3" t="s">
        <v>14</v>
      </c>
      <c r="F3">
        <v>79</v>
      </c>
      <c r="G3" t="s">
        <v>72</v>
      </c>
      <c r="H3" t="s">
        <v>11</v>
      </c>
      <c r="I3" t="str">
        <f>tblCourse[[#This Row],[CourseCode]]&amp;"/"&amp;tblCourse[[#This Row],[CRegion]]&amp;"/"&amp;tblCourse[[#This Row],[CIntake]]</f>
        <v>AC4.02/HB/Feb</v>
      </c>
      <c r="J3" t="b">
        <v>0</v>
      </c>
      <c r="K3" t="str">
        <f>INDEX(tblCampus[CampusName],MATCH(tblCourse[[#This Row],[CRegion]],tblCampus[CampusCode],))</f>
        <v>Taradale</v>
      </c>
      <c r="L3" t="str">
        <f>tblCourse[[#This Row],[CourseDescript]]&amp;"  -  "&amp;tblCourse[[#This Row],[Ccampus]]&amp;"  -  "&amp;tblCourse[[#This Row],[CIntake]]</f>
        <v>Accounting for Taxation  -  Taradale  -  Feb</v>
      </c>
      <c r="M3" t="str">
        <f>tblCourse[[#This Row],[ProgFullCode]]&amp;"/1"</f>
        <v>CBASS/HB/Feb/1</v>
      </c>
      <c r="N3" t="str">
        <f>INDEX(Programmes!G:G,MATCH(tblCourse[[#This Row],[ProgNumb]],Programmes!A:A,))</f>
        <v>CBASS/HB/Feb</v>
      </c>
      <c r="O3" t="str">
        <f>tblCourse[[#This Row],[CourseCode]]&amp;"/"&amp;tblCourse[[#This Row],[Ccampus]]&amp;"/"&amp;tblCourse[[#This Row],[CIntake]]</f>
        <v>AC4.02/Taradale/Feb</v>
      </c>
    </row>
    <row r="4" spans="1:15">
      <c r="A4">
        <v>699</v>
      </c>
      <c r="B4" t="s">
        <v>86</v>
      </c>
      <c r="C4" t="s">
        <v>87</v>
      </c>
      <c r="D4" t="s">
        <v>83</v>
      </c>
      <c r="E4" t="s">
        <v>88</v>
      </c>
      <c r="F4">
        <v>79</v>
      </c>
      <c r="G4" t="s">
        <v>72</v>
      </c>
      <c r="H4" t="s">
        <v>11</v>
      </c>
      <c r="I4" t="str">
        <f>tblCourse[[#This Row],[CourseCode]]&amp;"/"&amp;tblCourse[[#This Row],[CRegion]]&amp;"/"&amp;tblCourse[[#This Row],[CIntake]]</f>
        <v>AC4.03/HB/Apr</v>
      </c>
      <c r="J4" t="b">
        <v>0</v>
      </c>
      <c r="K4" t="str">
        <f>INDEX(tblCampus[CampusName],MATCH(tblCourse[[#This Row],[CRegion]],tblCampus[CampusCode],))</f>
        <v>Taradale</v>
      </c>
      <c r="L4" t="str">
        <f>tblCourse[[#This Row],[CourseDescript]]&amp;"  -  "&amp;tblCourse[[#This Row],[Ccampus]]&amp;"  -  "&amp;tblCourse[[#This Row],[CIntake]]</f>
        <v>Accounting Software  -  Taradale  -  Apr</v>
      </c>
      <c r="M4" t="str">
        <f>tblCourse[[#This Row],[ProgFullCode]]&amp;"/1"</f>
        <v>CBASS/HB/Feb/1</v>
      </c>
      <c r="N4" t="str">
        <f>INDEX(Programmes!G:G,MATCH(tblCourse[[#This Row],[ProgNumb]],Programmes!A:A,))</f>
        <v>CBASS/HB/Feb</v>
      </c>
      <c r="O4" t="str">
        <f>tblCourse[[#This Row],[CourseCode]]&amp;"/"&amp;tblCourse[[#This Row],[Ccampus]]&amp;"/"&amp;tblCourse[[#This Row],[CIntake]]</f>
        <v>AC4.03/Taradale/Apr</v>
      </c>
    </row>
    <row r="5" spans="1:15">
      <c r="A5">
        <v>700</v>
      </c>
      <c r="B5" t="s">
        <v>89</v>
      </c>
      <c r="C5" t="s">
        <v>90</v>
      </c>
      <c r="D5" t="s">
        <v>83</v>
      </c>
      <c r="E5" t="s">
        <v>88</v>
      </c>
      <c r="F5">
        <v>79</v>
      </c>
      <c r="G5" t="s">
        <v>72</v>
      </c>
      <c r="H5" t="s">
        <v>11</v>
      </c>
      <c r="I5" t="str">
        <f>tblCourse[[#This Row],[CourseCode]]&amp;"/"&amp;tblCourse[[#This Row],[CRegion]]&amp;"/"&amp;tblCourse[[#This Row],[CIntake]]</f>
        <v>AC4.04/HB/Apr</v>
      </c>
      <c r="J5" t="b">
        <v>0</v>
      </c>
      <c r="K5" t="str">
        <f>INDEX(tblCampus[CampusName],MATCH(tblCourse[[#This Row],[CRegion]],tblCampus[CampusCode],))</f>
        <v>Taradale</v>
      </c>
      <c r="L5" t="str">
        <f>tblCourse[[#This Row],[CourseDescript]]&amp;"  -  "&amp;tblCourse[[#This Row],[Ccampus]]&amp;"  -  "&amp;tblCourse[[#This Row],[CIntake]]</f>
        <v>Payroll  -  Taradale  -  Apr</v>
      </c>
      <c r="M5" t="str">
        <f>tblCourse[[#This Row],[ProgFullCode]]&amp;"/1"</f>
        <v>CBASS/HB/Feb/1</v>
      </c>
      <c r="N5" t="str">
        <f>INDEX(Programmes!G:G,MATCH(tblCourse[[#This Row],[ProgNumb]],Programmes!A:A,))</f>
        <v>CBASS/HB/Feb</v>
      </c>
      <c r="O5" t="str">
        <f>tblCourse[[#This Row],[CourseCode]]&amp;"/"&amp;tblCourse[[#This Row],[Ccampus]]&amp;"/"&amp;tblCourse[[#This Row],[CIntake]]</f>
        <v>AC4.04/Taradale/Apr</v>
      </c>
    </row>
    <row r="6" spans="1:15">
      <c r="A6">
        <v>291</v>
      </c>
      <c r="B6" t="s">
        <v>91</v>
      </c>
      <c r="C6" t="s">
        <v>92</v>
      </c>
      <c r="D6" t="s">
        <v>83</v>
      </c>
      <c r="E6" t="s">
        <v>14</v>
      </c>
      <c r="F6">
        <v>82</v>
      </c>
      <c r="G6" t="s">
        <v>72</v>
      </c>
      <c r="H6" t="s">
        <v>11</v>
      </c>
      <c r="I6" t="str">
        <f>tblCourse[[#This Row],[CourseCode]]&amp;"/"&amp;tblCourse[[#This Row],[CRegion]]&amp;"/"&amp;tblCourse[[#This Row],[CIntake]]</f>
        <v>ACCY5101/HB/Feb</v>
      </c>
      <c r="J6" t="b">
        <v>0</v>
      </c>
      <c r="K6" t="str">
        <f>INDEX(tblCampus[CampusName],MATCH(tblCourse[[#This Row],[CRegion]],tblCampus[CampusCode],))</f>
        <v>Taradale</v>
      </c>
      <c r="L6" t="str">
        <f>tblCourse[[#This Row],[CourseDescript]]&amp;"  -  "&amp;tblCourse[[#This Row],[Ccampus]]&amp;"  -  "&amp;tblCourse[[#This Row],[CIntake]]</f>
        <v>Introduction to Accounting and Taxation  -  Taradale  -  Feb</v>
      </c>
      <c r="M6" t="str">
        <f>tblCourse[[#This Row],[ProgFullCode]]&amp;"/1"</f>
        <v>NZDB/HB/Feb/1</v>
      </c>
      <c r="N6" t="str">
        <f>INDEX(Programmes!G:G,MATCH(tblCourse[[#This Row],[ProgNumb]],Programmes!A:A,))</f>
        <v>NZDB/HB/Feb</v>
      </c>
      <c r="O6" t="str">
        <f>tblCourse[[#This Row],[CourseCode]]&amp;"/"&amp;tblCourse[[#This Row],[Ccampus]]&amp;"/"&amp;tblCourse[[#This Row],[CIntake]]</f>
        <v>ACCY5101/Taradale/Feb</v>
      </c>
    </row>
    <row r="7" spans="1:15">
      <c r="A7">
        <v>293</v>
      </c>
      <c r="B7" t="s">
        <v>91</v>
      </c>
      <c r="C7" t="s">
        <v>92</v>
      </c>
      <c r="D7" t="s">
        <v>83</v>
      </c>
      <c r="E7" t="s">
        <v>20</v>
      </c>
      <c r="F7">
        <v>82</v>
      </c>
      <c r="G7" t="s">
        <v>72</v>
      </c>
      <c r="H7" t="s">
        <v>11</v>
      </c>
      <c r="I7" t="str">
        <f>tblCourse[[#This Row],[CourseCode]]&amp;"/"&amp;tblCourse[[#This Row],[CRegion]]&amp;"/"&amp;tblCourse[[#This Row],[CIntake]]</f>
        <v>ACCY5101/HB/Jul</v>
      </c>
      <c r="J7" t="b">
        <v>0</v>
      </c>
      <c r="K7" t="str">
        <f>INDEX(tblCampus[CampusName],MATCH(tblCourse[[#This Row],[CRegion]],tblCampus[CampusCode],))</f>
        <v>Taradale</v>
      </c>
      <c r="L7" t="str">
        <f>tblCourse[[#This Row],[CourseDescript]]&amp;"  -  "&amp;tblCourse[[#This Row],[Ccampus]]&amp;"  -  "&amp;tblCourse[[#This Row],[CIntake]]</f>
        <v>Introduction to Accounting and Taxation  -  Taradale  -  Jul</v>
      </c>
      <c r="M7" t="str">
        <f>tblCourse[[#This Row],[ProgFullCode]]&amp;"/1"</f>
        <v>NZDB/HB/Feb/1</v>
      </c>
      <c r="N7" t="str">
        <f>INDEX(Programmes!G:G,MATCH(tblCourse[[#This Row],[ProgNumb]],Programmes!A:A,))</f>
        <v>NZDB/HB/Feb</v>
      </c>
      <c r="O7" t="str">
        <f>tblCourse[[#This Row],[CourseCode]]&amp;"/"&amp;tblCourse[[#This Row],[Ccampus]]&amp;"/"&amp;tblCourse[[#This Row],[CIntake]]</f>
        <v>ACCY5101/Taradale/Jul</v>
      </c>
    </row>
    <row r="8" spans="1:15">
      <c r="A8">
        <v>292</v>
      </c>
      <c r="B8" t="s">
        <v>91</v>
      </c>
      <c r="C8" t="s">
        <v>92</v>
      </c>
      <c r="D8" t="s">
        <v>93</v>
      </c>
      <c r="E8" t="s">
        <v>14</v>
      </c>
      <c r="F8">
        <v>81</v>
      </c>
      <c r="G8" t="s">
        <v>72</v>
      </c>
      <c r="H8" t="s">
        <v>11</v>
      </c>
      <c r="I8" t="str">
        <f>tblCourse[[#This Row],[CourseCode]]&amp;"/"&amp;tblCourse[[#This Row],[CRegion]]&amp;"/"&amp;tblCourse[[#This Row],[CIntake]]</f>
        <v>ACCY5101/TC/Feb</v>
      </c>
      <c r="J8" t="b">
        <v>0</v>
      </c>
      <c r="K8" t="str">
        <f>INDEX(tblCampus[CampusName],MATCH(tblCourse[[#This Row],[CRegion]],tblCampus[CampusCode],))</f>
        <v>Palmerston Rd</v>
      </c>
      <c r="L8" t="str">
        <f>tblCourse[[#This Row],[CourseDescript]]&amp;"  -  "&amp;tblCourse[[#This Row],[Ccampus]]&amp;"  -  "&amp;tblCourse[[#This Row],[CIntake]]</f>
        <v>Introduction to Accounting and Taxation  -  Palmerston Rd  -  Feb</v>
      </c>
      <c r="M8" t="str">
        <f>tblCourse[[#This Row],[ProgFullCode]]&amp;"/1"</f>
        <v>NZDB/TC/Feb/1</v>
      </c>
      <c r="N8" t="str">
        <f>INDEX(Programmes!G:G,MATCH(tblCourse[[#This Row],[ProgNumb]],Programmes!A:A,))</f>
        <v>NZDB/TC/Feb</v>
      </c>
      <c r="O8" t="str">
        <f>tblCourse[[#This Row],[CourseCode]]&amp;"/"&amp;tblCourse[[#This Row],[Ccampus]]&amp;"/"&amp;tblCourse[[#This Row],[CIntake]]</f>
        <v>ACCY5101/Palmerston Rd/Feb</v>
      </c>
    </row>
    <row r="9" spans="1:15">
      <c r="A9">
        <v>294</v>
      </c>
      <c r="B9" t="s">
        <v>91</v>
      </c>
      <c r="C9" t="s">
        <v>92</v>
      </c>
      <c r="D9" t="s">
        <v>93</v>
      </c>
      <c r="E9" t="s">
        <v>20</v>
      </c>
      <c r="F9">
        <v>81</v>
      </c>
      <c r="G9" t="s">
        <v>72</v>
      </c>
      <c r="H9" t="s">
        <v>11</v>
      </c>
      <c r="I9" t="str">
        <f>tblCourse[[#This Row],[CourseCode]]&amp;"/"&amp;tblCourse[[#This Row],[CRegion]]&amp;"/"&amp;tblCourse[[#This Row],[CIntake]]</f>
        <v>ACCY5101/TC/Jul</v>
      </c>
      <c r="J9" t="b">
        <v>0</v>
      </c>
      <c r="K9" t="str">
        <f>INDEX(tblCampus[CampusName],MATCH(tblCourse[[#This Row],[CRegion]],tblCampus[CampusCode],))</f>
        <v>Palmerston Rd</v>
      </c>
      <c r="L9" t="str">
        <f>tblCourse[[#This Row],[CourseDescript]]&amp;"  -  "&amp;tblCourse[[#This Row],[Ccampus]]&amp;"  -  "&amp;tblCourse[[#This Row],[CIntake]]</f>
        <v>Introduction to Accounting and Taxation  -  Palmerston Rd  -  Jul</v>
      </c>
      <c r="M9" t="str">
        <f>tblCourse[[#This Row],[ProgFullCode]]&amp;"/1"</f>
        <v>NZDB/TC/Feb/1</v>
      </c>
      <c r="N9" t="str">
        <f>INDEX(Programmes!G:G,MATCH(tblCourse[[#This Row],[ProgNumb]],Programmes!A:A,))</f>
        <v>NZDB/TC/Feb</v>
      </c>
      <c r="O9" t="str">
        <f>tblCourse[[#This Row],[CourseCode]]&amp;"/"&amp;tblCourse[[#This Row],[Ccampus]]&amp;"/"&amp;tblCourse[[#This Row],[CIntake]]</f>
        <v>ACCY5101/Palmerston Rd/Jul</v>
      </c>
    </row>
    <row r="10" spans="1:15">
      <c r="A10">
        <v>295</v>
      </c>
      <c r="B10" t="s">
        <v>94</v>
      </c>
      <c r="C10" t="s">
        <v>95</v>
      </c>
      <c r="D10" t="s">
        <v>83</v>
      </c>
      <c r="E10" t="s">
        <v>14</v>
      </c>
      <c r="F10">
        <v>82</v>
      </c>
      <c r="G10" t="s">
        <v>72</v>
      </c>
      <c r="H10" t="s">
        <v>11</v>
      </c>
      <c r="I10" t="str">
        <f>tblCourse[[#This Row],[CourseCode]]&amp;"/"&amp;tblCourse[[#This Row],[CRegion]]&amp;"/"&amp;tblCourse[[#This Row],[CIntake]]</f>
        <v>ACCY5102/HB/Feb</v>
      </c>
      <c r="J10" t="b">
        <v>0</v>
      </c>
      <c r="K10" t="str">
        <f>INDEX(tblCampus[CampusName],MATCH(tblCourse[[#This Row],[CRegion]],tblCampus[CampusCode],))</f>
        <v>Taradale</v>
      </c>
      <c r="L10" t="str">
        <f>tblCourse[[#This Row],[CourseDescript]]&amp;"  -  "&amp;tblCourse[[#This Row],[Ccampus]]&amp;"  -  "&amp;tblCourse[[#This Row],[CIntake]]</f>
        <v>Applied Accounting  -  Taradale  -  Feb</v>
      </c>
      <c r="M10" t="str">
        <f>tblCourse[[#This Row],[ProgFullCode]]&amp;"/1"</f>
        <v>NZDB/HB/Feb/1</v>
      </c>
      <c r="N10" t="str">
        <f>INDEX(Programmes!G:G,MATCH(tblCourse[[#This Row],[ProgNumb]],Programmes!A:A,))</f>
        <v>NZDB/HB/Feb</v>
      </c>
      <c r="O10" t="str">
        <f>tblCourse[[#This Row],[CourseCode]]&amp;"/"&amp;tblCourse[[#This Row],[Ccampus]]&amp;"/"&amp;tblCourse[[#This Row],[CIntake]]</f>
        <v>ACCY5102/Taradale/Feb</v>
      </c>
    </row>
    <row r="11" spans="1:15">
      <c r="A11">
        <v>296</v>
      </c>
      <c r="B11" t="s">
        <v>94</v>
      </c>
      <c r="C11" t="s">
        <v>95</v>
      </c>
      <c r="D11" t="s">
        <v>93</v>
      </c>
      <c r="E11" t="s">
        <v>14</v>
      </c>
      <c r="F11">
        <v>81</v>
      </c>
      <c r="G11" t="s">
        <v>72</v>
      </c>
      <c r="H11" t="s">
        <v>11</v>
      </c>
      <c r="I11" t="str">
        <f>tblCourse[[#This Row],[CourseCode]]&amp;"/"&amp;tblCourse[[#This Row],[CRegion]]&amp;"/"&amp;tblCourse[[#This Row],[CIntake]]</f>
        <v>ACCY5102/TC/Feb</v>
      </c>
      <c r="J11" t="b">
        <v>0</v>
      </c>
      <c r="K11" t="str">
        <f>INDEX(tblCampus[CampusName],MATCH(tblCourse[[#This Row],[CRegion]],tblCampus[CampusCode],))</f>
        <v>Palmerston Rd</v>
      </c>
      <c r="L11" t="str">
        <f>tblCourse[[#This Row],[CourseDescript]]&amp;"  -  "&amp;tblCourse[[#This Row],[Ccampus]]&amp;"  -  "&amp;tblCourse[[#This Row],[CIntake]]</f>
        <v>Applied Accounting  -  Palmerston Rd  -  Feb</v>
      </c>
      <c r="M11" t="str">
        <f>tblCourse[[#This Row],[ProgFullCode]]&amp;"/1"</f>
        <v>NZDB/TC/Feb/1</v>
      </c>
      <c r="N11" t="str">
        <f>INDEX(Programmes!G:G,MATCH(tblCourse[[#This Row],[ProgNumb]],Programmes!A:A,))</f>
        <v>NZDB/TC/Feb</v>
      </c>
      <c r="O11" t="str">
        <f>tblCourse[[#This Row],[CourseCode]]&amp;"/"&amp;tblCourse[[#This Row],[Ccampus]]&amp;"/"&amp;tblCourse[[#This Row],[CIntake]]</f>
        <v>ACCY5102/Palmerston Rd/Feb</v>
      </c>
    </row>
    <row r="12" spans="1:15">
      <c r="A12">
        <v>298</v>
      </c>
      <c r="B12" t="s">
        <v>96</v>
      </c>
      <c r="C12" t="s">
        <v>97</v>
      </c>
      <c r="D12" t="s">
        <v>83</v>
      </c>
      <c r="E12" t="s">
        <v>14</v>
      </c>
      <c r="F12">
        <v>82</v>
      </c>
      <c r="G12" t="s">
        <v>72</v>
      </c>
      <c r="H12" t="s">
        <v>11</v>
      </c>
      <c r="I12" t="str">
        <f>tblCourse[[#This Row],[CourseCode]]&amp;"/"&amp;tblCourse[[#This Row],[CRegion]]&amp;"/"&amp;tblCourse[[#This Row],[CIntake]]</f>
        <v>ACCY5103/HB/Feb</v>
      </c>
      <c r="J12" t="b">
        <v>0</v>
      </c>
      <c r="K12" t="str">
        <f>INDEX(tblCampus[CampusName],MATCH(tblCourse[[#This Row],[CRegion]],tblCampus[CampusCode],))</f>
        <v>Taradale</v>
      </c>
      <c r="L12" t="str">
        <f>tblCourse[[#This Row],[CourseDescript]]&amp;"  -  "&amp;tblCourse[[#This Row],[Ccampus]]&amp;"  -  "&amp;tblCourse[[#This Row],[CIntake]]</f>
        <v>Analysis of Financial Information  -  Taradale  -  Feb</v>
      </c>
      <c r="M12" t="str">
        <f>tblCourse[[#This Row],[ProgFullCode]]&amp;"/1"</f>
        <v>NZDB/HB/Feb/1</v>
      </c>
      <c r="N12" t="str">
        <f>INDEX(Programmes!G:G,MATCH(tblCourse[[#This Row],[ProgNumb]],Programmes!A:A,))</f>
        <v>NZDB/HB/Feb</v>
      </c>
      <c r="O12" t="str">
        <f>tblCourse[[#This Row],[CourseCode]]&amp;"/"&amp;tblCourse[[#This Row],[Ccampus]]&amp;"/"&amp;tblCourse[[#This Row],[CIntake]]</f>
        <v>ACCY5103/Taradale/Feb</v>
      </c>
    </row>
    <row r="13" spans="1:15">
      <c r="A13">
        <v>300</v>
      </c>
      <c r="B13" t="s">
        <v>96</v>
      </c>
      <c r="C13" t="s">
        <v>97</v>
      </c>
      <c r="D13" t="s">
        <v>83</v>
      </c>
      <c r="E13" t="s">
        <v>20</v>
      </c>
      <c r="F13">
        <v>82</v>
      </c>
      <c r="G13" t="s">
        <v>72</v>
      </c>
      <c r="H13" t="s">
        <v>11</v>
      </c>
      <c r="I13" t="str">
        <f>tblCourse[[#This Row],[CourseCode]]&amp;"/"&amp;tblCourse[[#This Row],[CRegion]]&amp;"/"&amp;tblCourse[[#This Row],[CIntake]]</f>
        <v>ACCY5103/HB/Jul</v>
      </c>
      <c r="J13" t="b">
        <v>0</v>
      </c>
      <c r="K13" t="str">
        <f>INDEX(tblCampus[CampusName],MATCH(tblCourse[[#This Row],[CRegion]],tblCampus[CampusCode],))</f>
        <v>Taradale</v>
      </c>
      <c r="L13" t="str">
        <f>tblCourse[[#This Row],[CourseDescript]]&amp;"  -  "&amp;tblCourse[[#This Row],[Ccampus]]&amp;"  -  "&amp;tblCourse[[#This Row],[CIntake]]</f>
        <v>Analysis of Financial Information  -  Taradale  -  Jul</v>
      </c>
      <c r="M13" t="str">
        <f>tblCourse[[#This Row],[ProgFullCode]]&amp;"/1"</f>
        <v>NZDB/HB/Feb/1</v>
      </c>
      <c r="N13" t="str">
        <f>INDEX(Programmes!G:G,MATCH(tblCourse[[#This Row],[ProgNumb]],Programmes!A:A,))</f>
        <v>NZDB/HB/Feb</v>
      </c>
      <c r="O13" t="str">
        <f>tblCourse[[#This Row],[CourseCode]]&amp;"/"&amp;tblCourse[[#This Row],[Ccampus]]&amp;"/"&amp;tblCourse[[#This Row],[CIntake]]</f>
        <v>ACCY5103/Taradale/Jul</v>
      </c>
    </row>
    <row r="14" spans="1:15">
      <c r="A14">
        <v>299</v>
      </c>
      <c r="B14" t="s">
        <v>96</v>
      </c>
      <c r="C14" t="s">
        <v>97</v>
      </c>
      <c r="D14" t="s">
        <v>93</v>
      </c>
      <c r="E14" t="s">
        <v>14</v>
      </c>
      <c r="F14">
        <v>81</v>
      </c>
      <c r="G14" t="s">
        <v>72</v>
      </c>
      <c r="H14" t="s">
        <v>11</v>
      </c>
      <c r="I14" t="str">
        <f>tblCourse[[#This Row],[CourseCode]]&amp;"/"&amp;tblCourse[[#This Row],[CRegion]]&amp;"/"&amp;tblCourse[[#This Row],[CIntake]]</f>
        <v>ACCY5103/TC/Feb</v>
      </c>
      <c r="J14" t="b">
        <v>0</v>
      </c>
      <c r="K14" t="str">
        <f>INDEX(tblCampus[CampusName],MATCH(tblCourse[[#This Row],[CRegion]],tblCampus[CampusCode],))</f>
        <v>Palmerston Rd</v>
      </c>
      <c r="L14" t="str">
        <f>tblCourse[[#This Row],[CourseDescript]]&amp;"  -  "&amp;tblCourse[[#This Row],[Ccampus]]&amp;"  -  "&amp;tblCourse[[#This Row],[CIntake]]</f>
        <v>Analysis of Financial Information  -  Palmerston Rd  -  Feb</v>
      </c>
      <c r="M14" t="str">
        <f>tblCourse[[#This Row],[ProgFullCode]]&amp;"/1"</f>
        <v>NZDB/TC/Feb/1</v>
      </c>
      <c r="N14" t="str">
        <f>INDEX(Programmes!G:G,MATCH(tblCourse[[#This Row],[ProgNumb]],Programmes!A:A,))</f>
        <v>NZDB/TC/Feb</v>
      </c>
      <c r="O14" t="str">
        <f>tblCourse[[#This Row],[CourseCode]]&amp;"/"&amp;tblCourse[[#This Row],[Ccampus]]&amp;"/"&amp;tblCourse[[#This Row],[CIntake]]</f>
        <v>ACCY5103/Palmerston Rd/Feb</v>
      </c>
    </row>
    <row r="15" spans="1:15">
      <c r="A15">
        <v>301</v>
      </c>
      <c r="B15" t="s">
        <v>96</v>
      </c>
      <c r="C15" t="s">
        <v>97</v>
      </c>
      <c r="D15" t="s">
        <v>93</v>
      </c>
      <c r="E15" t="s">
        <v>20</v>
      </c>
      <c r="F15">
        <v>81</v>
      </c>
      <c r="G15" t="s">
        <v>72</v>
      </c>
      <c r="H15" t="s">
        <v>11</v>
      </c>
      <c r="I15" t="str">
        <f>tblCourse[[#This Row],[CourseCode]]&amp;"/"&amp;tblCourse[[#This Row],[CRegion]]&amp;"/"&amp;tblCourse[[#This Row],[CIntake]]</f>
        <v>ACCY5103/TC/Jul</v>
      </c>
      <c r="J15" t="b">
        <v>0</v>
      </c>
      <c r="K15" t="str">
        <f>INDEX(tblCampus[CampusName],MATCH(tblCourse[[#This Row],[CRegion]],tblCampus[CampusCode],))</f>
        <v>Palmerston Rd</v>
      </c>
      <c r="L15" t="str">
        <f>tblCourse[[#This Row],[CourseDescript]]&amp;"  -  "&amp;tblCourse[[#This Row],[Ccampus]]&amp;"  -  "&amp;tblCourse[[#This Row],[CIntake]]</f>
        <v>Analysis of Financial Information  -  Palmerston Rd  -  Jul</v>
      </c>
      <c r="M15" t="str">
        <f>tblCourse[[#This Row],[ProgFullCode]]&amp;"/1"</f>
        <v>NZDB/TC/Feb/1</v>
      </c>
      <c r="N15" t="str">
        <f>INDEX(Programmes!G:G,MATCH(tblCourse[[#This Row],[ProgNumb]],Programmes!A:A,))</f>
        <v>NZDB/TC/Feb</v>
      </c>
      <c r="O15" t="str">
        <f>tblCourse[[#This Row],[CourseCode]]&amp;"/"&amp;tblCourse[[#This Row],[Ccampus]]&amp;"/"&amp;tblCourse[[#This Row],[CIntake]]</f>
        <v>ACCY5103/Palmerston Rd/Jul</v>
      </c>
    </row>
    <row r="16" spans="1:15">
      <c r="A16">
        <v>99997</v>
      </c>
      <c r="B16" t="s">
        <v>98</v>
      </c>
      <c r="C16" t="s">
        <v>99</v>
      </c>
      <c r="D16" t="s">
        <v>83</v>
      </c>
      <c r="E16" t="s">
        <v>20</v>
      </c>
      <c r="F16">
        <v>82</v>
      </c>
      <c r="G16" t="s">
        <v>72</v>
      </c>
      <c r="H16" t="s">
        <v>11</v>
      </c>
      <c r="I16" t="str">
        <f>tblCourse[[#This Row],[CourseCode]]&amp;"/"&amp;tblCourse[[#This Row],[CRegion]]&amp;"/"&amp;tblCourse[[#This Row],[CIntake]]</f>
        <v>ACCY5104/HB/Jul</v>
      </c>
      <c r="J16" t="b">
        <v>0</v>
      </c>
      <c r="K16" t="str">
        <f>INDEX(tblCampus[CampusName],MATCH(tblCourse[[#This Row],[CRegion]],tblCampus[CampusCode],))</f>
        <v>Taradale</v>
      </c>
      <c r="L16" t="str">
        <f>tblCourse[[#This Row],[CourseDescript]]&amp;"  -  "&amp;tblCourse[[#This Row],[Ccampus]]&amp;"  -  "&amp;tblCourse[[#This Row],[CIntake]]</f>
        <v>Budgets for Planning &amp; Control  -  Taradale  -  Jul</v>
      </c>
      <c r="M16" t="str">
        <f>tblCourse[[#This Row],[ProgFullCode]]&amp;"/1"</f>
        <v>NZDB/HB/Feb/1</v>
      </c>
      <c r="N16" t="str">
        <f>INDEX(Programmes!G:G,MATCH(tblCourse[[#This Row],[ProgNumb]],Programmes!A:A,))</f>
        <v>NZDB/HB/Feb</v>
      </c>
      <c r="O16" t="str">
        <f>tblCourse[[#This Row],[CourseCode]]&amp;"/"&amp;tblCourse[[#This Row],[Ccampus]]&amp;"/"&amp;tblCourse[[#This Row],[CIntake]]</f>
        <v>ACCY5104/Taradale/Jul</v>
      </c>
    </row>
    <row r="17" spans="1:15">
      <c r="A17">
        <v>304</v>
      </c>
      <c r="B17" t="s">
        <v>98</v>
      </c>
      <c r="C17" t="s">
        <v>99</v>
      </c>
      <c r="D17" t="s">
        <v>93</v>
      </c>
      <c r="E17" t="s">
        <v>20</v>
      </c>
      <c r="F17">
        <v>81</v>
      </c>
      <c r="G17" t="s">
        <v>72</v>
      </c>
      <c r="H17" t="s">
        <v>11</v>
      </c>
      <c r="I17" t="str">
        <f>tblCourse[[#This Row],[CourseCode]]&amp;"/"&amp;tblCourse[[#This Row],[CRegion]]&amp;"/"&amp;tblCourse[[#This Row],[CIntake]]</f>
        <v>ACCY5104/TC/Jul</v>
      </c>
      <c r="J17" t="b">
        <v>0</v>
      </c>
      <c r="K17" t="str">
        <f>INDEX(tblCampus[CampusName],MATCH(tblCourse[[#This Row],[CRegion]],tblCampus[CampusCode],))</f>
        <v>Palmerston Rd</v>
      </c>
      <c r="L17" t="str">
        <f>tblCourse[[#This Row],[CourseDescript]]&amp;"  -  "&amp;tblCourse[[#This Row],[Ccampus]]&amp;"  -  "&amp;tblCourse[[#This Row],[CIntake]]</f>
        <v>Budgets for Planning &amp; Control  -  Palmerston Rd  -  Jul</v>
      </c>
      <c r="M17" t="str">
        <f>tblCourse[[#This Row],[ProgFullCode]]&amp;"/1"</f>
        <v>NZDB/TC/Feb/1</v>
      </c>
      <c r="N17" t="str">
        <f>INDEX(Programmes!G:G,MATCH(tblCourse[[#This Row],[ProgNumb]],Programmes!A:A,))</f>
        <v>NZDB/TC/Feb</v>
      </c>
      <c r="O17" t="str">
        <f>tblCourse[[#This Row],[CourseCode]]&amp;"/"&amp;tblCourse[[#This Row],[Ccampus]]&amp;"/"&amp;tblCourse[[#This Row],[CIntake]]</f>
        <v>ACCY5104/Palmerston Rd/Jul</v>
      </c>
    </row>
    <row r="18" spans="1:15">
      <c r="A18">
        <v>100040</v>
      </c>
      <c r="B18" t="s">
        <v>100</v>
      </c>
      <c r="C18" t="s">
        <v>101</v>
      </c>
      <c r="D18" t="s">
        <v>83</v>
      </c>
      <c r="E18" t="s">
        <v>14</v>
      </c>
      <c r="F18">
        <v>100001</v>
      </c>
      <c r="G18" t="s">
        <v>72</v>
      </c>
      <c r="H18" t="s">
        <v>11</v>
      </c>
      <c r="I18" t="str">
        <f>tblCourse[[#This Row],[CourseCode]]&amp;"/"&amp;tblCourse[[#This Row],[CRegion]]&amp;"/"&amp;tblCourse[[#This Row],[CIntake]]</f>
        <v>ACCY5105/HB/Feb</v>
      </c>
      <c r="J18" t="b">
        <v>0</v>
      </c>
      <c r="K18" t="str">
        <f>INDEX(tblCampus[CampusName],MATCH(tblCourse[[#This Row],[CRegion]],tblCampus[CampusCode],))</f>
        <v>Taradale</v>
      </c>
      <c r="L18" t="str">
        <f>tblCourse[[#This Row],[CourseDescript]]&amp;"  -  "&amp;tblCourse[[#This Row],[Ccampus]]&amp;"  -  "&amp;tblCourse[[#This Row],[CIntake]]</f>
        <v>Commercial Law  -  Taradale  -  Feb</v>
      </c>
      <c r="M18" t="str">
        <f>tblCourse[[#This Row],[ProgFullCode]]&amp;"/1"</f>
        <v>BoA/HB/Feb/1</v>
      </c>
      <c r="N18" t="str">
        <f>INDEX(Programmes!G:G,MATCH(tblCourse[[#This Row],[ProgNumb]],Programmes!A:A,))</f>
        <v>BoA/HB/Feb</v>
      </c>
      <c r="O18" t="str">
        <f>tblCourse[[#This Row],[CourseCode]]&amp;"/"&amp;tblCourse[[#This Row],[Ccampus]]&amp;"/"&amp;tblCourse[[#This Row],[CIntake]]</f>
        <v>ACCY5105/Taradale/Feb</v>
      </c>
    </row>
    <row r="19" spans="1:15">
      <c r="A19">
        <v>100011</v>
      </c>
      <c r="B19" t="s">
        <v>100</v>
      </c>
      <c r="C19" t="s">
        <v>101</v>
      </c>
      <c r="D19" t="s">
        <v>83</v>
      </c>
      <c r="E19" t="s">
        <v>20</v>
      </c>
      <c r="F19">
        <v>100001</v>
      </c>
      <c r="G19" t="s">
        <v>72</v>
      </c>
      <c r="H19" t="s">
        <v>11</v>
      </c>
      <c r="I19" t="str">
        <f>tblCourse[[#This Row],[CourseCode]]&amp;"/"&amp;tblCourse[[#This Row],[CRegion]]&amp;"/"&amp;tblCourse[[#This Row],[CIntake]]</f>
        <v>ACCY5105/HB/Jul</v>
      </c>
      <c r="J19" t="b">
        <v>0</v>
      </c>
      <c r="K19" t="str">
        <f>INDEX(tblCampus[CampusName],MATCH(tblCourse[[#This Row],[CRegion]],tblCampus[CampusCode],))</f>
        <v>Taradale</v>
      </c>
      <c r="L19" t="str">
        <f>tblCourse[[#This Row],[CourseDescript]]&amp;"  -  "&amp;tblCourse[[#This Row],[Ccampus]]&amp;"  -  "&amp;tblCourse[[#This Row],[CIntake]]</f>
        <v>Commercial Law  -  Taradale  -  Jul</v>
      </c>
      <c r="M19" t="str">
        <f>tblCourse[[#This Row],[ProgFullCode]]&amp;"/1"</f>
        <v>BoA/HB/Feb/1</v>
      </c>
      <c r="N19" t="str">
        <f>INDEX(Programmes!G:G,MATCH(tblCourse[[#This Row],[ProgNumb]],Programmes!A:A,))</f>
        <v>BoA/HB/Feb</v>
      </c>
      <c r="O19" t="str">
        <f>tblCourse[[#This Row],[CourseCode]]&amp;"/"&amp;tblCourse[[#This Row],[Ccampus]]&amp;"/"&amp;tblCourse[[#This Row],[CIntake]]</f>
        <v>ACCY5105/Taradale/Jul</v>
      </c>
    </row>
    <row r="20" spans="1:15">
      <c r="A20">
        <v>100041</v>
      </c>
      <c r="B20" t="s">
        <v>100</v>
      </c>
      <c r="C20" t="s">
        <v>101</v>
      </c>
      <c r="D20" t="s">
        <v>93</v>
      </c>
      <c r="E20" t="s">
        <v>14</v>
      </c>
      <c r="F20">
        <v>100002</v>
      </c>
      <c r="G20" t="s">
        <v>72</v>
      </c>
      <c r="H20" t="s">
        <v>11</v>
      </c>
      <c r="I20" t="str">
        <f>tblCourse[[#This Row],[CourseCode]]&amp;"/"&amp;tblCourse[[#This Row],[CRegion]]&amp;"/"&amp;tblCourse[[#This Row],[CIntake]]</f>
        <v>ACCY5105/TC/Feb</v>
      </c>
      <c r="J20" t="b">
        <v>0</v>
      </c>
      <c r="K20" t="str">
        <f>INDEX(tblCampus[CampusName],MATCH(tblCourse[[#This Row],[CRegion]],tblCampus[CampusCode],))</f>
        <v>Palmerston Rd</v>
      </c>
      <c r="L20" t="str">
        <f>tblCourse[[#This Row],[CourseDescript]]&amp;"  -  "&amp;tblCourse[[#This Row],[Ccampus]]&amp;"  -  "&amp;tblCourse[[#This Row],[CIntake]]</f>
        <v>Commercial Law  -  Palmerston Rd  -  Feb</v>
      </c>
      <c r="M20" t="str">
        <f>tblCourse[[#This Row],[ProgFullCode]]&amp;"/1"</f>
        <v>BoA/SS/Feb/1</v>
      </c>
      <c r="N20" t="str">
        <f>INDEX(Programmes!G:G,MATCH(tblCourse[[#This Row],[ProgNumb]],Programmes!A:A,))</f>
        <v>BoA/SS/Feb</v>
      </c>
      <c r="O20" t="str">
        <f>tblCourse[[#This Row],[CourseCode]]&amp;"/"&amp;tblCourse[[#This Row],[Ccampus]]&amp;"/"&amp;tblCourse[[#This Row],[CIntake]]</f>
        <v>ACCY5105/Palmerston Rd/Feb</v>
      </c>
    </row>
    <row r="21" spans="1:15">
      <c r="A21">
        <v>100012</v>
      </c>
      <c r="B21" t="s">
        <v>100</v>
      </c>
      <c r="C21" t="s">
        <v>101</v>
      </c>
      <c r="D21" t="s">
        <v>93</v>
      </c>
      <c r="E21" t="s">
        <v>20</v>
      </c>
      <c r="F21">
        <v>100002</v>
      </c>
      <c r="G21" t="s">
        <v>72</v>
      </c>
      <c r="H21" t="s">
        <v>11</v>
      </c>
      <c r="I21" t="str">
        <f>tblCourse[[#This Row],[CourseCode]]&amp;"/"&amp;tblCourse[[#This Row],[CRegion]]&amp;"/"&amp;tblCourse[[#This Row],[CIntake]]</f>
        <v>ACCY5105/TC/Jul</v>
      </c>
      <c r="J21" t="b">
        <v>0</v>
      </c>
      <c r="K21" t="str">
        <f>INDEX(tblCampus[CampusName],MATCH(tblCourse[[#This Row],[CRegion]],tblCampus[CampusCode],))</f>
        <v>Palmerston Rd</v>
      </c>
      <c r="L21" t="str">
        <f>tblCourse[[#This Row],[CourseDescript]]&amp;"  -  "&amp;tblCourse[[#This Row],[Ccampus]]&amp;"  -  "&amp;tblCourse[[#This Row],[CIntake]]</f>
        <v>Commercial Law  -  Palmerston Rd  -  Jul</v>
      </c>
      <c r="M21" t="str">
        <f>tblCourse[[#This Row],[ProgFullCode]]&amp;"/1"</f>
        <v>BoA/SS/Feb/1</v>
      </c>
      <c r="N21" t="str">
        <f>INDEX(Programmes!G:G,MATCH(tblCourse[[#This Row],[ProgNumb]],Programmes!A:A,))</f>
        <v>BoA/SS/Feb</v>
      </c>
      <c r="O21" t="str">
        <f>tblCourse[[#This Row],[CourseCode]]&amp;"/"&amp;tblCourse[[#This Row],[Ccampus]]&amp;"/"&amp;tblCourse[[#This Row],[CIntake]]</f>
        <v>ACCY5105/Palmerston Rd/Jul</v>
      </c>
    </row>
    <row r="22" spans="1:15">
      <c r="A22">
        <v>100013</v>
      </c>
      <c r="B22" t="s">
        <v>102</v>
      </c>
      <c r="C22" t="s">
        <v>103</v>
      </c>
      <c r="D22" t="s">
        <v>83</v>
      </c>
      <c r="E22" t="s">
        <v>14</v>
      </c>
      <c r="F22">
        <v>100001</v>
      </c>
      <c r="G22" t="s">
        <v>72</v>
      </c>
      <c r="H22" t="s">
        <v>11</v>
      </c>
      <c r="I22" t="str">
        <f>tblCourse[[#This Row],[CourseCode]]&amp;"/"&amp;tblCourse[[#This Row],[CRegion]]&amp;"/"&amp;tblCourse[[#This Row],[CIntake]]</f>
        <v>ACCY5106/HB/Feb</v>
      </c>
      <c r="J22" t="b">
        <v>0</v>
      </c>
      <c r="K22" t="str">
        <f>INDEX(tblCampus[CampusName],MATCH(tblCourse[[#This Row],[CRegion]],tblCampus[CampusCode],))</f>
        <v>Taradale</v>
      </c>
      <c r="L22" t="str">
        <f>tblCourse[[#This Row],[CourseDescript]]&amp;"  -  "&amp;tblCourse[[#This Row],[Ccampus]]&amp;"  -  "&amp;tblCourse[[#This Row],[CIntake]]</f>
        <v>Economics  -  Taradale  -  Feb</v>
      </c>
      <c r="M22" t="str">
        <f>tblCourse[[#This Row],[ProgFullCode]]&amp;"/1"</f>
        <v>BoA/HB/Feb/1</v>
      </c>
      <c r="N22" t="str">
        <f>INDEX(Programmes!G:G,MATCH(tblCourse[[#This Row],[ProgNumb]],Programmes!A:A,))</f>
        <v>BoA/HB/Feb</v>
      </c>
      <c r="O22" t="str">
        <f>tblCourse[[#This Row],[CourseCode]]&amp;"/"&amp;tblCourse[[#This Row],[Ccampus]]&amp;"/"&amp;tblCourse[[#This Row],[CIntake]]</f>
        <v>ACCY5106/Taradale/Feb</v>
      </c>
    </row>
    <row r="23" spans="1:15">
      <c r="A23">
        <v>100015</v>
      </c>
      <c r="B23" t="s">
        <v>102</v>
      </c>
      <c r="C23" t="s">
        <v>103</v>
      </c>
      <c r="D23" t="s">
        <v>93</v>
      </c>
      <c r="E23" t="s">
        <v>14</v>
      </c>
      <c r="F23">
        <v>100002</v>
      </c>
      <c r="G23" t="s">
        <v>72</v>
      </c>
      <c r="H23" t="s">
        <v>11</v>
      </c>
      <c r="I23" t="str">
        <f>tblCourse[[#This Row],[CourseCode]]&amp;"/"&amp;tblCourse[[#This Row],[CRegion]]&amp;"/"&amp;tblCourse[[#This Row],[CIntake]]</f>
        <v>ACCY5106/TC/Feb</v>
      </c>
      <c r="J23" t="b">
        <v>0</v>
      </c>
      <c r="K23" t="str">
        <f>INDEX(tblCampus[CampusName],MATCH(tblCourse[[#This Row],[CRegion]],tblCampus[CampusCode],))</f>
        <v>Palmerston Rd</v>
      </c>
      <c r="L23" t="str">
        <f>tblCourse[[#This Row],[CourseDescript]]&amp;"  -  "&amp;tblCourse[[#This Row],[Ccampus]]&amp;"  -  "&amp;tblCourse[[#This Row],[CIntake]]</f>
        <v>Economics  -  Palmerston Rd  -  Feb</v>
      </c>
      <c r="M23" t="str">
        <f>tblCourse[[#This Row],[ProgFullCode]]&amp;"/1"</f>
        <v>BoA/SS/Feb/1</v>
      </c>
      <c r="N23" t="str">
        <f>INDEX(Programmes!G:G,MATCH(tblCourse[[#This Row],[ProgNumb]],Programmes!A:A,))</f>
        <v>BoA/SS/Feb</v>
      </c>
      <c r="O23" t="str">
        <f>tblCourse[[#This Row],[CourseCode]]&amp;"/"&amp;tblCourse[[#This Row],[Ccampus]]&amp;"/"&amp;tblCourse[[#This Row],[CIntake]]</f>
        <v>ACCY5106/Palmerston Rd/Feb</v>
      </c>
    </row>
    <row r="24" spans="1:15">
      <c r="A24">
        <v>100018</v>
      </c>
      <c r="B24" t="s">
        <v>104</v>
      </c>
      <c r="C24" t="s">
        <v>105</v>
      </c>
      <c r="D24" t="s">
        <v>83</v>
      </c>
      <c r="E24" t="s">
        <v>14</v>
      </c>
      <c r="F24">
        <v>100001</v>
      </c>
      <c r="G24" t="s">
        <v>72</v>
      </c>
      <c r="H24" t="s">
        <v>11</v>
      </c>
      <c r="I24" t="str">
        <f>tblCourse[[#This Row],[CourseCode]]&amp;"/"&amp;tblCourse[[#This Row],[CRegion]]&amp;"/"&amp;tblCourse[[#This Row],[CIntake]]</f>
        <v>ACCY6101/HB/Feb</v>
      </c>
      <c r="J24" t="b">
        <v>0</v>
      </c>
      <c r="K24" t="str">
        <f>INDEX(tblCampus[CampusName],MATCH(tblCourse[[#This Row],[CRegion]],tblCampus[CampusCode],))</f>
        <v>Taradale</v>
      </c>
      <c r="L24" t="str">
        <f>tblCourse[[#This Row],[CourseDescript]]&amp;"  -  "&amp;tblCourse[[#This Row],[Ccampus]]&amp;"  -  "&amp;tblCourse[[#This Row],[CIntake]]</f>
        <v>Intermediate Management Accounting  -  Taradale  -  Feb</v>
      </c>
      <c r="M24" t="str">
        <f>tblCourse[[#This Row],[ProgFullCode]]&amp;"/1"</f>
        <v>BoA/HB/Feb/1</v>
      </c>
      <c r="N24" t="str">
        <f>INDEX(Programmes!G:G,MATCH(tblCourse[[#This Row],[ProgNumb]],Programmes!A:A,))</f>
        <v>BoA/HB/Feb</v>
      </c>
      <c r="O24" t="str">
        <f>tblCourse[[#This Row],[CourseCode]]&amp;"/"&amp;tblCourse[[#This Row],[Ccampus]]&amp;"/"&amp;tblCourse[[#This Row],[CIntake]]</f>
        <v>ACCY6101/Taradale/Feb</v>
      </c>
    </row>
    <row r="25" spans="1:15">
      <c r="A25">
        <v>100019</v>
      </c>
      <c r="B25" t="s">
        <v>104</v>
      </c>
      <c r="C25" t="s">
        <v>105</v>
      </c>
      <c r="D25" t="s">
        <v>93</v>
      </c>
      <c r="E25" t="s">
        <v>14</v>
      </c>
      <c r="F25">
        <v>100002</v>
      </c>
      <c r="G25" t="s">
        <v>72</v>
      </c>
      <c r="H25" t="s">
        <v>11</v>
      </c>
      <c r="I25" t="str">
        <f>tblCourse[[#This Row],[CourseCode]]&amp;"/"&amp;tblCourse[[#This Row],[CRegion]]&amp;"/"&amp;tblCourse[[#This Row],[CIntake]]</f>
        <v>ACCY6101/TC/Feb</v>
      </c>
      <c r="J25" t="b">
        <v>0</v>
      </c>
      <c r="K25" t="str">
        <f>INDEX(tblCampus[CampusName],MATCH(tblCourse[[#This Row],[CRegion]],tblCampus[CampusCode],))</f>
        <v>Palmerston Rd</v>
      </c>
      <c r="L25" t="str">
        <f>tblCourse[[#This Row],[CourseDescript]]&amp;"  -  "&amp;tblCourse[[#This Row],[Ccampus]]&amp;"  -  "&amp;tblCourse[[#This Row],[CIntake]]</f>
        <v>Intermediate Management Accounting  -  Palmerston Rd  -  Feb</v>
      </c>
      <c r="M25" t="str">
        <f>tblCourse[[#This Row],[ProgFullCode]]&amp;"/1"</f>
        <v>BoA/SS/Feb/1</v>
      </c>
      <c r="N25" t="str">
        <f>INDEX(Programmes!G:G,MATCH(tblCourse[[#This Row],[ProgNumb]],Programmes!A:A,))</f>
        <v>BoA/SS/Feb</v>
      </c>
      <c r="O25" t="str">
        <f>tblCourse[[#This Row],[CourseCode]]&amp;"/"&amp;tblCourse[[#This Row],[Ccampus]]&amp;"/"&amp;tblCourse[[#This Row],[CIntake]]</f>
        <v>ACCY6101/Palmerston Rd/Feb</v>
      </c>
    </row>
    <row r="26" spans="1:15">
      <c r="A26">
        <v>100020</v>
      </c>
      <c r="B26" t="s">
        <v>106</v>
      </c>
      <c r="C26" t="s">
        <v>107</v>
      </c>
      <c r="D26" t="s">
        <v>83</v>
      </c>
      <c r="E26" t="s">
        <v>14</v>
      </c>
      <c r="F26">
        <v>100001</v>
      </c>
      <c r="G26" t="s">
        <v>72</v>
      </c>
      <c r="H26" t="s">
        <v>11</v>
      </c>
      <c r="I26" t="str">
        <f>tblCourse[[#This Row],[CourseCode]]&amp;"/"&amp;tblCourse[[#This Row],[CRegion]]&amp;"/"&amp;tblCourse[[#This Row],[CIntake]]</f>
        <v>ACCY6102/HB/Feb</v>
      </c>
      <c r="J26" t="b">
        <v>0</v>
      </c>
      <c r="K26" t="str">
        <f>INDEX(tblCampus[CampusName],MATCH(tblCourse[[#This Row],[CRegion]],tblCampus[CampusCode],))</f>
        <v>Taradale</v>
      </c>
      <c r="L26" t="str">
        <f>tblCourse[[#This Row],[CourseDescript]]&amp;"  -  "&amp;tblCourse[[#This Row],[Ccampus]]&amp;"  -  "&amp;tblCourse[[#This Row],[CIntake]]</f>
        <v>Intermediate Financial Accounting  -  Taradale  -  Feb</v>
      </c>
      <c r="M26" t="str">
        <f>tblCourse[[#This Row],[ProgFullCode]]&amp;"/1"</f>
        <v>BoA/HB/Feb/1</v>
      </c>
      <c r="N26" t="str">
        <f>INDEX(Programmes!G:G,MATCH(tblCourse[[#This Row],[ProgNumb]],Programmes!A:A,))</f>
        <v>BoA/HB/Feb</v>
      </c>
      <c r="O26" t="str">
        <f>tblCourse[[#This Row],[CourseCode]]&amp;"/"&amp;tblCourse[[#This Row],[Ccampus]]&amp;"/"&amp;tblCourse[[#This Row],[CIntake]]</f>
        <v>ACCY6102/Taradale/Feb</v>
      </c>
    </row>
    <row r="27" spans="1:15">
      <c r="A27">
        <v>100021</v>
      </c>
      <c r="B27" t="s">
        <v>106</v>
      </c>
      <c r="C27" t="s">
        <v>107</v>
      </c>
      <c r="D27" t="s">
        <v>93</v>
      </c>
      <c r="E27" t="s">
        <v>14</v>
      </c>
      <c r="F27">
        <v>100002</v>
      </c>
      <c r="G27" t="s">
        <v>72</v>
      </c>
      <c r="H27" t="s">
        <v>11</v>
      </c>
      <c r="I27" t="str">
        <f>tblCourse[[#This Row],[CourseCode]]&amp;"/"&amp;tblCourse[[#This Row],[CRegion]]&amp;"/"&amp;tblCourse[[#This Row],[CIntake]]</f>
        <v>ACCY6102/TC/Feb</v>
      </c>
      <c r="J27" t="b">
        <v>0</v>
      </c>
      <c r="K27" t="str">
        <f>INDEX(tblCampus[CampusName],MATCH(tblCourse[[#This Row],[CRegion]],tblCampus[CampusCode],))</f>
        <v>Palmerston Rd</v>
      </c>
      <c r="L27" t="str">
        <f>tblCourse[[#This Row],[CourseDescript]]&amp;"  -  "&amp;tblCourse[[#This Row],[Ccampus]]&amp;"  -  "&amp;tblCourse[[#This Row],[CIntake]]</f>
        <v>Intermediate Financial Accounting  -  Palmerston Rd  -  Feb</v>
      </c>
      <c r="M27" t="str">
        <f>tblCourse[[#This Row],[ProgFullCode]]&amp;"/1"</f>
        <v>BoA/SS/Feb/1</v>
      </c>
      <c r="N27" t="str">
        <f>INDEX(Programmes!G:G,MATCH(tblCourse[[#This Row],[ProgNumb]],Programmes!A:A,))</f>
        <v>BoA/SS/Feb</v>
      </c>
      <c r="O27" t="str">
        <f>tblCourse[[#This Row],[CourseCode]]&amp;"/"&amp;tblCourse[[#This Row],[Ccampus]]&amp;"/"&amp;tblCourse[[#This Row],[CIntake]]</f>
        <v>ACCY6102/Palmerston Rd/Feb</v>
      </c>
    </row>
    <row r="28" spans="1:15">
      <c r="A28">
        <v>100022</v>
      </c>
      <c r="B28" t="s">
        <v>108</v>
      </c>
      <c r="C28" t="s">
        <v>109</v>
      </c>
      <c r="D28" t="s">
        <v>83</v>
      </c>
      <c r="E28" t="s">
        <v>20</v>
      </c>
      <c r="F28">
        <v>100001</v>
      </c>
      <c r="G28" t="s">
        <v>72</v>
      </c>
      <c r="H28" t="s">
        <v>11</v>
      </c>
      <c r="I28" t="str">
        <f>tblCourse[[#This Row],[CourseCode]]&amp;"/"&amp;tblCourse[[#This Row],[CRegion]]&amp;"/"&amp;tblCourse[[#This Row],[CIntake]]</f>
        <v>ACCY6103/HB/Jul</v>
      </c>
      <c r="J28" t="b">
        <v>0</v>
      </c>
      <c r="K28" t="str">
        <f>INDEX(tblCampus[CampusName],MATCH(tblCourse[[#This Row],[CRegion]],tblCampus[CampusCode],))</f>
        <v>Taradale</v>
      </c>
      <c r="L28" t="str">
        <f>tblCourse[[#This Row],[CourseDescript]]&amp;"  -  "&amp;tblCourse[[#This Row],[Ccampus]]&amp;"  -  "&amp;tblCourse[[#This Row],[CIntake]]</f>
        <v>Taxation in Aotearoa New Zealand  -  Taradale  -  Jul</v>
      </c>
      <c r="M28" t="str">
        <f>tblCourse[[#This Row],[ProgFullCode]]&amp;"/1"</f>
        <v>BoA/HB/Feb/1</v>
      </c>
      <c r="N28" t="str">
        <f>INDEX(Programmes!G:G,MATCH(tblCourse[[#This Row],[ProgNumb]],Programmes!A:A,))</f>
        <v>BoA/HB/Feb</v>
      </c>
      <c r="O28" t="str">
        <f>tblCourse[[#This Row],[CourseCode]]&amp;"/"&amp;tblCourse[[#This Row],[Ccampus]]&amp;"/"&amp;tblCourse[[#This Row],[CIntake]]</f>
        <v>ACCY6103/Taradale/Jul</v>
      </c>
    </row>
    <row r="29" spans="1:15">
      <c r="A29">
        <v>100023</v>
      </c>
      <c r="B29" t="s">
        <v>108</v>
      </c>
      <c r="C29" t="s">
        <v>109</v>
      </c>
      <c r="D29" t="s">
        <v>93</v>
      </c>
      <c r="E29" t="s">
        <v>20</v>
      </c>
      <c r="F29">
        <v>100002</v>
      </c>
      <c r="G29" t="s">
        <v>72</v>
      </c>
      <c r="H29" t="s">
        <v>11</v>
      </c>
      <c r="I29" t="str">
        <f>tblCourse[[#This Row],[CourseCode]]&amp;"/"&amp;tblCourse[[#This Row],[CRegion]]&amp;"/"&amp;tblCourse[[#This Row],[CIntake]]</f>
        <v>ACCY6103/TC/Jul</v>
      </c>
      <c r="J29" t="b">
        <v>0</v>
      </c>
      <c r="K29" t="str">
        <f>INDEX(tblCampus[CampusName],MATCH(tblCourse[[#This Row],[CRegion]],tblCampus[CampusCode],))</f>
        <v>Palmerston Rd</v>
      </c>
      <c r="L29" t="str">
        <f>tblCourse[[#This Row],[CourseDescript]]&amp;"  -  "&amp;tblCourse[[#This Row],[Ccampus]]&amp;"  -  "&amp;tblCourse[[#This Row],[CIntake]]</f>
        <v>Taxation in Aotearoa New Zealand  -  Palmerston Rd  -  Jul</v>
      </c>
      <c r="M29" t="str">
        <f>tblCourse[[#This Row],[ProgFullCode]]&amp;"/1"</f>
        <v>BoA/SS/Feb/1</v>
      </c>
      <c r="N29" t="str">
        <f>INDEX(Programmes!G:G,MATCH(tblCourse[[#This Row],[ProgNumb]],Programmes!A:A,))</f>
        <v>BoA/SS/Feb</v>
      </c>
      <c r="O29" t="str">
        <f>tblCourse[[#This Row],[CourseCode]]&amp;"/"&amp;tblCourse[[#This Row],[Ccampus]]&amp;"/"&amp;tblCourse[[#This Row],[CIntake]]</f>
        <v>ACCY6103/Palmerston Rd/Jul</v>
      </c>
    </row>
    <row r="30" spans="1:15">
      <c r="A30">
        <v>100025</v>
      </c>
      <c r="B30" t="s">
        <v>110</v>
      </c>
      <c r="C30" t="s">
        <v>111</v>
      </c>
      <c r="D30" t="s">
        <v>83</v>
      </c>
      <c r="E30" t="s">
        <v>20</v>
      </c>
      <c r="F30">
        <v>100001</v>
      </c>
      <c r="G30" t="s">
        <v>72</v>
      </c>
      <c r="H30" t="s">
        <v>11</v>
      </c>
      <c r="I30" t="str">
        <f>tblCourse[[#This Row],[CourseCode]]&amp;"/"&amp;tblCourse[[#This Row],[CRegion]]&amp;"/"&amp;tblCourse[[#This Row],[CIntake]]</f>
        <v>ACCY6104/HB/Jul</v>
      </c>
      <c r="J30" t="b">
        <v>0</v>
      </c>
      <c r="K30" t="str">
        <f>INDEX(tblCampus[CampusName],MATCH(tblCourse[[#This Row],[CRegion]],tblCampus[CampusCode],))</f>
        <v>Taradale</v>
      </c>
      <c r="L30" t="str">
        <f>tblCourse[[#This Row],[CourseDescript]]&amp;"  -  "&amp;tblCourse[[#This Row],[Ccampus]]&amp;"  -  "&amp;tblCourse[[#This Row],[CIntake]]</f>
        <v>Introductiion to Finance  -  Taradale  -  Jul</v>
      </c>
      <c r="M30" t="str">
        <f>tblCourse[[#This Row],[ProgFullCode]]&amp;"/1"</f>
        <v>BoA/HB/Feb/1</v>
      </c>
      <c r="N30" t="str">
        <f>INDEX(Programmes!G:G,MATCH(tblCourse[[#This Row],[ProgNumb]],Programmes!A:A,))</f>
        <v>BoA/HB/Feb</v>
      </c>
      <c r="O30" t="str">
        <f>tblCourse[[#This Row],[CourseCode]]&amp;"/"&amp;tblCourse[[#This Row],[Ccampus]]&amp;"/"&amp;tblCourse[[#This Row],[CIntake]]</f>
        <v>ACCY6104/Taradale/Jul</v>
      </c>
    </row>
    <row r="31" spans="1:15">
      <c r="A31">
        <v>100026</v>
      </c>
      <c r="B31" t="s">
        <v>112</v>
      </c>
      <c r="C31" t="s">
        <v>111</v>
      </c>
      <c r="D31" t="s">
        <v>93</v>
      </c>
      <c r="E31" t="s">
        <v>20</v>
      </c>
      <c r="F31">
        <v>100002</v>
      </c>
      <c r="G31" t="s">
        <v>72</v>
      </c>
      <c r="H31" t="s">
        <v>11</v>
      </c>
      <c r="I31" t="str">
        <f>tblCourse[[#This Row],[CourseCode]]&amp;"/"&amp;tblCourse[[#This Row],[CRegion]]&amp;"/"&amp;tblCourse[[#This Row],[CIntake]]</f>
        <v>ACCY6104/TC/Jul</v>
      </c>
      <c r="J31" t="b">
        <v>0</v>
      </c>
      <c r="K31" t="str">
        <f>INDEX(tblCampus[CampusName],MATCH(tblCourse[[#This Row],[CRegion]],tblCampus[CampusCode],))</f>
        <v>Palmerston Rd</v>
      </c>
      <c r="L31" t="str">
        <f>tblCourse[[#This Row],[CourseDescript]]&amp;"  -  "&amp;tblCourse[[#This Row],[Ccampus]]&amp;"  -  "&amp;tblCourse[[#This Row],[CIntake]]</f>
        <v>Introduction to Finance  -  Palmerston Rd  -  Jul</v>
      </c>
      <c r="M31" t="str">
        <f>tblCourse[[#This Row],[ProgFullCode]]&amp;"/1"</f>
        <v>BoA/SS/Feb/1</v>
      </c>
      <c r="N31" t="str">
        <f>INDEX(Programmes!G:G,MATCH(tblCourse[[#This Row],[ProgNumb]],Programmes!A:A,))</f>
        <v>BoA/SS/Feb</v>
      </c>
      <c r="O31" t="str">
        <f>tblCourse[[#This Row],[CourseCode]]&amp;"/"&amp;tblCourse[[#This Row],[Ccampus]]&amp;"/"&amp;tblCourse[[#This Row],[CIntake]]</f>
        <v>ACCY6104/Palmerston Rd/Jul</v>
      </c>
    </row>
    <row r="32" spans="1:15">
      <c r="A32">
        <v>100042</v>
      </c>
      <c r="B32" t="s">
        <v>113</v>
      </c>
      <c r="C32" t="s">
        <v>114</v>
      </c>
      <c r="D32" t="s">
        <v>83</v>
      </c>
      <c r="E32" t="s">
        <v>14</v>
      </c>
      <c r="F32">
        <v>100001</v>
      </c>
      <c r="G32" t="s">
        <v>72</v>
      </c>
      <c r="H32" t="s">
        <v>11</v>
      </c>
      <c r="I32" t="str">
        <f>tblCourse[[#This Row],[CourseCode]]&amp;"/"&amp;tblCourse[[#This Row],[CRegion]]&amp;"/"&amp;tblCourse[[#This Row],[CIntake]]</f>
        <v>ACCY6105/HB/Feb</v>
      </c>
      <c r="J32" t="b">
        <v>0</v>
      </c>
      <c r="K32" t="str">
        <f>INDEX(tblCampus[CampusName],MATCH(tblCourse[[#This Row],[CRegion]],tblCampus[CampusCode],))</f>
        <v>Taradale</v>
      </c>
      <c r="L32" t="str">
        <f>tblCourse[[#This Row],[CourseDescript]]&amp;"  -  "&amp;tblCourse[[#This Row],[Ccampus]]&amp;"  -  "&amp;tblCourse[[#This Row],[CIntake]]</f>
        <v>Data Analytics  -  Taradale  -  Feb</v>
      </c>
      <c r="M32" t="str">
        <f>tblCourse[[#This Row],[ProgFullCode]]&amp;"/1"</f>
        <v>BoA/HB/Feb/1</v>
      </c>
      <c r="N32" t="str">
        <f>INDEX(Programmes!G:G,MATCH(tblCourse[[#This Row],[ProgNumb]],Programmes!A:A,))</f>
        <v>BoA/HB/Feb</v>
      </c>
      <c r="O32" t="str">
        <f>tblCourse[[#This Row],[CourseCode]]&amp;"/"&amp;tblCourse[[#This Row],[Ccampus]]&amp;"/"&amp;tblCourse[[#This Row],[CIntake]]</f>
        <v>ACCY6105/Taradale/Feb</v>
      </c>
    </row>
    <row r="33" spans="1:15">
      <c r="A33">
        <v>100059</v>
      </c>
      <c r="B33" t="s">
        <v>113</v>
      </c>
      <c r="C33" t="s">
        <v>114</v>
      </c>
      <c r="D33" t="s">
        <v>83</v>
      </c>
      <c r="E33" t="s">
        <v>20</v>
      </c>
      <c r="F33">
        <v>100001</v>
      </c>
      <c r="G33" t="s">
        <v>72</v>
      </c>
      <c r="H33" t="s">
        <v>11</v>
      </c>
      <c r="I33" t="str">
        <f>tblCourse[[#This Row],[CourseCode]]&amp;"/"&amp;tblCourse[[#This Row],[CRegion]]&amp;"/"&amp;tblCourse[[#This Row],[CIntake]]</f>
        <v>ACCY6105/HB/Jul</v>
      </c>
      <c r="J33" t="b">
        <v>0</v>
      </c>
      <c r="K33" t="str">
        <f>INDEX(tblCampus[CampusName],MATCH(tblCourse[[#This Row],[CRegion]],tblCampus[CampusCode],))</f>
        <v>Taradale</v>
      </c>
      <c r="L33" t="str">
        <f>tblCourse[[#This Row],[CourseDescript]]&amp;"  -  "&amp;tblCourse[[#This Row],[Ccampus]]&amp;"  -  "&amp;tblCourse[[#This Row],[CIntake]]</f>
        <v>Data Analytics  -  Taradale  -  Jul</v>
      </c>
      <c r="M33" t="str">
        <f>tblCourse[[#This Row],[ProgFullCode]]&amp;"/1"</f>
        <v>BoA/HB/Feb/1</v>
      </c>
      <c r="N33" t="str">
        <f>INDEX(Programmes!G:G,MATCH(tblCourse[[#This Row],[ProgNumb]],Programmes!A:A,))</f>
        <v>BoA/HB/Feb</v>
      </c>
      <c r="O33" t="str">
        <f>tblCourse[[#This Row],[CourseCode]]&amp;"/"&amp;tblCourse[[#This Row],[Ccampus]]&amp;"/"&amp;tblCourse[[#This Row],[CIntake]]</f>
        <v>ACCY6105/Taradale/Jul</v>
      </c>
    </row>
    <row r="34" spans="1:15">
      <c r="A34">
        <v>100046</v>
      </c>
      <c r="B34" t="s">
        <v>113</v>
      </c>
      <c r="C34" t="s">
        <v>114</v>
      </c>
      <c r="D34" t="s">
        <v>93</v>
      </c>
      <c r="E34" t="s">
        <v>14</v>
      </c>
      <c r="F34">
        <v>100002</v>
      </c>
      <c r="G34" t="s">
        <v>72</v>
      </c>
      <c r="H34" t="s">
        <v>11</v>
      </c>
      <c r="I34" t="str">
        <f>tblCourse[[#This Row],[CourseCode]]&amp;"/"&amp;tblCourse[[#This Row],[CRegion]]&amp;"/"&amp;tblCourse[[#This Row],[CIntake]]</f>
        <v>ACCY6105/TC/Feb</v>
      </c>
      <c r="J34" t="b">
        <v>0</v>
      </c>
      <c r="K34" t="str">
        <f>INDEX(tblCampus[CampusName],MATCH(tblCourse[[#This Row],[CRegion]],tblCampus[CampusCode],))</f>
        <v>Palmerston Rd</v>
      </c>
      <c r="L34" t="str">
        <f>tblCourse[[#This Row],[CourseDescript]]&amp;"  -  "&amp;tblCourse[[#This Row],[Ccampus]]&amp;"  -  "&amp;tblCourse[[#This Row],[CIntake]]</f>
        <v>Data Analytics  -  Palmerston Rd  -  Feb</v>
      </c>
      <c r="M34" t="str">
        <f>tblCourse[[#This Row],[ProgFullCode]]&amp;"/1"</f>
        <v>BoA/SS/Feb/1</v>
      </c>
      <c r="N34" t="str">
        <f>INDEX(Programmes!G:G,MATCH(tblCourse[[#This Row],[ProgNumb]],Programmes!A:A,))</f>
        <v>BoA/SS/Feb</v>
      </c>
      <c r="O34" t="str">
        <f>tblCourse[[#This Row],[CourseCode]]&amp;"/"&amp;tblCourse[[#This Row],[Ccampus]]&amp;"/"&amp;tblCourse[[#This Row],[CIntake]]</f>
        <v>ACCY6105/Palmerston Rd/Feb</v>
      </c>
    </row>
    <row r="35" spans="1:15">
      <c r="A35">
        <v>100043</v>
      </c>
      <c r="B35" t="s">
        <v>115</v>
      </c>
      <c r="C35" t="s">
        <v>116</v>
      </c>
      <c r="D35" t="s">
        <v>83</v>
      </c>
      <c r="E35" t="s">
        <v>20</v>
      </c>
      <c r="F35">
        <v>100001</v>
      </c>
      <c r="G35" t="s">
        <v>72</v>
      </c>
      <c r="H35" t="s">
        <v>11</v>
      </c>
      <c r="I35" t="str">
        <f>tblCourse[[#This Row],[CourseCode]]&amp;"/"&amp;tblCourse[[#This Row],[CRegion]]&amp;"/"&amp;tblCourse[[#This Row],[CIntake]]</f>
        <v>ACCY6106/HB/Jul</v>
      </c>
      <c r="J35" t="b">
        <v>0</v>
      </c>
      <c r="K35" t="str">
        <f>INDEX(tblCampus[CampusName],MATCH(tblCourse[[#This Row],[CRegion]],tblCampus[CampusCode],))</f>
        <v>Taradale</v>
      </c>
      <c r="L35" t="str">
        <f>tblCourse[[#This Row],[CourseDescript]]&amp;"  -  "&amp;tblCourse[[#This Row],[Ccampus]]&amp;"  -  "&amp;tblCourse[[#This Row],[CIntake]]</f>
        <v>Law of Business Entities  -  Taradale  -  Jul</v>
      </c>
      <c r="M35" t="str">
        <f>tblCourse[[#This Row],[ProgFullCode]]&amp;"/1"</f>
        <v>BoA/HB/Feb/1</v>
      </c>
      <c r="N35" t="str">
        <f>INDEX(Programmes!G:G,MATCH(tblCourse[[#This Row],[ProgNumb]],Programmes!A:A,))</f>
        <v>BoA/HB/Feb</v>
      </c>
      <c r="O35" t="str">
        <f>tblCourse[[#This Row],[CourseCode]]&amp;"/"&amp;tblCourse[[#This Row],[Ccampus]]&amp;"/"&amp;tblCourse[[#This Row],[CIntake]]</f>
        <v>ACCY6106/Taradale/Jul</v>
      </c>
    </row>
    <row r="36" spans="1:15">
      <c r="A36">
        <v>100028</v>
      </c>
      <c r="B36" t="s">
        <v>117</v>
      </c>
      <c r="C36" t="s">
        <v>116</v>
      </c>
      <c r="D36" t="s">
        <v>93</v>
      </c>
      <c r="E36" t="s">
        <v>20</v>
      </c>
      <c r="F36">
        <v>100002</v>
      </c>
      <c r="G36" t="s">
        <v>72</v>
      </c>
      <c r="H36" t="s">
        <v>11</v>
      </c>
      <c r="I36" t="str">
        <f>tblCourse[[#This Row],[CourseCode]]&amp;"/"&amp;tblCourse[[#This Row],[CRegion]]&amp;"/"&amp;tblCourse[[#This Row],[CIntake]]</f>
        <v>ACCY6106/TC/Jul</v>
      </c>
      <c r="J36" t="b">
        <v>0</v>
      </c>
      <c r="K36" t="str">
        <f>INDEX(tblCampus[CampusName],MATCH(tblCourse[[#This Row],[CRegion]],tblCampus[CampusCode],))</f>
        <v>Palmerston Rd</v>
      </c>
      <c r="L36" t="str">
        <f>tblCourse[[#This Row],[CourseDescript]]&amp;"  -  "&amp;tblCourse[[#This Row],[Ccampus]]&amp;"  -  "&amp;tblCourse[[#This Row],[CIntake]]</f>
        <v>Law of Business Entiities  -  Palmerston Rd  -  Jul</v>
      </c>
      <c r="M36" t="str">
        <f>tblCourse[[#This Row],[ProgFullCode]]&amp;"/1"</f>
        <v>BoA/SS/Feb/1</v>
      </c>
      <c r="N36" t="str">
        <f>INDEX(Programmes!G:G,MATCH(tblCourse[[#This Row],[ProgNumb]],Programmes!A:A,))</f>
        <v>BoA/SS/Feb</v>
      </c>
      <c r="O36" t="str">
        <f>tblCourse[[#This Row],[CourseCode]]&amp;"/"&amp;tblCourse[[#This Row],[Ccampus]]&amp;"/"&amp;tblCourse[[#This Row],[CIntake]]</f>
        <v>ACCY6106/Palmerston Rd/Jul</v>
      </c>
    </row>
    <row r="37" spans="1:15">
      <c r="A37">
        <v>100044</v>
      </c>
      <c r="B37" t="s">
        <v>118</v>
      </c>
      <c r="C37" t="s">
        <v>119</v>
      </c>
      <c r="D37" t="s">
        <v>83</v>
      </c>
      <c r="E37" t="s">
        <v>20</v>
      </c>
      <c r="F37">
        <v>100001</v>
      </c>
      <c r="G37" t="s">
        <v>72</v>
      </c>
      <c r="H37" t="s">
        <v>11</v>
      </c>
      <c r="I37" t="str">
        <f>tblCourse[[#This Row],[CourseCode]]&amp;"/"&amp;tblCourse[[#This Row],[CRegion]]&amp;"/"&amp;tblCourse[[#This Row],[CIntake]]</f>
        <v>ACCY6107/HB/Jul</v>
      </c>
      <c r="J37" t="b">
        <v>0</v>
      </c>
      <c r="K37" t="str">
        <f>INDEX(tblCampus[CampusName],MATCH(tblCourse[[#This Row],[CRegion]],tblCampus[CampusCode],))</f>
        <v>Taradale</v>
      </c>
      <c r="L37" t="str">
        <f>tblCourse[[#This Row],[CourseDescript]]&amp;"  -  "&amp;tblCourse[[#This Row],[Ccampus]]&amp;"  -  "&amp;tblCourse[[#This Row],[CIntake]]</f>
        <v>Research Methods  -  Taradale  -  Jul</v>
      </c>
      <c r="M37" t="str">
        <f>tblCourse[[#This Row],[ProgFullCode]]&amp;"/1"</f>
        <v>BoA/HB/Feb/1</v>
      </c>
      <c r="N37" t="str">
        <f>INDEX(Programmes!G:G,MATCH(tblCourse[[#This Row],[ProgNumb]],Programmes!A:A,))</f>
        <v>BoA/HB/Feb</v>
      </c>
      <c r="O37" t="str">
        <f>tblCourse[[#This Row],[CourseCode]]&amp;"/"&amp;tblCourse[[#This Row],[Ccampus]]&amp;"/"&amp;tblCourse[[#This Row],[CIntake]]</f>
        <v>ACCY6107/Taradale/Jul</v>
      </c>
    </row>
    <row r="38" spans="1:15">
      <c r="A38">
        <v>100030</v>
      </c>
      <c r="B38" t="s">
        <v>118</v>
      </c>
      <c r="C38" t="s">
        <v>119</v>
      </c>
      <c r="D38" t="s">
        <v>93</v>
      </c>
      <c r="E38" t="s">
        <v>20</v>
      </c>
      <c r="F38">
        <v>100002</v>
      </c>
      <c r="G38" t="s">
        <v>72</v>
      </c>
      <c r="H38" t="s">
        <v>11</v>
      </c>
      <c r="I38" t="str">
        <f>tblCourse[[#This Row],[CourseCode]]&amp;"/"&amp;tblCourse[[#This Row],[CRegion]]&amp;"/"&amp;tblCourse[[#This Row],[CIntake]]</f>
        <v>ACCY6107/TC/Jul</v>
      </c>
      <c r="J38" t="b">
        <v>0</v>
      </c>
      <c r="K38" t="str">
        <f>INDEX(tblCampus[CampusName],MATCH(tblCourse[[#This Row],[CRegion]],tblCampus[CampusCode],))</f>
        <v>Palmerston Rd</v>
      </c>
      <c r="L38" t="str">
        <f>tblCourse[[#This Row],[CourseDescript]]&amp;"  -  "&amp;tblCourse[[#This Row],[Ccampus]]&amp;"  -  "&amp;tblCourse[[#This Row],[CIntake]]</f>
        <v>Research Methods  -  Palmerston Rd  -  Jul</v>
      </c>
      <c r="M38" t="str">
        <f>tblCourse[[#This Row],[ProgFullCode]]&amp;"/1"</f>
        <v>BoA/SS/Feb/1</v>
      </c>
      <c r="N38" t="str">
        <f>INDEX(Programmes!G:G,MATCH(tblCourse[[#This Row],[ProgNumb]],Programmes!A:A,))</f>
        <v>BoA/SS/Feb</v>
      </c>
      <c r="O38" t="str">
        <f>tblCourse[[#This Row],[CourseCode]]&amp;"/"&amp;tblCourse[[#This Row],[Ccampus]]&amp;"/"&amp;tblCourse[[#This Row],[CIntake]]</f>
        <v>ACCY6107/Palmerston Rd/Jul</v>
      </c>
    </row>
    <row r="39" spans="1:15">
      <c r="A39">
        <v>100045</v>
      </c>
      <c r="B39" t="s">
        <v>120</v>
      </c>
      <c r="C39" t="s">
        <v>121</v>
      </c>
      <c r="D39" t="s">
        <v>83</v>
      </c>
      <c r="E39" t="s">
        <v>14</v>
      </c>
      <c r="F39">
        <v>100001</v>
      </c>
      <c r="G39" t="s">
        <v>72</v>
      </c>
      <c r="H39" t="s">
        <v>11</v>
      </c>
      <c r="I39" t="str">
        <f>tblCourse[[#This Row],[CourseCode]]&amp;"/"&amp;tblCourse[[#This Row],[CRegion]]&amp;"/"&amp;tblCourse[[#This Row],[CIntake]]</f>
        <v>ACCY6108/HB/Feb</v>
      </c>
      <c r="J39" t="b">
        <v>0</v>
      </c>
      <c r="K39" t="str">
        <f>INDEX(tblCampus[CampusName],MATCH(tblCourse[[#This Row],[CRegion]],tblCampus[CampusCode],))</f>
        <v>Taradale</v>
      </c>
      <c r="L39" t="str">
        <f>tblCourse[[#This Row],[CourseDescript]]&amp;"  -  "&amp;tblCourse[[#This Row],[Ccampus]]&amp;"  -  "&amp;tblCourse[[#This Row],[CIntake]]</f>
        <v>Accounting Information Systems  -  Taradale  -  Feb</v>
      </c>
      <c r="M39" t="str">
        <f>tblCourse[[#This Row],[ProgFullCode]]&amp;"/1"</f>
        <v>BoA/HB/Feb/1</v>
      </c>
      <c r="N39" t="str">
        <f>INDEX(Programmes!G:G,MATCH(tblCourse[[#This Row],[ProgNumb]],Programmes!A:A,))</f>
        <v>BoA/HB/Feb</v>
      </c>
      <c r="O39" t="str">
        <f>tblCourse[[#This Row],[CourseCode]]&amp;"/"&amp;tblCourse[[#This Row],[Ccampus]]&amp;"/"&amp;tblCourse[[#This Row],[CIntake]]</f>
        <v>ACCY6108/Taradale/Feb</v>
      </c>
    </row>
    <row r="40" spans="1:15">
      <c r="A40">
        <v>100032</v>
      </c>
      <c r="B40" t="s">
        <v>120</v>
      </c>
      <c r="C40" t="s">
        <v>121</v>
      </c>
      <c r="D40" t="s">
        <v>93</v>
      </c>
      <c r="E40" t="s">
        <v>14</v>
      </c>
      <c r="F40">
        <v>100002</v>
      </c>
      <c r="G40" t="s">
        <v>72</v>
      </c>
      <c r="H40" t="s">
        <v>11</v>
      </c>
      <c r="I40" t="str">
        <f>tblCourse[[#This Row],[CourseCode]]&amp;"/"&amp;tblCourse[[#This Row],[CRegion]]&amp;"/"&amp;tblCourse[[#This Row],[CIntake]]</f>
        <v>ACCY6108/TC/Feb</v>
      </c>
      <c r="J40" t="b">
        <v>0</v>
      </c>
      <c r="K40" t="str">
        <f>INDEX(tblCampus[CampusName],MATCH(tblCourse[[#This Row],[CRegion]],tblCampus[CampusCode],))</f>
        <v>Palmerston Rd</v>
      </c>
      <c r="L40" t="str">
        <f>tblCourse[[#This Row],[CourseDescript]]&amp;"  -  "&amp;tblCourse[[#This Row],[Ccampus]]&amp;"  -  "&amp;tblCourse[[#This Row],[CIntake]]</f>
        <v>Accounting Information Systems  -  Palmerston Rd  -  Feb</v>
      </c>
      <c r="M40" t="str">
        <f>tblCourse[[#This Row],[ProgFullCode]]&amp;"/1"</f>
        <v>BoA/SS/Feb/1</v>
      </c>
      <c r="N40" t="str">
        <f>INDEX(Programmes!G:G,MATCH(tblCourse[[#This Row],[ProgNumb]],Programmes!A:A,))</f>
        <v>BoA/SS/Feb</v>
      </c>
      <c r="O40" t="str">
        <f>tblCourse[[#This Row],[CourseCode]]&amp;"/"&amp;tblCourse[[#This Row],[Ccampus]]&amp;"/"&amp;tblCourse[[#This Row],[CIntake]]</f>
        <v>ACCY6108/Palmerston Rd/Feb</v>
      </c>
    </row>
    <row r="41" spans="1:15">
      <c r="A41">
        <v>100047</v>
      </c>
      <c r="B41" t="s">
        <v>122</v>
      </c>
      <c r="C41" t="s">
        <v>123</v>
      </c>
      <c r="D41" t="s">
        <v>83</v>
      </c>
      <c r="E41" t="s">
        <v>20</v>
      </c>
      <c r="F41">
        <v>100001</v>
      </c>
      <c r="G41" t="s">
        <v>72</v>
      </c>
      <c r="H41" t="s">
        <v>11</v>
      </c>
      <c r="I41" t="str">
        <f>tblCourse[[#This Row],[CourseCode]]&amp;"/"&amp;tblCourse[[#This Row],[CRegion]]&amp;"/"&amp;tblCourse[[#This Row],[CIntake]]</f>
        <v>ACCY7101/HB/Jul</v>
      </c>
      <c r="J41" t="b">
        <v>0</v>
      </c>
      <c r="K41" t="str">
        <f>INDEX(tblCampus[CampusName],MATCH(tblCourse[[#This Row],[CRegion]],tblCampus[CampusCode],))</f>
        <v>Taradale</v>
      </c>
      <c r="L41" t="str">
        <f>tblCourse[[#This Row],[CourseDescript]]&amp;"  -  "&amp;tblCourse[[#This Row],[Ccampus]]&amp;"  -  "&amp;tblCourse[[#This Row],[CIntake]]</f>
        <v>Advanced Management Accounting  -  Taradale  -  Jul</v>
      </c>
      <c r="M41" t="str">
        <f>tblCourse[[#This Row],[ProgFullCode]]&amp;"/1"</f>
        <v>BoA/HB/Feb/1</v>
      </c>
      <c r="N41" t="str">
        <f>INDEX(Programmes!G:G,MATCH(tblCourse[[#This Row],[ProgNumb]],Programmes!A:A,))</f>
        <v>BoA/HB/Feb</v>
      </c>
      <c r="O41" t="str">
        <f>tblCourse[[#This Row],[CourseCode]]&amp;"/"&amp;tblCourse[[#This Row],[Ccampus]]&amp;"/"&amp;tblCourse[[#This Row],[CIntake]]</f>
        <v>ACCY7101/Taradale/Jul</v>
      </c>
    </row>
    <row r="42" spans="1:15">
      <c r="A42">
        <v>100052</v>
      </c>
      <c r="B42" t="s">
        <v>122</v>
      </c>
      <c r="C42" t="s">
        <v>123</v>
      </c>
      <c r="D42" t="s">
        <v>93</v>
      </c>
      <c r="E42" t="s">
        <v>20</v>
      </c>
      <c r="F42">
        <v>100002</v>
      </c>
      <c r="G42" t="s">
        <v>72</v>
      </c>
      <c r="H42" t="s">
        <v>11</v>
      </c>
      <c r="I42" t="str">
        <f>tblCourse[[#This Row],[CourseCode]]&amp;"/"&amp;tblCourse[[#This Row],[CRegion]]&amp;"/"&amp;tblCourse[[#This Row],[CIntake]]</f>
        <v>ACCY7101/TC/Jul</v>
      </c>
      <c r="J42" t="b">
        <v>0</v>
      </c>
      <c r="K42" t="str">
        <f>INDEX(tblCampus[CampusName],MATCH(tblCourse[[#This Row],[CRegion]],tblCampus[CampusCode],))</f>
        <v>Palmerston Rd</v>
      </c>
      <c r="L42" t="str">
        <f>tblCourse[[#This Row],[CourseDescript]]&amp;"  -  "&amp;tblCourse[[#This Row],[Ccampus]]&amp;"  -  "&amp;tblCourse[[#This Row],[CIntake]]</f>
        <v>Advanced Management Accounting  -  Palmerston Rd  -  Jul</v>
      </c>
      <c r="M42" t="str">
        <f>tblCourse[[#This Row],[ProgFullCode]]&amp;"/1"</f>
        <v>BoA/SS/Feb/1</v>
      </c>
      <c r="N42" t="str">
        <f>INDEX(Programmes!G:G,MATCH(tblCourse[[#This Row],[ProgNumb]],Programmes!A:A,))</f>
        <v>BoA/SS/Feb</v>
      </c>
      <c r="O42" t="str">
        <f>tblCourse[[#This Row],[CourseCode]]&amp;"/"&amp;tblCourse[[#This Row],[Ccampus]]&amp;"/"&amp;tblCourse[[#This Row],[CIntake]]</f>
        <v>ACCY7101/Palmerston Rd/Jul</v>
      </c>
    </row>
    <row r="43" spans="1:15">
      <c r="A43">
        <v>100048</v>
      </c>
      <c r="B43" t="s">
        <v>124</v>
      </c>
      <c r="C43" t="s">
        <v>125</v>
      </c>
      <c r="D43" t="s">
        <v>83</v>
      </c>
      <c r="E43" t="s">
        <v>14</v>
      </c>
      <c r="F43">
        <v>100001</v>
      </c>
      <c r="G43" t="s">
        <v>72</v>
      </c>
      <c r="H43" t="s">
        <v>11</v>
      </c>
      <c r="I43" t="str">
        <f>tblCourse[[#This Row],[CourseCode]]&amp;"/"&amp;tblCourse[[#This Row],[CRegion]]&amp;"/"&amp;tblCourse[[#This Row],[CIntake]]</f>
        <v>ACCY7102/HB/Feb</v>
      </c>
      <c r="J43" t="b">
        <v>0</v>
      </c>
      <c r="K43" t="str">
        <f>INDEX(tblCampus[CampusName],MATCH(tblCourse[[#This Row],[CRegion]],tblCampus[CampusCode],))</f>
        <v>Taradale</v>
      </c>
      <c r="L43" t="str">
        <f>tblCourse[[#This Row],[CourseDescript]]&amp;"  -  "&amp;tblCourse[[#This Row],[Ccampus]]&amp;"  -  "&amp;tblCourse[[#This Row],[CIntake]]</f>
        <v>Advanced Financial Accounting  -  Taradale  -  Feb</v>
      </c>
      <c r="M43" t="str">
        <f>tblCourse[[#This Row],[ProgFullCode]]&amp;"/1"</f>
        <v>BoA/HB/Feb/1</v>
      </c>
      <c r="N43" t="str">
        <f>INDEX(Programmes!G:G,MATCH(tblCourse[[#This Row],[ProgNumb]],Programmes!A:A,))</f>
        <v>BoA/HB/Feb</v>
      </c>
      <c r="O43" t="str">
        <f>tblCourse[[#This Row],[CourseCode]]&amp;"/"&amp;tblCourse[[#This Row],[Ccampus]]&amp;"/"&amp;tblCourse[[#This Row],[CIntake]]</f>
        <v>ACCY7102/Taradale/Feb</v>
      </c>
    </row>
    <row r="44" spans="1:15">
      <c r="A44">
        <v>100053</v>
      </c>
      <c r="B44" t="s">
        <v>124</v>
      </c>
      <c r="C44" t="s">
        <v>125</v>
      </c>
      <c r="D44" t="s">
        <v>93</v>
      </c>
      <c r="E44" t="s">
        <v>14</v>
      </c>
      <c r="F44">
        <v>100002</v>
      </c>
      <c r="G44" t="s">
        <v>72</v>
      </c>
      <c r="H44" t="s">
        <v>11</v>
      </c>
      <c r="I44" t="str">
        <f>tblCourse[[#This Row],[CourseCode]]&amp;"/"&amp;tblCourse[[#This Row],[CRegion]]&amp;"/"&amp;tblCourse[[#This Row],[CIntake]]</f>
        <v>ACCY7102/TC/Feb</v>
      </c>
      <c r="J44" t="b">
        <v>0</v>
      </c>
      <c r="K44" t="str">
        <f>INDEX(tblCampus[CampusName],MATCH(tblCourse[[#This Row],[CRegion]],tblCampus[CampusCode],))</f>
        <v>Palmerston Rd</v>
      </c>
      <c r="L44" t="str">
        <f>tblCourse[[#This Row],[CourseDescript]]&amp;"  -  "&amp;tblCourse[[#This Row],[Ccampus]]&amp;"  -  "&amp;tblCourse[[#This Row],[CIntake]]</f>
        <v>Advanced Financial Accounting  -  Palmerston Rd  -  Feb</v>
      </c>
      <c r="M44" t="str">
        <f>tblCourse[[#This Row],[ProgFullCode]]&amp;"/1"</f>
        <v>BoA/SS/Feb/1</v>
      </c>
      <c r="N44" t="str">
        <f>INDEX(Programmes!G:G,MATCH(tblCourse[[#This Row],[ProgNumb]],Programmes!A:A,))</f>
        <v>BoA/SS/Feb</v>
      </c>
      <c r="O44" t="str">
        <f>tblCourse[[#This Row],[CourseCode]]&amp;"/"&amp;tblCourse[[#This Row],[Ccampus]]&amp;"/"&amp;tblCourse[[#This Row],[CIntake]]</f>
        <v>ACCY7102/Palmerston Rd/Feb</v>
      </c>
    </row>
    <row r="45" spans="1:15">
      <c r="A45">
        <v>100049</v>
      </c>
      <c r="B45" t="s">
        <v>126</v>
      </c>
      <c r="C45" t="s">
        <v>127</v>
      </c>
      <c r="D45" t="s">
        <v>83</v>
      </c>
      <c r="E45" t="s">
        <v>20</v>
      </c>
      <c r="F45">
        <v>100001</v>
      </c>
      <c r="G45" t="s">
        <v>72</v>
      </c>
      <c r="H45" t="s">
        <v>11</v>
      </c>
      <c r="I45" t="str">
        <f>tblCourse[[#This Row],[CourseCode]]&amp;"/"&amp;tblCourse[[#This Row],[CRegion]]&amp;"/"&amp;tblCourse[[#This Row],[CIntake]]</f>
        <v>ACCY7103/HB/Jul</v>
      </c>
      <c r="J45" t="b">
        <v>0</v>
      </c>
      <c r="K45" t="str">
        <f>INDEX(tblCampus[CampusName],MATCH(tblCourse[[#This Row],[CRegion]],tblCampus[CampusCode],))</f>
        <v>Taradale</v>
      </c>
      <c r="L45" t="str">
        <f>tblCourse[[#This Row],[CourseDescript]]&amp;"  -  "&amp;tblCourse[[#This Row],[Ccampus]]&amp;"  -  "&amp;tblCourse[[#This Row],[CIntake]]</f>
        <v>Audit and Assurance  -  Taradale  -  Jul</v>
      </c>
      <c r="M45" t="str">
        <f>tblCourse[[#This Row],[ProgFullCode]]&amp;"/1"</f>
        <v>BoA/HB/Feb/1</v>
      </c>
      <c r="N45" t="str">
        <f>INDEX(Programmes!G:G,MATCH(tblCourse[[#This Row],[ProgNumb]],Programmes!A:A,))</f>
        <v>BoA/HB/Feb</v>
      </c>
      <c r="O45" t="str">
        <f>tblCourse[[#This Row],[CourseCode]]&amp;"/"&amp;tblCourse[[#This Row],[Ccampus]]&amp;"/"&amp;tblCourse[[#This Row],[CIntake]]</f>
        <v>ACCY7103/Taradale/Jul</v>
      </c>
    </row>
    <row r="46" spans="1:15">
      <c r="A46">
        <v>100054</v>
      </c>
      <c r="B46" t="s">
        <v>126</v>
      </c>
      <c r="C46" t="s">
        <v>127</v>
      </c>
      <c r="D46" t="s">
        <v>93</v>
      </c>
      <c r="E46" t="s">
        <v>20</v>
      </c>
      <c r="F46">
        <v>100002</v>
      </c>
      <c r="G46" t="s">
        <v>72</v>
      </c>
      <c r="H46" t="s">
        <v>11</v>
      </c>
      <c r="I46" t="str">
        <f>tblCourse[[#This Row],[CourseCode]]&amp;"/"&amp;tblCourse[[#This Row],[CRegion]]&amp;"/"&amp;tblCourse[[#This Row],[CIntake]]</f>
        <v>ACCY7103/TC/Jul</v>
      </c>
      <c r="J46" t="b">
        <v>0</v>
      </c>
      <c r="K46" t="str">
        <f>INDEX(tblCampus[CampusName],MATCH(tblCourse[[#This Row],[CRegion]],tblCampus[CampusCode],))</f>
        <v>Palmerston Rd</v>
      </c>
      <c r="L46" t="str">
        <f>tblCourse[[#This Row],[CourseDescript]]&amp;"  -  "&amp;tblCourse[[#This Row],[Ccampus]]&amp;"  -  "&amp;tblCourse[[#This Row],[CIntake]]</f>
        <v>Audit and Assurance  -  Palmerston Rd  -  Jul</v>
      </c>
      <c r="M46" t="str">
        <f>tblCourse[[#This Row],[ProgFullCode]]&amp;"/1"</f>
        <v>BoA/SS/Feb/1</v>
      </c>
      <c r="N46" t="str">
        <f>INDEX(Programmes!G:G,MATCH(tblCourse[[#This Row],[ProgNumb]],Programmes!A:A,))</f>
        <v>BoA/SS/Feb</v>
      </c>
      <c r="O46" t="str">
        <f>tblCourse[[#This Row],[CourseCode]]&amp;"/"&amp;tblCourse[[#This Row],[Ccampus]]&amp;"/"&amp;tblCourse[[#This Row],[CIntake]]</f>
        <v>ACCY7103/Palmerston Rd/Jul</v>
      </c>
    </row>
    <row r="47" spans="1:15">
      <c r="A47">
        <v>613</v>
      </c>
      <c r="B47" t="s">
        <v>128</v>
      </c>
      <c r="C47" t="s">
        <v>129</v>
      </c>
      <c r="D47" t="s">
        <v>83</v>
      </c>
      <c r="E47" t="s">
        <v>14</v>
      </c>
      <c r="F47">
        <v>82</v>
      </c>
      <c r="G47" t="s">
        <v>72</v>
      </c>
      <c r="H47" t="s">
        <v>11</v>
      </c>
      <c r="I47" t="str">
        <f>tblCourse[[#This Row],[CourseCode]]&amp;"/"&amp;tblCourse[[#This Row],[CRegion]]&amp;"/"&amp;tblCourse[[#This Row],[CIntake]]</f>
        <v>BSNS5001/HB/Feb</v>
      </c>
      <c r="J47" t="b">
        <v>0</v>
      </c>
      <c r="K47" t="str">
        <f>INDEX(tblCampus[CampusName],MATCH(tblCourse[[#This Row],[CRegion]],tblCampus[CampusCode],))</f>
        <v>Taradale</v>
      </c>
      <c r="L47" t="str">
        <f>tblCourse[[#This Row],[CourseDescript]]&amp;"  -  "&amp;tblCourse[[#This Row],[Ccampus]]&amp;"  -  "&amp;tblCourse[[#This Row],[CIntake]]</f>
        <v>Organisations in an Aotearoa New Zealand  -  Taradale  -  Feb</v>
      </c>
      <c r="M47" t="str">
        <f>tblCourse[[#This Row],[ProgFullCode]]&amp;"/1"</f>
        <v>NZDB/HB/Feb/1</v>
      </c>
      <c r="N47" t="str">
        <f>INDEX(Programmes!G:G,MATCH(tblCourse[[#This Row],[ProgNumb]],Programmes!A:A,))</f>
        <v>NZDB/HB/Feb</v>
      </c>
      <c r="O47" t="str">
        <f>tblCourse[[#This Row],[CourseCode]]&amp;"/"&amp;tblCourse[[#This Row],[Ccampus]]&amp;"/"&amp;tblCourse[[#This Row],[CIntake]]</f>
        <v>BSNS5001/Taradale/Feb</v>
      </c>
    </row>
    <row r="48" spans="1:15">
      <c r="A48">
        <v>614</v>
      </c>
      <c r="B48" t="s">
        <v>128</v>
      </c>
      <c r="C48" t="s">
        <v>129</v>
      </c>
      <c r="D48" t="s">
        <v>83</v>
      </c>
      <c r="E48" t="s">
        <v>20</v>
      </c>
      <c r="F48">
        <v>82</v>
      </c>
      <c r="G48" t="s">
        <v>72</v>
      </c>
      <c r="H48" t="s">
        <v>11</v>
      </c>
      <c r="I48" t="str">
        <f>tblCourse[[#This Row],[CourseCode]]&amp;"/"&amp;tblCourse[[#This Row],[CRegion]]&amp;"/"&amp;tblCourse[[#This Row],[CIntake]]</f>
        <v>BSNS5001/HB/Jul</v>
      </c>
      <c r="J48" t="b">
        <v>0</v>
      </c>
      <c r="K48" t="str">
        <f>INDEX(tblCampus[CampusName],MATCH(tblCourse[[#This Row],[CRegion]],tblCampus[CampusCode],))</f>
        <v>Taradale</v>
      </c>
      <c r="L48" t="str">
        <f>tblCourse[[#This Row],[CourseDescript]]&amp;"  -  "&amp;tblCourse[[#This Row],[Ccampus]]&amp;"  -  "&amp;tblCourse[[#This Row],[CIntake]]</f>
        <v>Organisations in an Aotearoa New Zealand  -  Taradale  -  Jul</v>
      </c>
      <c r="M48" t="str">
        <f>tblCourse[[#This Row],[ProgFullCode]]&amp;"/1"</f>
        <v>NZDB/HB/Feb/1</v>
      </c>
      <c r="N48" t="str">
        <f>INDEX(Programmes!G:G,MATCH(tblCourse[[#This Row],[ProgNumb]],Programmes!A:A,))</f>
        <v>NZDB/HB/Feb</v>
      </c>
      <c r="O48" t="str">
        <f>tblCourse[[#This Row],[CourseCode]]&amp;"/"&amp;tblCourse[[#This Row],[Ccampus]]&amp;"/"&amp;tblCourse[[#This Row],[CIntake]]</f>
        <v>BSNS5001/Taradale/Jul</v>
      </c>
    </row>
    <row r="49" spans="1:15">
      <c r="A49">
        <v>615</v>
      </c>
      <c r="B49" t="s">
        <v>128</v>
      </c>
      <c r="C49" t="s">
        <v>129</v>
      </c>
      <c r="D49" t="s">
        <v>93</v>
      </c>
      <c r="E49" t="s">
        <v>20</v>
      </c>
      <c r="F49">
        <v>81</v>
      </c>
      <c r="G49" t="s">
        <v>72</v>
      </c>
      <c r="H49" t="s">
        <v>11</v>
      </c>
      <c r="I49" t="str">
        <f>tblCourse[[#This Row],[CourseCode]]&amp;"/"&amp;tblCourse[[#This Row],[CRegion]]&amp;"/"&amp;tblCourse[[#This Row],[CIntake]]</f>
        <v>BSNS5001/TC/Jul</v>
      </c>
      <c r="J49" t="b">
        <v>0</v>
      </c>
      <c r="K49" t="str">
        <f>INDEX(tblCampus[CampusName],MATCH(tblCourse[[#This Row],[CRegion]],tblCampus[CampusCode],))</f>
        <v>Palmerston Rd</v>
      </c>
      <c r="L49" t="str">
        <f>tblCourse[[#This Row],[CourseDescript]]&amp;"  -  "&amp;tblCourse[[#This Row],[Ccampus]]&amp;"  -  "&amp;tblCourse[[#This Row],[CIntake]]</f>
        <v>Organisations in an Aotearoa New Zealand  -  Palmerston Rd  -  Jul</v>
      </c>
      <c r="M49" t="str">
        <f>tblCourse[[#This Row],[ProgFullCode]]&amp;"/1"</f>
        <v>NZDB/TC/Feb/1</v>
      </c>
      <c r="N49" t="str">
        <f>INDEX(Programmes!G:G,MATCH(tblCourse[[#This Row],[ProgNumb]],Programmes!A:A,))</f>
        <v>NZDB/TC/Feb</v>
      </c>
      <c r="O49" t="str">
        <f>tblCourse[[#This Row],[CourseCode]]&amp;"/"&amp;tblCourse[[#This Row],[Ccampus]]&amp;"/"&amp;tblCourse[[#This Row],[CIntake]]</f>
        <v>BSNS5001/Palmerston Rd/Jul</v>
      </c>
    </row>
    <row r="50" spans="1:15">
      <c r="A50">
        <v>617</v>
      </c>
      <c r="B50" t="s">
        <v>130</v>
      </c>
      <c r="C50" t="s">
        <v>131</v>
      </c>
      <c r="D50" t="s">
        <v>83</v>
      </c>
      <c r="E50" t="s">
        <v>14</v>
      </c>
      <c r="F50">
        <v>82</v>
      </c>
      <c r="G50" t="s">
        <v>72</v>
      </c>
      <c r="H50" t="s">
        <v>11</v>
      </c>
      <c r="I50" t="str">
        <f>tblCourse[[#This Row],[CourseCode]]&amp;"/"&amp;tblCourse[[#This Row],[CRegion]]&amp;"/"&amp;tblCourse[[#This Row],[CIntake]]</f>
        <v>BSNS5002/HB/Feb</v>
      </c>
      <c r="J50" t="b">
        <v>0</v>
      </c>
      <c r="K50" t="str">
        <f>INDEX(tblCampus[CampusName],MATCH(tblCourse[[#This Row],[CRegion]],tblCampus[CampusCode],))</f>
        <v>Taradale</v>
      </c>
      <c r="L50" t="str">
        <f>tblCourse[[#This Row],[CourseDescript]]&amp;"  -  "&amp;tblCourse[[#This Row],[Ccampus]]&amp;"  -  "&amp;tblCourse[[#This Row],[CIntake]]</f>
        <v>Business Environments  -  Taradale  -  Feb</v>
      </c>
      <c r="M50" t="str">
        <f>tblCourse[[#This Row],[ProgFullCode]]&amp;"/1"</f>
        <v>NZDB/HB/Feb/1</v>
      </c>
      <c r="N50" t="str">
        <f>INDEX(Programmes!G:G,MATCH(tblCourse[[#This Row],[ProgNumb]],Programmes!A:A,))</f>
        <v>NZDB/HB/Feb</v>
      </c>
      <c r="O50" t="str">
        <f>tblCourse[[#This Row],[CourseCode]]&amp;"/"&amp;tblCourse[[#This Row],[Ccampus]]&amp;"/"&amp;tblCourse[[#This Row],[CIntake]]</f>
        <v>BSNS5002/Taradale/Feb</v>
      </c>
    </row>
    <row r="51" spans="1:15">
      <c r="A51">
        <v>616</v>
      </c>
      <c r="B51" t="s">
        <v>130</v>
      </c>
      <c r="C51" t="s">
        <v>131</v>
      </c>
      <c r="D51" t="s">
        <v>83</v>
      </c>
      <c r="E51" t="s">
        <v>20</v>
      </c>
      <c r="F51">
        <v>82</v>
      </c>
      <c r="G51" t="s">
        <v>72</v>
      </c>
      <c r="H51" t="s">
        <v>11</v>
      </c>
      <c r="I51" t="str">
        <f>tblCourse[[#This Row],[CourseCode]]&amp;"/"&amp;tblCourse[[#This Row],[CRegion]]&amp;"/"&amp;tblCourse[[#This Row],[CIntake]]</f>
        <v>BSNS5002/HB/Jul</v>
      </c>
      <c r="J51" t="b">
        <v>0</v>
      </c>
      <c r="K51" t="str">
        <f>INDEX(tblCampus[CampusName],MATCH(tblCourse[[#This Row],[CRegion]],tblCampus[CampusCode],))</f>
        <v>Taradale</v>
      </c>
      <c r="L51" t="str">
        <f>tblCourse[[#This Row],[CourseDescript]]&amp;"  -  "&amp;tblCourse[[#This Row],[Ccampus]]&amp;"  -  "&amp;tblCourse[[#This Row],[CIntake]]</f>
        <v>Business Environments  -  Taradale  -  Jul</v>
      </c>
      <c r="M51" t="str">
        <f>tblCourse[[#This Row],[ProgFullCode]]&amp;"/1"</f>
        <v>NZDB/HB/Feb/1</v>
      </c>
      <c r="N51" t="str">
        <f>INDEX(Programmes!G:G,MATCH(tblCourse[[#This Row],[ProgNumb]],Programmes!A:A,))</f>
        <v>NZDB/HB/Feb</v>
      </c>
      <c r="O51" t="str">
        <f>tblCourse[[#This Row],[CourseCode]]&amp;"/"&amp;tblCourse[[#This Row],[Ccampus]]&amp;"/"&amp;tblCourse[[#This Row],[CIntake]]</f>
        <v>BSNS5002/Taradale/Jul</v>
      </c>
    </row>
    <row r="52" spans="1:15">
      <c r="A52">
        <v>568</v>
      </c>
      <c r="B52" t="s">
        <v>132</v>
      </c>
      <c r="C52" t="s">
        <v>131</v>
      </c>
      <c r="D52" t="s">
        <v>93</v>
      </c>
      <c r="E52" t="s">
        <v>14</v>
      </c>
      <c r="F52">
        <v>81</v>
      </c>
      <c r="G52" t="s">
        <v>72</v>
      </c>
      <c r="H52" t="s">
        <v>11</v>
      </c>
      <c r="I52" t="str">
        <f>tblCourse[[#This Row],[CourseCode]]&amp;"/"&amp;tblCourse[[#This Row],[CRegion]]&amp;"/"&amp;tblCourse[[#This Row],[CIntake]]</f>
        <v>BSNS5002/TC/Feb</v>
      </c>
      <c r="J52" t="b">
        <v>0</v>
      </c>
      <c r="K52" t="str">
        <f>INDEX(tblCampus[CampusName],MATCH(tblCourse[[#This Row],[CRegion]],tblCampus[CampusCode],))</f>
        <v>Palmerston Rd</v>
      </c>
      <c r="L52" t="str">
        <f>tblCourse[[#This Row],[CourseDescript]]&amp;"  -  "&amp;tblCourse[[#This Row],[Ccampus]]&amp;"  -  "&amp;tblCourse[[#This Row],[CIntake]]</f>
        <v>Business Environmentsss  -  Palmerston Rd  -  Feb</v>
      </c>
      <c r="M52" t="str">
        <f>tblCourse[[#This Row],[ProgFullCode]]&amp;"/1"</f>
        <v>NZDB/TC/Feb/1</v>
      </c>
      <c r="N52" t="str">
        <f>INDEX(Programmes!G:G,MATCH(tblCourse[[#This Row],[ProgNumb]],Programmes!A:A,))</f>
        <v>NZDB/TC/Feb</v>
      </c>
      <c r="O52" t="str">
        <f>tblCourse[[#This Row],[CourseCode]]&amp;"/"&amp;tblCourse[[#This Row],[Ccampus]]&amp;"/"&amp;tblCourse[[#This Row],[CIntake]]</f>
        <v>BSNS5002/Palmerston Rd/Feb</v>
      </c>
    </row>
    <row r="53" spans="1:15">
      <c r="A53">
        <v>618</v>
      </c>
      <c r="B53" t="s">
        <v>133</v>
      </c>
      <c r="C53" t="s">
        <v>134</v>
      </c>
      <c r="D53" t="s">
        <v>83</v>
      </c>
      <c r="E53" t="s">
        <v>14</v>
      </c>
      <c r="F53">
        <v>82</v>
      </c>
      <c r="G53" t="s">
        <v>72</v>
      </c>
      <c r="H53" t="s">
        <v>11</v>
      </c>
      <c r="I53" t="str">
        <f>tblCourse[[#This Row],[CourseCode]]&amp;"/"&amp;tblCourse[[#This Row],[CRegion]]&amp;"/"&amp;tblCourse[[#This Row],[CIntake]]</f>
        <v>BSNS5003/HB/Feb</v>
      </c>
      <c r="J53" t="b">
        <v>0</v>
      </c>
      <c r="K53" t="str">
        <f>INDEX(tblCampus[CampusName],MATCH(tblCourse[[#This Row],[CRegion]],tblCampus[CampusCode],))</f>
        <v>Taradale</v>
      </c>
      <c r="L53" t="str">
        <f>tblCourse[[#This Row],[CourseDescript]]&amp;"  -  "&amp;tblCourse[[#This Row],[Ccampus]]&amp;"  -  "&amp;tblCourse[[#This Row],[CIntake]]</f>
        <v>Business Functions  -  Taradale  -  Feb</v>
      </c>
      <c r="M53" t="str">
        <f>tblCourse[[#This Row],[ProgFullCode]]&amp;"/1"</f>
        <v>NZDB/HB/Feb/1</v>
      </c>
      <c r="N53" t="str">
        <f>INDEX(Programmes!G:G,MATCH(tblCourse[[#This Row],[ProgNumb]],Programmes!A:A,))</f>
        <v>NZDB/HB/Feb</v>
      </c>
      <c r="O53" t="str">
        <f>tblCourse[[#This Row],[CourseCode]]&amp;"/"&amp;tblCourse[[#This Row],[Ccampus]]&amp;"/"&amp;tblCourse[[#This Row],[CIntake]]</f>
        <v>BSNS5003/Taradale/Feb</v>
      </c>
    </row>
    <row r="54" spans="1:15">
      <c r="A54">
        <v>620</v>
      </c>
      <c r="B54" t="s">
        <v>133</v>
      </c>
      <c r="C54" t="s">
        <v>134</v>
      </c>
      <c r="D54" t="s">
        <v>83</v>
      </c>
      <c r="E54" t="s">
        <v>20</v>
      </c>
      <c r="F54">
        <v>82</v>
      </c>
      <c r="G54" t="s">
        <v>72</v>
      </c>
      <c r="H54" t="s">
        <v>11</v>
      </c>
      <c r="I54" t="str">
        <f>tblCourse[[#This Row],[CourseCode]]&amp;"/"&amp;tblCourse[[#This Row],[CRegion]]&amp;"/"&amp;tblCourse[[#This Row],[CIntake]]</f>
        <v>BSNS5003/HB/Jul</v>
      </c>
      <c r="J54" t="b">
        <v>0</v>
      </c>
      <c r="K54" t="str">
        <f>INDEX(tblCampus[CampusName],MATCH(tblCourse[[#This Row],[CRegion]],tblCampus[CampusCode],))</f>
        <v>Taradale</v>
      </c>
      <c r="L54" t="str">
        <f>tblCourse[[#This Row],[CourseDescript]]&amp;"  -  "&amp;tblCourse[[#This Row],[Ccampus]]&amp;"  -  "&amp;tblCourse[[#This Row],[CIntake]]</f>
        <v>Business Functions  -  Taradale  -  Jul</v>
      </c>
      <c r="M54" t="str">
        <f>tblCourse[[#This Row],[ProgFullCode]]&amp;"/1"</f>
        <v>NZDB/HB/Feb/1</v>
      </c>
      <c r="N54" t="str">
        <f>INDEX(Programmes!G:G,MATCH(tblCourse[[#This Row],[ProgNumb]],Programmes!A:A,))</f>
        <v>NZDB/HB/Feb</v>
      </c>
      <c r="O54" t="str">
        <f>tblCourse[[#This Row],[CourseCode]]&amp;"/"&amp;tblCourse[[#This Row],[Ccampus]]&amp;"/"&amp;tblCourse[[#This Row],[CIntake]]</f>
        <v>BSNS5003/Taradale/Jul</v>
      </c>
    </row>
    <row r="55" spans="1:15">
      <c r="A55">
        <v>619</v>
      </c>
      <c r="B55" t="s">
        <v>133</v>
      </c>
      <c r="C55" t="s">
        <v>134</v>
      </c>
      <c r="D55" t="s">
        <v>93</v>
      </c>
      <c r="E55" t="s">
        <v>14</v>
      </c>
      <c r="F55">
        <v>81</v>
      </c>
      <c r="G55" t="s">
        <v>72</v>
      </c>
      <c r="H55" t="s">
        <v>11</v>
      </c>
      <c r="I55" t="str">
        <f>tblCourse[[#This Row],[CourseCode]]&amp;"/"&amp;tblCourse[[#This Row],[CRegion]]&amp;"/"&amp;tblCourse[[#This Row],[CIntake]]</f>
        <v>BSNS5003/TC/Feb</v>
      </c>
      <c r="J55" t="b">
        <v>0</v>
      </c>
      <c r="K55" t="str">
        <f>INDEX(tblCampus[CampusName],MATCH(tblCourse[[#This Row],[CRegion]],tblCampus[CampusCode],))</f>
        <v>Palmerston Rd</v>
      </c>
      <c r="L55" t="str">
        <f>tblCourse[[#This Row],[CourseDescript]]&amp;"  -  "&amp;tblCourse[[#This Row],[Ccampus]]&amp;"  -  "&amp;tblCourse[[#This Row],[CIntake]]</f>
        <v>Business Functions  -  Palmerston Rd  -  Feb</v>
      </c>
      <c r="M55" t="str">
        <f>tblCourse[[#This Row],[ProgFullCode]]&amp;"/1"</f>
        <v>NZDB/TC/Feb/1</v>
      </c>
      <c r="N55" t="str">
        <f>INDEX(Programmes!G:G,MATCH(tblCourse[[#This Row],[ProgNumb]],Programmes!A:A,))</f>
        <v>NZDB/TC/Feb</v>
      </c>
      <c r="O55" t="str">
        <f>tblCourse[[#This Row],[CourseCode]]&amp;"/"&amp;tblCourse[[#This Row],[Ccampus]]&amp;"/"&amp;tblCourse[[#This Row],[CIntake]]</f>
        <v>BSNS5003/Palmerston Rd/Feb</v>
      </c>
    </row>
    <row r="56" spans="1:15">
      <c r="A56">
        <v>621</v>
      </c>
      <c r="B56" t="s">
        <v>135</v>
      </c>
      <c r="C56" t="s">
        <v>136</v>
      </c>
      <c r="D56" t="s">
        <v>83</v>
      </c>
      <c r="E56" t="s">
        <v>14</v>
      </c>
      <c r="F56">
        <v>82</v>
      </c>
      <c r="G56" t="s">
        <v>72</v>
      </c>
      <c r="H56" t="s">
        <v>11</v>
      </c>
      <c r="I56" t="str">
        <f>tblCourse[[#This Row],[CourseCode]]&amp;"/"&amp;tblCourse[[#This Row],[CRegion]]&amp;"/"&amp;tblCourse[[#This Row],[CIntake]]</f>
        <v>BSNS5004/HB/Feb</v>
      </c>
      <c r="J56" t="b">
        <v>0</v>
      </c>
      <c r="K56" t="str">
        <f>INDEX(tblCampus[CampusName],MATCH(tblCourse[[#This Row],[CRegion]],tblCampus[CampusCode],))</f>
        <v>Taradale</v>
      </c>
      <c r="L56" t="str">
        <f>tblCourse[[#This Row],[CourseDescript]]&amp;"  -  "&amp;tblCourse[[#This Row],[Ccampus]]&amp;"  -  "&amp;tblCourse[[#This Row],[CIntake]]</f>
        <v>Change and Innovation  -  Taradale  -  Feb</v>
      </c>
      <c r="M56" t="str">
        <f>tblCourse[[#This Row],[ProgFullCode]]&amp;"/1"</f>
        <v>NZDB/HB/Feb/1</v>
      </c>
      <c r="N56" t="str">
        <f>INDEX(Programmes!G:G,MATCH(tblCourse[[#This Row],[ProgNumb]],Programmes!A:A,))</f>
        <v>NZDB/HB/Feb</v>
      </c>
      <c r="O56" t="str">
        <f>tblCourse[[#This Row],[CourseCode]]&amp;"/"&amp;tblCourse[[#This Row],[Ccampus]]&amp;"/"&amp;tblCourse[[#This Row],[CIntake]]</f>
        <v>BSNS5004/Taradale/Feb</v>
      </c>
    </row>
    <row r="57" spans="1:15">
      <c r="A57">
        <v>623</v>
      </c>
      <c r="B57" t="s">
        <v>135</v>
      </c>
      <c r="C57" t="s">
        <v>136</v>
      </c>
      <c r="D57" t="s">
        <v>83</v>
      </c>
      <c r="E57" t="s">
        <v>20</v>
      </c>
      <c r="F57">
        <v>82</v>
      </c>
      <c r="G57" t="s">
        <v>72</v>
      </c>
      <c r="H57" t="s">
        <v>11</v>
      </c>
      <c r="I57" t="str">
        <f>tblCourse[[#This Row],[CourseCode]]&amp;"/"&amp;tblCourse[[#This Row],[CRegion]]&amp;"/"&amp;tblCourse[[#This Row],[CIntake]]</f>
        <v>BSNS5004/HB/Jul</v>
      </c>
      <c r="J57" t="b">
        <v>0</v>
      </c>
      <c r="K57" t="str">
        <f>INDEX(tblCampus[CampusName],MATCH(tblCourse[[#This Row],[CRegion]],tblCampus[CampusCode],))</f>
        <v>Taradale</v>
      </c>
      <c r="L57" t="str">
        <f>tblCourse[[#This Row],[CourseDescript]]&amp;"  -  "&amp;tblCourse[[#This Row],[Ccampus]]&amp;"  -  "&amp;tblCourse[[#This Row],[CIntake]]</f>
        <v>Change and Innovation  -  Taradale  -  Jul</v>
      </c>
      <c r="M57" t="str">
        <f>tblCourse[[#This Row],[ProgFullCode]]&amp;"/1"</f>
        <v>NZDB/HB/Feb/1</v>
      </c>
      <c r="N57" t="str">
        <f>INDEX(Programmes!G:G,MATCH(tblCourse[[#This Row],[ProgNumb]],Programmes!A:A,))</f>
        <v>NZDB/HB/Feb</v>
      </c>
      <c r="O57" t="str">
        <f>tblCourse[[#This Row],[CourseCode]]&amp;"/"&amp;tblCourse[[#This Row],[Ccampus]]&amp;"/"&amp;tblCourse[[#This Row],[CIntake]]</f>
        <v>BSNS5004/Taradale/Jul</v>
      </c>
    </row>
    <row r="58" spans="1:15">
      <c r="A58">
        <v>622</v>
      </c>
      <c r="B58" t="s">
        <v>135</v>
      </c>
      <c r="C58" t="s">
        <v>136</v>
      </c>
      <c r="D58" t="s">
        <v>93</v>
      </c>
      <c r="E58" t="s">
        <v>20</v>
      </c>
      <c r="F58">
        <v>81</v>
      </c>
      <c r="G58" t="s">
        <v>72</v>
      </c>
      <c r="H58" t="s">
        <v>11</v>
      </c>
      <c r="I58" t="str">
        <f>tblCourse[[#This Row],[CourseCode]]&amp;"/"&amp;tblCourse[[#This Row],[CRegion]]&amp;"/"&amp;tblCourse[[#This Row],[CIntake]]</f>
        <v>BSNS5004/TC/Jul</v>
      </c>
      <c r="J58" t="b">
        <v>0</v>
      </c>
      <c r="K58" t="str">
        <f>INDEX(tblCampus[CampusName],MATCH(tblCourse[[#This Row],[CRegion]],tblCampus[CampusCode],))</f>
        <v>Palmerston Rd</v>
      </c>
      <c r="L58" t="str">
        <f>tblCourse[[#This Row],[CourseDescript]]&amp;"  -  "&amp;tblCourse[[#This Row],[Ccampus]]&amp;"  -  "&amp;tblCourse[[#This Row],[CIntake]]</f>
        <v>Change and Innovation  -  Palmerston Rd  -  Jul</v>
      </c>
      <c r="M58" t="str">
        <f>tblCourse[[#This Row],[ProgFullCode]]&amp;"/1"</f>
        <v>NZDB/TC/Feb/1</v>
      </c>
      <c r="N58" t="str">
        <f>INDEX(Programmes!G:G,MATCH(tblCourse[[#This Row],[ProgNumb]],Programmes!A:A,))</f>
        <v>NZDB/TC/Feb</v>
      </c>
      <c r="O58" t="str">
        <f>tblCourse[[#This Row],[CourseCode]]&amp;"/"&amp;tblCourse[[#This Row],[Ccampus]]&amp;"/"&amp;tblCourse[[#This Row],[CIntake]]</f>
        <v>BSNS5004/Palmerston Rd/Jul</v>
      </c>
    </row>
    <row r="59" spans="1:15">
      <c r="A59">
        <v>631</v>
      </c>
      <c r="B59" t="s">
        <v>137</v>
      </c>
      <c r="C59" t="s">
        <v>138</v>
      </c>
      <c r="D59" t="s">
        <v>83</v>
      </c>
      <c r="E59" t="s">
        <v>14</v>
      </c>
      <c r="F59">
        <v>82</v>
      </c>
      <c r="G59" t="s">
        <v>72</v>
      </c>
      <c r="H59" t="s">
        <v>11</v>
      </c>
      <c r="I59" t="str">
        <f>tblCourse[[#This Row],[CourseCode]]&amp;"/"&amp;tblCourse[[#This Row],[CRegion]]&amp;"/"&amp;tblCourse[[#This Row],[CIntake]]</f>
        <v>BSNS5401/HB/Feb</v>
      </c>
      <c r="J59" t="b">
        <v>0</v>
      </c>
      <c r="K59" t="str">
        <f>INDEX(tblCampus[CampusName],MATCH(tblCourse[[#This Row],[CRegion]],tblCampus[CampusCode],))</f>
        <v>Taradale</v>
      </c>
      <c r="L59" t="str">
        <f>tblCourse[[#This Row],[CourseDescript]]&amp;"  -  "&amp;tblCourse[[#This Row],[Ccampus]]&amp;"  -  "&amp;tblCourse[[#This Row],[CIntake]]</f>
        <v>Introduction to Leadership  -  Taradale  -  Feb</v>
      </c>
      <c r="M59" t="str">
        <f>tblCourse[[#This Row],[ProgFullCode]]&amp;"/1"</f>
        <v>NZDB/HB/Feb/1</v>
      </c>
      <c r="N59" t="str">
        <f>INDEX(Programmes!G:G,MATCH(tblCourse[[#This Row],[ProgNumb]],Programmes!A:A,))</f>
        <v>NZDB/HB/Feb</v>
      </c>
      <c r="O59" t="str">
        <f>tblCourse[[#This Row],[CourseCode]]&amp;"/"&amp;tblCourse[[#This Row],[Ccampus]]&amp;"/"&amp;tblCourse[[#This Row],[CIntake]]</f>
        <v>BSNS5401/Taradale/Feb</v>
      </c>
    </row>
    <row r="60" spans="1:15">
      <c r="A60">
        <v>99998</v>
      </c>
      <c r="B60" t="s">
        <v>137</v>
      </c>
      <c r="C60" t="s">
        <v>138</v>
      </c>
      <c r="D60" t="s">
        <v>83</v>
      </c>
      <c r="E60" t="s">
        <v>20</v>
      </c>
      <c r="F60">
        <v>82</v>
      </c>
      <c r="G60" t="s">
        <v>72</v>
      </c>
      <c r="H60" t="s">
        <v>11</v>
      </c>
      <c r="I60" t="str">
        <f>tblCourse[[#This Row],[CourseCode]]&amp;"/"&amp;tblCourse[[#This Row],[CRegion]]&amp;"/"&amp;tblCourse[[#This Row],[CIntake]]</f>
        <v>BSNS5401/HB/Jul</v>
      </c>
      <c r="J60" t="b">
        <v>0</v>
      </c>
      <c r="K60" t="str">
        <f>INDEX(tblCampus[CampusName],MATCH(tblCourse[[#This Row],[CRegion]],tblCampus[CampusCode],))</f>
        <v>Taradale</v>
      </c>
      <c r="L60" t="str">
        <f>tblCourse[[#This Row],[CourseDescript]]&amp;"  -  "&amp;tblCourse[[#This Row],[Ccampus]]&amp;"  -  "&amp;tblCourse[[#This Row],[CIntake]]</f>
        <v>Introduction to Leadership  -  Taradale  -  Jul</v>
      </c>
      <c r="M60" t="str">
        <f>tblCourse[[#This Row],[ProgFullCode]]&amp;"/1"</f>
        <v>NZDB/HB/Feb/1</v>
      </c>
      <c r="N60" t="str">
        <f>INDEX(Programmes!G:G,MATCH(tblCourse[[#This Row],[ProgNumb]],Programmes!A:A,))</f>
        <v>NZDB/HB/Feb</v>
      </c>
      <c r="O60" t="str">
        <f>tblCourse[[#This Row],[CourseCode]]&amp;"/"&amp;tblCourse[[#This Row],[Ccampus]]&amp;"/"&amp;tblCourse[[#This Row],[CIntake]]</f>
        <v>BSNS5401/Taradale/Jul</v>
      </c>
    </row>
    <row r="61" spans="1:15">
      <c r="A61">
        <v>632</v>
      </c>
      <c r="B61" t="s">
        <v>137</v>
      </c>
      <c r="C61" t="s">
        <v>138</v>
      </c>
      <c r="D61" t="s">
        <v>93</v>
      </c>
      <c r="E61" t="s">
        <v>20</v>
      </c>
      <c r="F61">
        <v>81</v>
      </c>
      <c r="G61" t="s">
        <v>72</v>
      </c>
      <c r="H61" t="s">
        <v>11</v>
      </c>
      <c r="I61" t="str">
        <f>tblCourse[[#This Row],[CourseCode]]&amp;"/"&amp;tblCourse[[#This Row],[CRegion]]&amp;"/"&amp;tblCourse[[#This Row],[CIntake]]</f>
        <v>BSNS5401/TC/Jul</v>
      </c>
      <c r="J61" t="b">
        <v>0</v>
      </c>
      <c r="K61" t="str">
        <f>INDEX(tblCampus[CampusName],MATCH(tblCourse[[#This Row],[CRegion]],tblCampus[CampusCode],))</f>
        <v>Palmerston Rd</v>
      </c>
      <c r="L61" t="str">
        <f>tblCourse[[#This Row],[CourseDescript]]&amp;"  -  "&amp;tblCourse[[#This Row],[Ccampus]]&amp;"  -  "&amp;tblCourse[[#This Row],[CIntake]]</f>
        <v>Introduction to Leadership  -  Palmerston Rd  -  Jul</v>
      </c>
      <c r="M61" t="str">
        <f>tblCourse[[#This Row],[ProgFullCode]]&amp;"/1"</f>
        <v>NZDB/TC/Feb/1</v>
      </c>
      <c r="N61" t="str">
        <f>INDEX(Programmes!G:G,MATCH(tblCourse[[#This Row],[ProgNumb]],Programmes!A:A,))</f>
        <v>NZDB/TC/Feb</v>
      </c>
      <c r="O61" t="str">
        <f>tblCourse[[#This Row],[CourseCode]]&amp;"/"&amp;tblCourse[[#This Row],[Ccampus]]&amp;"/"&amp;tblCourse[[#This Row],[CIntake]]</f>
        <v>BSNS5401/Palmerston Rd/Jul</v>
      </c>
    </row>
    <row r="62" spans="1:15">
      <c r="A62">
        <v>625</v>
      </c>
      <c r="B62" t="s">
        <v>139</v>
      </c>
      <c r="C62" t="s">
        <v>140</v>
      </c>
      <c r="D62" t="s">
        <v>83</v>
      </c>
      <c r="E62" t="s">
        <v>14</v>
      </c>
      <c r="F62">
        <v>82</v>
      </c>
      <c r="G62" t="s">
        <v>72</v>
      </c>
      <c r="H62" t="s">
        <v>11</v>
      </c>
      <c r="I62" t="str">
        <f>tblCourse[[#This Row],[CourseCode]]&amp;"/"&amp;tblCourse[[#This Row],[CRegion]]&amp;"/"&amp;tblCourse[[#This Row],[CIntake]]</f>
        <v>BSNS5402/HB/Feb</v>
      </c>
      <c r="J62" t="b">
        <v>0</v>
      </c>
      <c r="K62" t="str">
        <f>INDEX(tblCampus[CampusName],MATCH(tblCourse[[#This Row],[CRegion]],tblCampus[CampusCode],))</f>
        <v>Taradale</v>
      </c>
      <c r="L62" t="str">
        <f>tblCourse[[#This Row],[CourseDescript]]&amp;"  -  "&amp;tblCourse[[#This Row],[Ccampus]]&amp;"  -  "&amp;tblCourse[[#This Row],[CIntake]]</f>
        <v>Operations Management and Compliance  -  Taradale  -  Feb</v>
      </c>
      <c r="M62" t="str">
        <f>tblCourse[[#This Row],[ProgFullCode]]&amp;"/1"</f>
        <v>NZDB/HB/Feb/1</v>
      </c>
      <c r="N62" t="str">
        <f>INDEX(Programmes!G:G,MATCH(tblCourse[[#This Row],[ProgNumb]],Programmes!A:A,))</f>
        <v>NZDB/HB/Feb</v>
      </c>
      <c r="O62" t="str">
        <f>tblCourse[[#This Row],[CourseCode]]&amp;"/"&amp;tblCourse[[#This Row],[Ccampus]]&amp;"/"&amp;tblCourse[[#This Row],[CIntake]]</f>
        <v>BSNS5402/Taradale/Feb</v>
      </c>
    </row>
    <row r="63" spans="1:15">
      <c r="A63">
        <v>99999</v>
      </c>
      <c r="B63" t="s">
        <v>139</v>
      </c>
      <c r="C63" t="s">
        <v>140</v>
      </c>
      <c r="D63" t="s">
        <v>83</v>
      </c>
      <c r="E63" t="s">
        <v>20</v>
      </c>
      <c r="F63">
        <v>82</v>
      </c>
      <c r="G63" t="s">
        <v>72</v>
      </c>
      <c r="H63" t="s">
        <v>11</v>
      </c>
      <c r="I63" t="str">
        <f>tblCourse[[#This Row],[CourseCode]]&amp;"/"&amp;tblCourse[[#This Row],[CRegion]]&amp;"/"&amp;tblCourse[[#This Row],[CIntake]]</f>
        <v>BSNS5402/HB/Jul</v>
      </c>
      <c r="J63" t="b">
        <v>0</v>
      </c>
      <c r="K63" t="str">
        <f>INDEX(tblCampus[CampusName],MATCH(tblCourse[[#This Row],[CRegion]],tblCampus[CampusCode],))</f>
        <v>Taradale</v>
      </c>
      <c r="L63" t="str">
        <f>tblCourse[[#This Row],[CourseDescript]]&amp;"  -  "&amp;tblCourse[[#This Row],[Ccampus]]&amp;"  -  "&amp;tblCourse[[#This Row],[CIntake]]</f>
        <v>Operations Management and Compliance  -  Taradale  -  Jul</v>
      </c>
      <c r="M63" t="str">
        <f>tblCourse[[#This Row],[ProgFullCode]]&amp;"/1"</f>
        <v>NZDB/HB/Feb/1</v>
      </c>
      <c r="N63" t="str">
        <f>INDEX(Programmes!G:G,MATCH(tblCourse[[#This Row],[ProgNumb]],Programmes!A:A,))</f>
        <v>NZDB/HB/Feb</v>
      </c>
      <c r="O63" t="str">
        <f>tblCourse[[#This Row],[CourseCode]]&amp;"/"&amp;tblCourse[[#This Row],[Ccampus]]&amp;"/"&amp;tblCourse[[#This Row],[CIntake]]</f>
        <v>BSNS5402/Taradale/Jul</v>
      </c>
    </row>
    <row r="64" spans="1:15">
      <c r="A64">
        <v>626</v>
      </c>
      <c r="B64" t="s">
        <v>139</v>
      </c>
      <c r="C64" t="s">
        <v>140</v>
      </c>
      <c r="D64" t="s">
        <v>93</v>
      </c>
      <c r="E64" t="s">
        <v>14</v>
      </c>
      <c r="F64">
        <v>81</v>
      </c>
      <c r="G64" t="s">
        <v>72</v>
      </c>
      <c r="H64" t="s">
        <v>11</v>
      </c>
      <c r="I64" t="str">
        <f>tblCourse[[#This Row],[CourseCode]]&amp;"/"&amp;tblCourse[[#This Row],[CRegion]]&amp;"/"&amp;tblCourse[[#This Row],[CIntake]]</f>
        <v>BSNS5402/TC/Feb</v>
      </c>
      <c r="J64" t="b">
        <v>0</v>
      </c>
      <c r="K64" t="str">
        <f>INDEX(tblCampus[CampusName],MATCH(tblCourse[[#This Row],[CRegion]],tblCampus[CampusCode],))</f>
        <v>Palmerston Rd</v>
      </c>
      <c r="L64" t="str">
        <f>tblCourse[[#This Row],[CourseDescript]]&amp;"  -  "&amp;tblCourse[[#This Row],[Ccampus]]&amp;"  -  "&amp;tblCourse[[#This Row],[CIntake]]</f>
        <v>Operations Management and Compliance  -  Palmerston Rd  -  Feb</v>
      </c>
      <c r="M64" t="str">
        <f>tblCourse[[#This Row],[ProgFullCode]]&amp;"/1"</f>
        <v>NZDB/TC/Feb/1</v>
      </c>
      <c r="N64" t="str">
        <f>INDEX(Programmes!G:G,MATCH(tblCourse[[#This Row],[ProgNumb]],Programmes!A:A,))</f>
        <v>NZDB/TC/Feb</v>
      </c>
      <c r="O64" t="str">
        <f>tblCourse[[#This Row],[CourseCode]]&amp;"/"&amp;tblCourse[[#This Row],[Ccampus]]&amp;"/"&amp;tblCourse[[#This Row],[CIntake]]</f>
        <v>BSNS5402/Palmerston Rd/Feb</v>
      </c>
    </row>
    <row r="65" spans="1:15">
      <c r="A65">
        <v>627</v>
      </c>
      <c r="B65" t="s">
        <v>141</v>
      </c>
      <c r="C65" t="s">
        <v>142</v>
      </c>
      <c r="D65" t="s">
        <v>83</v>
      </c>
      <c r="E65" t="s">
        <v>14</v>
      </c>
      <c r="F65">
        <v>82</v>
      </c>
      <c r="G65" t="s">
        <v>72</v>
      </c>
      <c r="H65" t="s">
        <v>11</v>
      </c>
      <c r="I65" t="str">
        <f>tblCourse[[#This Row],[CourseCode]]&amp;"/"&amp;tblCourse[[#This Row],[CRegion]]&amp;"/"&amp;tblCourse[[#This Row],[CIntake]]</f>
        <v>BSNS5403/HB/Feb</v>
      </c>
      <c r="J65" t="b">
        <v>0</v>
      </c>
      <c r="K65" t="str">
        <f>INDEX(tblCampus[CampusName],MATCH(tblCourse[[#This Row],[CRegion]],tblCampus[CampusCode],))</f>
        <v>Taradale</v>
      </c>
      <c r="L65" t="str">
        <f>tblCourse[[#This Row],[CourseDescript]]&amp;"  -  "&amp;tblCourse[[#This Row],[Ccampus]]&amp;"  -  "&amp;tblCourse[[#This Row],[CIntake]]</f>
        <v>Business Planning  -  Taradale  -  Feb</v>
      </c>
      <c r="M65" t="str">
        <f>tblCourse[[#This Row],[ProgFullCode]]&amp;"/1"</f>
        <v>NZDB/HB/Feb/1</v>
      </c>
      <c r="N65" t="str">
        <f>INDEX(Programmes!G:G,MATCH(tblCourse[[#This Row],[ProgNumb]],Programmes!A:A,))</f>
        <v>NZDB/HB/Feb</v>
      </c>
      <c r="O65" t="str">
        <f>tblCourse[[#This Row],[CourseCode]]&amp;"/"&amp;tblCourse[[#This Row],[Ccampus]]&amp;"/"&amp;tblCourse[[#This Row],[CIntake]]</f>
        <v>BSNS5403/Taradale/Feb</v>
      </c>
    </row>
    <row r="66" spans="1:15">
      <c r="A66">
        <v>100000</v>
      </c>
      <c r="B66" t="s">
        <v>141</v>
      </c>
      <c r="C66" t="s">
        <v>142</v>
      </c>
      <c r="D66" t="s">
        <v>83</v>
      </c>
      <c r="E66" t="s">
        <v>20</v>
      </c>
      <c r="F66">
        <v>82</v>
      </c>
      <c r="G66" t="s">
        <v>72</v>
      </c>
      <c r="H66" t="s">
        <v>11</v>
      </c>
      <c r="I66" t="str">
        <f>tblCourse[[#This Row],[CourseCode]]&amp;"/"&amp;tblCourse[[#This Row],[CRegion]]&amp;"/"&amp;tblCourse[[#This Row],[CIntake]]</f>
        <v>BSNS5403/HB/Jul</v>
      </c>
      <c r="J66" t="b">
        <v>0</v>
      </c>
      <c r="K66" t="str">
        <f>INDEX(tblCampus[CampusName],MATCH(tblCourse[[#This Row],[CRegion]],tblCampus[CampusCode],))</f>
        <v>Taradale</v>
      </c>
      <c r="L66" t="str">
        <f>tblCourse[[#This Row],[CourseDescript]]&amp;"  -  "&amp;tblCourse[[#This Row],[Ccampus]]&amp;"  -  "&amp;tblCourse[[#This Row],[CIntake]]</f>
        <v>Business Planning  -  Taradale  -  Jul</v>
      </c>
      <c r="M66" t="str">
        <f>tblCourse[[#This Row],[ProgFullCode]]&amp;"/1"</f>
        <v>NZDB/HB/Feb/1</v>
      </c>
      <c r="N66" t="str">
        <f>INDEX(Programmes!G:G,MATCH(tblCourse[[#This Row],[ProgNumb]],Programmes!A:A,))</f>
        <v>NZDB/HB/Feb</v>
      </c>
      <c r="O66" t="str">
        <f>tblCourse[[#This Row],[CourseCode]]&amp;"/"&amp;tblCourse[[#This Row],[Ccampus]]&amp;"/"&amp;tblCourse[[#This Row],[CIntake]]</f>
        <v>BSNS5403/Taradale/Jul</v>
      </c>
    </row>
    <row r="67" spans="1:15">
      <c r="A67">
        <v>628</v>
      </c>
      <c r="B67" t="s">
        <v>141</v>
      </c>
      <c r="C67" t="s">
        <v>142</v>
      </c>
      <c r="D67" t="s">
        <v>93</v>
      </c>
      <c r="E67" t="s">
        <v>14</v>
      </c>
      <c r="F67">
        <v>81</v>
      </c>
      <c r="G67" t="s">
        <v>72</v>
      </c>
      <c r="H67" t="s">
        <v>11</v>
      </c>
      <c r="I67" t="str">
        <f>tblCourse[[#This Row],[CourseCode]]&amp;"/"&amp;tblCourse[[#This Row],[CRegion]]&amp;"/"&amp;tblCourse[[#This Row],[CIntake]]</f>
        <v>BSNS5403/TC/Feb</v>
      </c>
      <c r="J67" t="b">
        <v>0</v>
      </c>
      <c r="K67" t="str">
        <f>INDEX(tblCampus[CampusName],MATCH(tblCourse[[#This Row],[CRegion]],tblCampus[CampusCode],))</f>
        <v>Palmerston Rd</v>
      </c>
      <c r="L67" t="str">
        <f>tblCourse[[#This Row],[CourseDescript]]&amp;"  -  "&amp;tblCourse[[#This Row],[Ccampus]]&amp;"  -  "&amp;tblCourse[[#This Row],[CIntake]]</f>
        <v>Business Planning  -  Palmerston Rd  -  Feb</v>
      </c>
      <c r="M67" t="str">
        <f>tblCourse[[#This Row],[ProgFullCode]]&amp;"/1"</f>
        <v>NZDB/TC/Feb/1</v>
      </c>
      <c r="N67" t="str">
        <f>INDEX(Programmes!G:G,MATCH(tblCourse[[#This Row],[ProgNumb]],Programmes!A:A,))</f>
        <v>NZDB/TC/Feb</v>
      </c>
      <c r="O67" t="str">
        <f>tblCourse[[#This Row],[CourseCode]]&amp;"/"&amp;tblCourse[[#This Row],[Ccampus]]&amp;"/"&amp;tblCourse[[#This Row],[CIntake]]</f>
        <v>BSNS5403/Palmerston Rd/Feb</v>
      </c>
    </row>
    <row r="68" spans="1:15">
      <c r="A68">
        <v>634</v>
      </c>
      <c r="B68" t="s">
        <v>143</v>
      </c>
      <c r="C68" t="s">
        <v>144</v>
      </c>
      <c r="D68" t="s">
        <v>83</v>
      </c>
      <c r="E68" t="s">
        <v>14</v>
      </c>
      <c r="F68">
        <v>82</v>
      </c>
      <c r="G68" t="s">
        <v>72</v>
      </c>
      <c r="H68" t="s">
        <v>11</v>
      </c>
      <c r="I68" t="str">
        <f>tblCourse[[#This Row],[CourseCode]]&amp;"/"&amp;tblCourse[[#This Row],[CRegion]]&amp;"/"&amp;tblCourse[[#This Row],[CIntake]]</f>
        <v>BSNS5404/HB/Feb</v>
      </c>
      <c r="J68" t="b">
        <v>0</v>
      </c>
      <c r="K68" t="str">
        <f>INDEX(tblCampus[CampusName],MATCH(tblCourse[[#This Row],[CRegion]],tblCampus[CampusCode],))</f>
        <v>Taradale</v>
      </c>
      <c r="L68" t="str">
        <f>tblCourse[[#This Row],[CourseDescript]]&amp;"  -  "&amp;tblCourse[[#This Row],[Ccampus]]&amp;"  -  "&amp;tblCourse[[#This Row],[CIntake]]</f>
        <v>Managing Projects  -  Taradale  -  Feb</v>
      </c>
      <c r="M68" t="str">
        <f>tblCourse[[#This Row],[ProgFullCode]]&amp;"/1"</f>
        <v>NZDB/HB/Feb/1</v>
      </c>
      <c r="N68" t="str">
        <f>INDEX(Programmes!G:G,MATCH(tblCourse[[#This Row],[ProgNumb]],Programmes!A:A,))</f>
        <v>NZDB/HB/Feb</v>
      </c>
      <c r="O68" t="str">
        <f>tblCourse[[#This Row],[CourseCode]]&amp;"/"&amp;tblCourse[[#This Row],[Ccampus]]&amp;"/"&amp;tblCourse[[#This Row],[CIntake]]</f>
        <v>BSNS5404/Taradale/Feb</v>
      </c>
    </row>
    <row r="69" spans="1:15">
      <c r="A69">
        <v>100002</v>
      </c>
      <c r="B69" t="s">
        <v>143</v>
      </c>
      <c r="C69" t="s">
        <v>144</v>
      </c>
      <c r="D69" t="s">
        <v>83</v>
      </c>
      <c r="E69" t="s">
        <v>20</v>
      </c>
      <c r="F69">
        <v>82</v>
      </c>
      <c r="G69" t="s">
        <v>72</v>
      </c>
      <c r="H69" t="s">
        <v>11</v>
      </c>
      <c r="I69" t="str">
        <f>tblCourse[[#This Row],[CourseCode]]&amp;"/"&amp;tblCourse[[#This Row],[CRegion]]&amp;"/"&amp;tblCourse[[#This Row],[CIntake]]</f>
        <v>BSNS5404/HB/Jul</v>
      </c>
      <c r="J69" t="b">
        <v>0</v>
      </c>
      <c r="K69" t="str">
        <f>INDEX(tblCampus[CampusName],MATCH(tblCourse[[#This Row],[CRegion]],tblCampus[CampusCode],))</f>
        <v>Taradale</v>
      </c>
      <c r="L69" t="str">
        <f>tblCourse[[#This Row],[CourseDescript]]&amp;"  -  "&amp;tblCourse[[#This Row],[Ccampus]]&amp;"  -  "&amp;tblCourse[[#This Row],[CIntake]]</f>
        <v>Managing Projects  -  Taradale  -  Jul</v>
      </c>
      <c r="M69" t="str">
        <f>tblCourse[[#This Row],[ProgFullCode]]&amp;"/1"</f>
        <v>NZDB/HB/Feb/1</v>
      </c>
      <c r="N69" t="str">
        <f>INDEX(Programmes!G:G,MATCH(tblCourse[[#This Row],[ProgNumb]],Programmes!A:A,))</f>
        <v>NZDB/HB/Feb</v>
      </c>
      <c r="O69" t="str">
        <f>tblCourse[[#This Row],[CourseCode]]&amp;"/"&amp;tblCourse[[#This Row],[Ccampus]]&amp;"/"&amp;tblCourse[[#This Row],[CIntake]]</f>
        <v>BSNS5404/Taradale/Jul</v>
      </c>
    </row>
    <row r="70" spans="1:15">
      <c r="A70">
        <v>635</v>
      </c>
      <c r="B70" t="s">
        <v>143</v>
      </c>
      <c r="C70" t="s">
        <v>144</v>
      </c>
      <c r="D70" t="s">
        <v>93</v>
      </c>
      <c r="E70" t="s">
        <v>20</v>
      </c>
      <c r="F70">
        <v>81</v>
      </c>
      <c r="G70" t="s">
        <v>72</v>
      </c>
      <c r="H70" t="s">
        <v>11</v>
      </c>
      <c r="I70" t="str">
        <f>tblCourse[[#This Row],[CourseCode]]&amp;"/"&amp;tblCourse[[#This Row],[CRegion]]&amp;"/"&amp;tblCourse[[#This Row],[CIntake]]</f>
        <v>BSNS5404/TC/Jul</v>
      </c>
      <c r="J70" t="b">
        <v>0</v>
      </c>
      <c r="K70" t="str">
        <f>INDEX(tblCampus[CampusName],MATCH(tblCourse[[#This Row],[CRegion]],tblCampus[CampusCode],))</f>
        <v>Palmerston Rd</v>
      </c>
      <c r="L70" t="str">
        <f>tblCourse[[#This Row],[CourseDescript]]&amp;"  -  "&amp;tblCourse[[#This Row],[Ccampus]]&amp;"  -  "&amp;tblCourse[[#This Row],[CIntake]]</f>
        <v>Managing Projects  -  Palmerston Rd  -  Jul</v>
      </c>
      <c r="M70" t="str">
        <f>tblCourse[[#This Row],[ProgFullCode]]&amp;"/1"</f>
        <v>NZDB/TC/Feb/1</v>
      </c>
      <c r="N70" t="str">
        <f>INDEX(Programmes!G:G,MATCH(tblCourse[[#This Row],[ProgNumb]],Programmes!A:A,))</f>
        <v>NZDB/TC/Feb</v>
      </c>
      <c r="O70" t="str">
        <f>tblCourse[[#This Row],[CourseCode]]&amp;"/"&amp;tblCourse[[#This Row],[Ccampus]]&amp;"/"&amp;tblCourse[[#This Row],[CIntake]]</f>
        <v>BSNS5404/Palmerston Rd/Jul</v>
      </c>
    </row>
    <row r="71" spans="1:15">
      <c r="A71">
        <v>474</v>
      </c>
      <c r="B71" t="s">
        <v>145</v>
      </c>
      <c r="C71" t="s">
        <v>146</v>
      </c>
      <c r="D71" t="s">
        <v>83</v>
      </c>
      <c r="E71" t="s">
        <v>14</v>
      </c>
      <c r="F71">
        <v>72</v>
      </c>
      <c r="G71" t="s">
        <v>72</v>
      </c>
      <c r="H71" t="s">
        <v>11</v>
      </c>
      <c r="I71" t="str">
        <f>tblCourse[[#This Row],[CourseCode]]&amp;"/"&amp;tblCourse[[#This Row],[CRegion]]&amp;"/"&amp;tblCourse[[#This Row],[CIntake]]</f>
        <v>LM6.01/HB/Feb</v>
      </c>
      <c r="J71" t="b">
        <v>0</v>
      </c>
      <c r="K71" t="str">
        <f>INDEX(tblCampus[CampusName],MATCH(tblCourse[[#This Row],[CRegion]],tblCampus[CampusCode],))</f>
        <v>Taradale</v>
      </c>
      <c r="L71" t="str">
        <f>tblCourse[[#This Row],[CourseDescript]]&amp;"  -  "&amp;tblCourse[[#This Row],[Ccampus]]&amp;"  -  "&amp;tblCourse[[#This Row],[CIntake]]</f>
        <v>Accounting and Finance for Managers  -  Taradale  -  Feb</v>
      </c>
      <c r="M71" t="str">
        <f>tblCourse[[#This Row],[ProgFullCode]]&amp;"/1"</f>
        <v>BBS/HB/Feb/1</v>
      </c>
      <c r="N71" t="str">
        <f>INDEX(Programmes!G:G,MATCH(tblCourse[[#This Row],[ProgNumb]],Programmes!A:A,))</f>
        <v>BBS/HB/Feb</v>
      </c>
      <c r="O71" t="str">
        <f>tblCourse[[#This Row],[CourseCode]]&amp;"/"&amp;tblCourse[[#This Row],[Ccampus]]&amp;"/"&amp;tblCourse[[#This Row],[CIntake]]</f>
        <v>LM6.01/Taradale/Feb</v>
      </c>
    </row>
    <row r="72" spans="1:15">
      <c r="A72">
        <v>475</v>
      </c>
      <c r="B72" t="s">
        <v>145</v>
      </c>
      <c r="C72" t="s">
        <v>146</v>
      </c>
      <c r="D72" t="s">
        <v>93</v>
      </c>
      <c r="E72" t="s">
        <v>14</v>
      </c>
      <c r="F72">
        <v>73</v>
      </c>
      <c r="G72" t="s">
        <v>72</v>
      </c>
      <c r="H72" t="s">
        <v>11</v>
      </c>
      <c r="I72" t="str">
        <f>tblCourse[[#This Row],[CourseCode]]&amp;"/"&amp;tblCourse[[#This Row],[CRegion]]&amp;"/"&amp;tblCourse[[#This Row],[CIntake]]</f>
        <v>LM6.01/TC/Feb</v>
      </c>
      <c r="J72" t="b">
        <v>0</v>
      </c>
      <c r="K72" t="str">
        <f>INDEX(tblCampus[CampusName],MATCH(tblCourse[[#This Row],[CRegion]],tblCampus[CampusCode],))</f>
        <v>Palmerston Rd</v>
      </c>
      <c r="L72" t="str">
        <f>tblCourse[[#This Row],[CourseDescript]]&amp;"  -  "&amp;tblCourse[[#This Row],[Ccampus]]&amp;"  -  "&amp;tblCourse[[#This Row],[CIntake]]</f>
        <v>Accounting and Finance for Managers  -  Palmerston Rd  -  Feb</v>
      </c>
      <c r="M72" t="str">
        <f>tblCourse[[#This Row],[ProgFullCode]]&amp;"/1"</f>
        <v>BBS/TC/Feb/1</v>
      </c>
      <c r="N72" t="str">
        <f>INDEX(Programmes!G:G,MATCH(tblCourse[[#This Row],[ProgNumb]],Programmes!A:A,))</f>
        <v>BBS/TC/Feb</v>
      </c>
      <c r="O72" t="str">
        <f>tblCourse[[#This Row],[CourseCode]]&amp;"/"&amp;tblCourse[[#This Row],[Ccampus]]&amp;"/"&amp;tblCourse[[#This Row],[CIntake]]</f>
        <v>LM6.01/Palmerston Rd/Feb</v>
      </c>
    </row>
    <row r="73" spans="1:15">
      <c r="A73">
        <v>693</v>
      </c>
      <c r="B73" t="s">
        <v>141</v>
      </c>
      <c r="C73" t="s">
        <v>147</v>
      </c>
      <c r="D73" t="s">
        <v>83</v>
      </c>
      <c r="E73" t="s">
        <v>20</v>
      </c>
      <c r="F73">
        <v>72</v>
      </c>
      <c r="G73" t="s">
        <v>72</v>
      </c>
      <c r="H73" t="s">
        <v>11</v>
      </c>
      <c r="I73" t="str">
        <f>tblCourse[[#This Row],[CourseCode]]&amp;"/"&amp;tblCourse[[#This Row],[CRegion]]&amp;"/"&amp;tblCourse[[#This Row],[CIntake]]</f>
        <v>LM6.02/HB/Jul</v>
      </c>
      <c r="J73" t="b">
        <v>0</v>
      </c>
      <c r="K73" t="str">
        <f>INDEX(tblCampus[CampusName],MATCH(tblCourse[[#This Row],[CRegion]],tblCampus[CampusCode],))</f>
        <v>Taradale</v>
      </c>
      <c r="L73" t="str">
        <f>tblCourse[[#This Row],[CourseDescript]]&amp;"  -  "&amp;tblCourse[[#This Row],[Ccampus]]&amp;"  -  "&amp;tblCourse[[#This Row],[CIntake]]</f>
        <v>Business Planning  -  Taradale  -  Jul</v>
      </c>
      <c r="M73" t="str">
        <f>tblCourse[[#This Row],[ProgFullCode]]&amp;"/1"</f>
        <v>BBS/HB/Feb/1</v>
      </c>
      <c r="N73" t="str">
        <f>INDEX(Programmes!G:G,MATCH(tblCourse[[#This Row],[ProgNumb]],Programmes!A:A,))</f>
        <v>BBS/HB/Feb</v>
      </c>
      <c r="O73" t="str">
        <f>tblCourse[[#This Row],[CourseCode]]&amp;"/"&amp;tblCourse[[#This Row],[Ccampus]]&amp;"/"&amp;tblCourse[[#This Row],[CIntake]]</f>
        <v>LM6.02/Taradale/Jul</v>
      </c>
    </row>
    <row r="74" spans="1:15">
      <c r="A74">
        <v>696</v>
      </c>
      <c r="B74" t="s">
        <v>141</v>
      </c>
      <c r="C74" t="s">
        <v>147</v>
      </c>
      <c r="D74" t="s">
        <v>93</v>
      </c>
      <c r="E74" t="s">
        <v>20</v>
      </c>
      <c r="F74">
        <v>73</v>
      </c>
      <c r="G74" t="s">
        <v>72</v>
      </c>
      <c r="H74" t="s">
        <v>11</v>
      </c>
      <c r="I74" t="str">
        <f>tblCourse[[#This Row],[CourseCode]]&amp;"/"&amp;tblCourse[[#This Row],[CRegion]]&amp;"/"&amp;tblCourse[[#This Row],[CIntake]]</f>
        <v>LM6.02/TC/Jul</v>
      </c>
      <c r="J74" t="b">
        <v>0</v>
      </c>
      <c r="K74" t="str">
        <f>INDEX(tblCampus[CampusName],MATCH(tblCourse[[#This Row],[CRegion]],tblCampus[CampusCode],))</f>
        <v>Palmerston Rd</v>
      </c>
      <c r="L74" t="str">
        <f>tblCourse[[#This Row],[CourseDescript]]&amp;"  -  "&amp;tblCourse[[#This Row],[Ccampus]]&amp;"  -  "&amp;tblCourse[[#This Row],[CIntake]]</f>
        <v>Business Planning  -  Palmerston Rd  -  Jul</v>
      </c>
      <c r="M74" t="str">
        <f>tblCourse[[#This Row],[ProgFullCode]]&amp;"/1"</f>
        <v>BBS/TC/Feb/1</v>
      </c>
      <c r="N74" t="str">
        <f>INDEX(Programmes!G:G,MATCH(tblCourse[[#This Row],[ProgNumb]],Programmes!A:A,))</f>
        <v>BBS/TC/Feb</v>
      </c>
      <c r="O74" t="str">
        <f>tblCourse[[#This Row],[CourseCode]]&amp;"/"&amp;tblCourse[[#This Row],[Ccampus]]&amp;"/"&amp;tblCourse[[#This Row],[CIntake]]</f>
        <v>LM6.02/Palmerston Rd/Jul</v>
      </c>
    </row>
    <row r="75" spans="1:15">
      <c r="A75">
        <v>483</v>
      </c>
      <c r="B75" t="s">
        <v>148</v>
      </c>
      <c r="C75" t="s">
        <v>149</v>
      </c>
      <c r="D75" t="s">
        <v>83</v>
      </c>
      <c r="E75" t="s">
        <v>14</v>
      </c>
      <c r="F75">
        <v>72</v>
      </c>
      <c r="G75" t="s">
        <v>72</v>
      </c>
      <c r="H75" t="s">
        <v>11</v>
      </c>
      <c r="I75" t="str">
        <f>tblCourse[[#This Row],[CourseCode]]&amp;"/"&amp;tblCourse[[#This Row],[CRegion]]&amp;"/"&amp;tblCourse[[#This Row],[CIntake]]</f>
        <v>LM7.07/HB/Feb</v>
      </c>
      <c r="J75" t="b">
        <v>0</v>
      </c>
      <c r="K75" t="str">
        <f>INDEX(tblCampus[CampusName],MATCH(tblCourse[[#This Row],[CRegion]],tblCampus[CampusCode],))</f>
        <v>Taradale</v>
      </c>
      <c r="L75" t="str">
        <f>tblCourse[[#This Row],[CourseDescript]]&amp;"  -  "&amp;tblCourse[[#This Row],[Ccampus]]&amp;"  -  "&amp;tblCourse[[#This Row],[CIntake]]</f>
        <v>International Business  -  Taradale  -  Feb</v>
      </c>
      <c r="M75" t="str">
        <f>tblCourse[[#This Row],[ProgFullCode]]&amp;"/1"</f>
        <v>BBS/HB/Feb/1</v>
      </c>
      <c r="N75" t="str">
        <f>INDEX(Programmes!G:G,MATCH(tblCourse[[#This Row],[ProgNumb]],Programmes!A:A,))</f>
        <v>BBS/HB/Feb</v>
      </c>
      <c r="O75" t="str">
        <f>tblCourse[[#This Row],[CourseCode]]&amp;"/"&amp;tblCourse[[#This Row],[Ccampus]]&amp;"/"&amp;tblCourse[[#This Row],[CIntake]]</f>
        <v>LM7.07/Taradale/Feb</v>
      </c>
    </row>
    <row r="76" spans="1:15">
      <c r="A76">
        <v>100057</v>
      </c>
      <c r="B76" t="s">
        <v>148</v>
      </c>
      <c r="C76" t="s">
        <v>149</v>
      </c>
      <c r="D76" t="s">
        <v>93</v>
      </c>
      <c r="E76" t="s">
        <v>14</v>
      </c>
      <c r="F76">
        <v>73</v>
      </c>
      <c r="G76" t="s">
        <v>72</v>
      </c>
      <c r="H76" t="s">
        <v>11</v>
      </c>
      <c r="I76" t="str">
        <f>tblCourse[[#This Row],[CourseCode]]&amp;"/"&amp;tblCourse[[#This Row],[CRegion]]&amp;"/"&amp;tblCourse[[#This Row],[CIntake]]</f>
        <v>LM7.07/TC/Feb</v>
      </c>
      <c r="J76" t="b">
        <v>0</v>
      </c>
      <c r="K76" t="str">
        <f>INDEX(tblCampus[CampusName],MATCH(tblCourse[[#This Row],[CRegion]],tblCampus[CampusCode],))</f>
        <v>Palmerston Rd</v>
      </c>
      <c r="L76" t="str">
        <f>tblCourse[[#This Row],[CourseDescript]]&amp;"  -  "&amp;tblCourse[[#This Row],[Ccampus]]&amp;"  -  "&amp;tblCourse[[#This Row],[CIntake]]</f>
        <v>International Business  -  Palmerston Rd  -  Feb</v>
      </c>
      <c r="M76" t="str">
        <f>tblCourse[[#This Row],[ProgFullCode]]&amp;"/1"</f>
        <v>BBS/TC/Feb/1</v>
      </c>
      <c r="N76" t="str">
        <f>INDEX(Programmes!G:G,MATCH(tblCourse[[#This Row],[ProgNumb]],Programmes!A:A,))</f>
        <v>BBS/TC/Feb</v>
      </c>
      <c r="O76" t="str">
        <f>tblCourse[[#This Row],[CourseCode]]&amp;"/"&amp;tblCourse[[#This Row],[Ccampus]]&amp;"/"&amp;tblCourse[[#This Row],[CIntake]]</f>
        <v>LM7.07/Palmerston Rd/Feb</v>
      </c>
    </row>
    <row r="77" spans="1:15">
      <c r="A77">
        <v>490</v>
      </c>
      <c r="B77" t="s">
        <v>150</v>
      </c>
      <c r="C77" t="s">
        <v>151</v>
      </c>
      <c r="D77" t="s">
        <v>83</v>
      </c>
      <c r="E77" t="s">
        <v>14</v>
      </c>
      <c r="F77">
        <v>72</v>
      </c>
      <c r="G77" t="s">
        <v>72</v>
      </c>
      <c r="H77" t="s">
        <v>11</v>
      </c>
      <c r="I77" t="str">
        <f>tblCourse[[#This Row],[CourseCode]]&amp;"/"&amp;tblCourse[[#This Row],[CRegion]]&amp;"/"&amp;tblCourse[[#This Row],[CIntake]]</f>
        <v>MG6.01/HB/Feb</v>
      </c>
      <c r="J77" t="b">
        <v>0</v>
      </c>
      <c r="K77" t="str">
        <f>INDEX(tblCampus[CampusName],MATCH(tblCourse[[#This Row],[CRegion]],tblCampus[CampusCode],))</f>
        <v>Taradale</v>
      </c>
      <c r="L77" t="str">
        <f>tblCourse[[#This Row],[CourseDescript]]&amp;"  -  "&amp;tblCourse[[#This Row],[Ccampus]]&amp;"  -  "&amp;tblCourse[[#This Row],[CIntake]]</f>
        <v>Supply Chain Management  -  Taradale  -  Feb</v>
      </c>
      <c r="M77" t="str">
        <f>tblCourse[[#This Row],[ProgFullCode]]&amp;"/1"</f>
        <v>BBS/HB/Feb/1</v>
      </c>
      <c r="N77" t="str">
        <f>INDEX(Programmes!G:G,MATCH(tblCourse[[#This Row],[ProgNumb]],Programmes!A:A,))</f>
        <v>BBS/HB/Feb</v>
      </c>
      <c r="O77" t="str">
        <f>tblCourse[[#This Row],[CourseCode]]&amp;"/"&amp;tblCourse[[#This Row],[Ccampus]]&amp;"/"&amp;tblCourse[[#This Row],[CIntake]]</f>
        <v>MG6.01/Taradale/Feb</v>
      </c>
    </row>
    <row r="78" spans="1:15">
      <c r="A78">
        <v>695</v>
      </c>
      <c r="B78" t="s">
        <v>150</v>
      </c>
      <c r="C78" t="s">
        <v>151</v>
      </c>
      <c r="D78" t="s">
        <v>93</v>
      </c>
      <c r="E78" t="s">
        <v>14</v>
      </c>
      <c r="F78">
        <v>73</v>
      </c>
      <c r="G78" t="s">
        <v>72</v>
      </c>
      <c r="H78" t="s">
        <v>11</v>
      </c>
      <c r="I78" t="str">
        <f>tblCourse[[#This Row],[CourseCode]]&amp;"/"&amp;tblCourse[[#This Row],[CRegion]]&amp;"/"&amp;tblCourse[[#This Row],[CIntake]]</f>
        <v>MG6.01/TC/Feb</v>
      </c>
      <c r="J78" t="b">
        <v>0</v>
      </c>
      <c r="K78" t="str">
        <f>INDEX(tblCampus[CampusName],MATCH(tblCourse[[#This Row],[CRegion]],tblCampus[CampusCode],))</f>
        <v>Palmerston Rd</v>
      </c>
      <c r="L78" t="str">
        <f>tblCourse[[#This Row],[CourseDescript]]&amp;"  -  "&amp;tblCourse[[#This Row],[Ccampus]]&amp;"  -  "&amp;tblCourse[[#This Row],[CIntake]]</f>
        <v>Supply Chain Management  -  Palmerston Rd  -  Feb</v>
      </c>
      <c r="M78" t="str">
        <f>tblCourse[[#This Row],[ProgFullCode]]&amp;"/1"</f>
        <v>BBS/TC/Feb/1</v>
      </c>
      <c r="N78" t="str">
        <f>INDEX(Programmes!G:G,MATCH(tblCourse[[#This Row],[ProgNumb]],Programmes!A:A,))</f>
        <v>BBS/TC/Feb</v>
      </c>
      <c r="O78" t="str">
        <f>tblCourse[[#This Row],[CourseCode]]&amp;"/"&amp;tblCourse[[#This Row],[Ccampus]]&amp;"/"&amp;tblCourse[[#This Row],[CIntake]]</f>
        <v>MG6.01/Palmerston Rd/Feb</v>
      </c>
    </row>
    <row r="79" spans="1:15">
      <c r="A79">
        <v>492</v>
      </c>
      <c r="B79" t="s">
        <v>152</v>
      </c>
      <c r="C79" t="s">
        <v>153</v>
      </c>
      <c r="D79" t="s">
        <v>83</v>
      </c>
      <c r="E79" t="s">
        <v>20</v>
      </c>
      <c r="F79">
        <v>72</v>
      </c>
      <c r="G79" t="s">
        <v>72</v>
      </c>
      <c r="H79" t="s">
        <v>11</v>
      </c>
      <c r="I79" t="str">
        <f>tblCourse[[#This Row],[CourseCode]]&amp;"/"&amp;tblCourse[[#This Row],[CRegion]]&amp;"/"&amp;tblCourse[[#This Row],[CIntake]]</f>
        <v>MG6.02/HB/Jul</v>
      </c>
      <c r="J79" t="b">
        <v>0</v>
      </c>
      <c r="K79" t="str">
        <f>INDEX(tblCampus[CampusName],MATCH(tblCourse[[#This Row],[CRegion]],tblCampus[CampusCode],))</f>
        <v>Taradale</v>
      </c>
      <c r="L79" t="str">
        <f>tblCourse[[#This Row],[CourseDescript]]&amp;"  -  "&amp;tblCourse[[#This Row],[Ccampus]]&amp;"  -  "&amp;tblCourse[[#This Row],[CIntake]]</f>
        <v>Designing and Improving Operations  -  Taradale  -  Jul</v>
      </c>
      <c r="M79" t="str">
        <f>tblCourse[[#This Row],[ProgFullCode]]&amp;"/1"</f>
        <v>BBS/HB/Feb/1</v>
      </c>
      <c r="N79" t="str">
        <f>INDEX(Programmes!G:G,MATCH(tblCourse[[#This Row],[ProgNumb]],Programmes!A:A,))</f>
        <v>BBS/HB/Feb</v>
      </c>
      <c r="O79" t="str">
        <f>tblCourse[[#This Row],[CourseCode]]&amp;"/"&amp;tblCourse[[#This Row],[Ccampus]]&amp;"/"&amp;tblCourse[[#This Row],[CIntake]]</f>
        <v>MG6.02/Taradale/Jul</v>
      </c>
    </row>
    <row r="80" spans="1:15">
      <c r="A80">
        <v>493</v>
      </c>
      <c r="B80" t="s">
        <v>152</v>
      </c>
      <c r="C80" t="s">
        <v>153</v>
      </c>
      <c r="D80" t="s">
        <v>93</v>
      </c>
      <c r="E80" t="s">
        <v>20</v>
      </c>
      <c r="F80">
        <v>73</v>
      </c>
      <c r="G80" t="s">
        <v>72</v>
      </c>
      <c r="H80" t="s">
        <v>11</v>
      </c>
      <c r="I80" t="str">
        <f>tblCourse[[#This Row],[CourseCode]]&amp;"/"&amp;tblCourse[[#This Row],[CRegion]]&amp;"/"&amp;tblCourse[[#This Row],[CIntake]]</f>
        <v>MG6.02/TC/Jul</v>
      </c>
      <c r="J80" t="b">
        <v>0</v>
      </c>
      <c r="K80" t="str">
        <f>INDEX(tblCampus[CampusName],MATCH(tblCourse[[#This Row],[CRegion]],tblCampus[CampusCode],))</f>
        <v>Palmerston Rd</v>
      </c>
      <c r="L80" t="str">
        <f>tblCourse[[#This Row],[CourseDescript]]&amp;"  -  "&amp;tblCourse[[#This Row],[Ccampus]]&amp;"  -  "&amp;tblCourse[[#This Row],[CIntake]]</f>
        <v>Designing and Improving Operations  -  Palmerston Rd  -  Jul</v>
      </c>
      <c r="M80" t="str">
        <f>tblCourse[[#This Row],[ProgFullCode]]&amp;"/1"</f>
        <v>BBS/TC/Feb/1</v>
      </c>
      <c r="N80" t="str">
        <f>INDEX(Programmes!G:G,MATCH(tblCourse[[#This Row],[ProgNumb]],Programmes!A:A,))</f>
        <v>BBS/TC/Feb</v>
      </c>
      <c r="O80" t="str">
        <f>tblCourse[[#This Row],[CourseCode]]&amp;"/"&amp;tblCourse[[#This Row],[Ccampus]]&amp;"/"&amp;tblCourse[[#This Row],[CIntake]]</f>
        <v>MG6.02/Palmerston Rd/Jul</v>
      </c>
    </row>
    <row r="81" spans="1:15">
      <c r="A81">
        <v>496</v>
      </c>
      <c r="B81" t="s">
        <v>154</v>
      </c>
      <c r="C81" t="s">
        <v>155</v>
      </c>
      <c r="D81" t="s">
        <v>83</v>
      </c>
      <c r="E81" t="s">
        <v>14</v>
      </c>
      <c r="F81">
        <v>72</v>
      </c>
      <c r="G81" t="s">
        <v>72</v>
      </c>
      <c r="H81" t="s">
        <v>11</v>
      </c>
      <c r="I81" t="str">
        <f>tblCourse[[#This Row],[CourseCode]]&amp;"/"&amp;tblCourse[[#This Row],[CRegion]]&amp;"/"&amp;tblCourse[[#This Row],[CIntake]]</f>
        <v>MG6.03/HB/Feb</v>
      </c>
      <c r="J81" t="b">
        <v>0</v>
      </c>
      <c r="K81" t="str">
        <f>INDEX(tblCampus[CampusName],MATCH(tblCourse[[#This Row],[CRegion]],tblCampus[CampusCode],))</f>
        <v>Taradale</v>
      </c>
      <c r="L81" t="str">
        <f>tblCourse[[#This Row],[CourseDescript]]&amp;"  -  "&amp;tblCourse[[#This Row],[Ccampus]]&amp;"  -  "&amp;tblCourse[[#This Row],[CIntake]]</f>
        <v>Human Resource Management  -  Taradale  -  Feb</v>
      </c>
      <c r="M81" t="str">
        <f>tblCourse[[#This Row],[ProgFullCode]]&amp;"/1"</f>
        <v>BBS/HB/Feb/1</v>
      </c>
      <c r="N81" t="str">
        <f>INDEX(Programmes!G:G,MATCH(tblCourse[[#This Row],[ProgNumb]],Programmes!A:A,))</f>
        <v>BBS/HB/Feb</v>
      </c>
      <c r="O81" t="str">
        <f>tblCourse[[#This Row],[CourseCode]]&amp;"/"&amp;tblCourse[[#This Row],[Ccampus]]&amp;"/"&amp;tblCourse[[#This Row],[CIntake]]</f>
        <v>MG6.03/Taradale/Feb</v>
      </c>
    </row>
    <row r="82" spans="1:15">
      <c r="A82">
        <v>100009</v>
      </c>
      <c r="B82" t="s">
        <v>154</v>
      </c>
      <c r="C82" t="s">
        <v>155</v>
      </c>
      <c r="D82" t="s">
        <v>93</v>
      </c>
      <c r="E82" t="s">
        <v>14</v>
      </c>
      <c r="F82">
        <v>73</v>
      </c>
      <c r="G82" t="s">
        <v>72</v>
      </c>
      <c r="H82" t="s">
        <v>11</v>
      </c>
      <c r="I82" t="str">
        <f>tblCourse[[#This Row],[CourseCode]]&amp;"/"&amp;tblCourse[[#This Row],[CRegion]]&amp;"/"&amp;tblCourse[[#This Row],[CIntake]]</f>
        <v>MG6.03/TC/Feb</v>
      </c>
      <c r="J82" t="b">
        <v>0</v>
      </c>
      <c r="K82" t="str">
        <f>INDEX(tblCampus[CampusName],MATCH(tblCourse[[#This Row],[CRegion]],tblCampus[CampusCode],))</f>
        <v>Palmerston Rd</v>
      </c>
      <c r="L82" t="str">
        <f>tblCourse[[#This Row],[CourseDescript]]&amp;"  -  "&amp;tblCourse[[#This Row],[Ccampus]]&amp;"  -  "&amp;tblCourse[[#This Row],[CIntake]]</f>
        <v>Human Resource Management  -  Palmerston Rd  -  Feb</v>
      </c>
      <c r="M82" t="str">
        <f>tblCourse[[#This Row],[ProgFullCode]]&amp;"/1"</f>
        <v>BBS/TC/Feb/1</v>
      </c>
      <c r="N82" t="str">
        <f>INDEX(Programmes!G:G,MATCH(tblCourse[[#This Row],[ProgNumb]],Programmes!A:A,))</f>
        <v>BBS/TC/Feb</v>
      </c>
      <c r="O82" t="str">
        <f>tblCourse[[#This Row],[CourseCode]]&amp;"/"&amp;tblCourse[[#This Row],[Ccampus]]&amp;"/"&amp;tblCourse[[#This Row],[CIntake]]</f>
        <v>MG6.03/Palmerston Rd/Feb</v>
      </c>
    </row>
    <row r="83" spans="1:15">
      <c r="A83">
        <v>499</v>
      </c>
      <c r="B83" t="s">
        <v>156</v>
      </c>
      <c r="C83" t="s">
        <v>157</v>
      </c>
      <c r="D83" t="s">
        <v>83</v>
      </c>
      <c r="E83" t="s">
        <v>20</v>
      </c>
      <c r="F83">
        <v>72</v>
      </c>
      <c r="G83" t="s">
        <v>72</v>
      </c>
      <c r="H83" t="s">
        <v>11</v>
      </c>
      <c r="I83" t="str">
        <f>tblCourse[[#This Row],[CourseCode]]&amp;"/"&amp;tblCourse[[#This Row],[CRegion]]&amp;"/"&amp;tblCourse[[#This Row],[CIntake]]</f>
        <v>MG6.04/HB/Jul</v>
      </c>
      <c r="J83" t="b">
        <v>0</v>
      </c>
      <c r="K83" t="str">
        <f>INDEX(tblCampus[CampusName],MATCH(tblCourse[[#This Row],[CRegion]],tblCampus[CampusCode],))</f>
        <v>Taradale</v>
      </c>
      <c r="L83" t="str">
        <f>tblCourse[[#This Row],[CourseDescript]]&amp;"  -  "&amp;tblCourse[[#This Row],[Ccampus]]&amp;"  -  "&amp;tblCourse[[#This Row],[CIntake]]</f>
        <v>Organisational Behaviour  -  Taradale  -  Jul</v>
      </c>
      <c r="M83" t="str">
        <f>tblCourse[[#This Row],[ProgFullCode]]&amp;"/1"</f>
        <v>BBS/HB/Feb/1</v>
      </c>
      <c r="N83" t="str">
        <f>INDEX(Programmes!G:G,MATCH(tblCourse[[#This Row],[ProgNumb]],Programmes!A:A,))</f>
        <v>BBS/HB/Feb</v>
      </c>
      <c r="O83" t="str">
        <f>tblCourse[[#This Row],[CourseCode]]&amp;"/"&amp;tblCourse[[#This Row],[Ccampus]]&amp;"/"&amp;tblCourse[[#This Row],[CIntake]]</f>
        <v>MG6.04/Taradale/Jul</v>
      </c>
    </row>
    <row r="84" spans="1:15">
      <c r="A84">
        <v>500</v>
      </c>
      <c r="B84" t="s">
        <v>156</v>
      </c>
      <c r="C84" t="s">
        <v>157</v>
      </c>
      <c r="D84" t="s">
        <v>93</v>
      </c>
      <c r="E84" t="s">
        <v>20</v>
      </c>
      <c r="F84">
        <v>73</v>
      </c>
      <c r="G84" t="s">
        <v>72</v>
      </c>
      <c r="H84" t="s">
        <v>11</v>
      </c>
      <c r="I84" t="str">
        <f>tblCourse[[#This Row],[CourseCode]]&amp;"/"&amp;tblCourse[[#This Row],[CRegion]]&amp;"/"&amp;tblCourse[[#This Row],[CIntake]]</f>
        <v>MG6.04/TC/Jul</v>
      </c>
      <c r="J84" t="b">
        <v>0</v>
      </c>
      <c r="K84" t="str">
        <f>INDEX(tblCampus[CampusName],MATCH(tblCourse[[#This Row],[CRegion]],tblCampus[CampusCode],))</f>
        <v>Palmerston Rd</v>
      </c>
      <c r="L84" t="str">
        <f>tblCourse[[#This Row],[CourseDescript]]&amp;"  -  "&amp;tblCourse[[#This Row],[Ccampus]]&amp;"  -  "&amp;tblCourse[[#This Row],[CIntake]]</f>
        <v>Organisational Behaviour  -  Palmerston Rd  -  Jul</v>
      </c>
      <c r="M84" t="str">
        <f>tblCourse[[#This Row],[ProgFullCode]]&amp;"/1"</f>
        <v>BBS/TC/Feb/1</v>
      </c>
      <c r="N84" t="str">
        <f>INDEX(Programmes!G:G,MATCH(tblCourse[[#This Row],[ProgNumb]],Programmes!A:A,))</f>
        <v>BBS/TC/Feb</v>
      </c>
      <c r="O84" t="str">
        <f>tblCourse[[#This Row],[CourseCode]]&amp;"/"&amp;tblCourse[[#This Row],[Ccampus]]&amp;"/"&amp;tblCourse[[#This Row],[CIntake]]</f>
        <v>MG6.04/Palmerston Rd/Jul</v>
      </c>
    </row>
    <row r="85" spans="1:15">
      <c r="A85">
        <v>501</v>
      </c>
      <c r="B85" t="s">
        <v>158</v>
      </c>
      <c r="C85" t="s">
        <v>159</v>
      </c>
      <c r="D85" t="s">
        <v>83</v>
      </c>
      <c r="E85" t="s">
        <v>14</v>
      </c>
      <c r="F85">
        <v>72</v>
      </c>
      <c r="G85" t="s">
        <v>72</v>
      </c>
      <c r="H85" t="s">
        <v>11</v>
      </c>
      <c r="I85" t="str">
        <f>tblCourse[[#This Row],[CourseCode]]&amp;"/"&amp;tblCourse[[#This Row],[CRegion]]&amp;"/"&amp;tblCourse[[#This Row],[CIntake]]</f>
        <v>MG6.05/HB/Feb</v>
      </c>
      <c r="J85" t="b">
        <v>0</v>
      </c>
      <c r="K85" t="str">
        <f>INDEX(tblCampus[CampusName],MATCH(tblCourse[[#This Row],[CRegion]],tblCampus[CampusCode],))</f>
        <v>Taradale</v>
      </c>
      <c r="L85" t="str">
        <f>tblCourse[[#This Row],[CourseDescript]]&amp;"  -  "&amp;tblCourse[[#This Row],[Ccampus]]&amp;"  -  "&amp;tblCourse[[#This Row],[CIntake]]</f>
        <v>Employment Relations  -  Taradale  -  Feb</v>
      </c>
      <c r="M85" t="str">
        <f>tblCourse[[#This Row],[ProgFullCode]]&amp;"/1"</f>
        <v>BBS/HB/Feb/1</v>
      </c>
      <c r="N85" t="str">
        <f>INDEX(Programmes!G:G,MATCH(tblCourse[[#This Row],[ProgNumb]],Programmes!A:A,))</f>
        <v>BBS/HB/Feb</v>
      </c>
      <c r="O85" t="str">
        <f>tblCourse[[#This Row],[CourseCode]]&amp;"/"&amp;tblCourse[[#This Row],[Ccampus]]&amp;"/"&amp;tblCourse[[#This Row],[CIntake]]</f>
        <v>MG6.05/Taradale/Feb</v>
      </c>
    </row>
    <row r="86" spans="1:15">
      <c r="A86">
        <v>502</v>
      </c>
      <c r="B86" t="s">
        <v>158</v>
      </c>
      <c r="C86" t="s">
        <v>159</v>
      </c>
      <c r="D86" t="s">
        <v>93</v>
      </c>
      <c r="E86" t="s">
        <v>14</v>
      </c>
      <c r="F86">
        <v>73</v>
      </c>
      <c r="G86" t="s">
        <v>72</v>
      </c>
      <c r="H86" t="s">
        <v>11</v>
      </c>
      <c r="I86" t="str">
        <f>tblCourse[[#This Row],[CourseCode]]&amp;"/"&amp;tblCourse[[#This Row],[CRegion]]&amp;"/"&amp;tblCourse[[#This Row],[CIntake]]</f>
        <v>MG6.05/TC/Feb</v>
      </c>
      <c r="J86" t="b">
        <v>0</v>
      </c>
      <c r="K86" t="str">
        <f>INDEX(tblCampus[CampusName],MATCH(tblCourse[[#This Row],[CRegion]],tblCampus[CampusCode],))</f>
        <v>Palmerston Rd</v>
      </c>
      <c r="L86" t="str">
        <f>tblCourse[[#This Row],[CourseDescript]]&amp;"  -  "&amp;tblCourse[[#This Row],[Ccampus]]&amp;"  -  "&amp;tblCourse[[#This Row],[CIntake]]</f>
        <v>Employment Relations  -  Palmerston Rd  -  Feb</v>
      </c>
      <c r="M86" t="str">
        <f>tblCourse[[#This Row],[ProgFullCode]]&amp;"/1"</f>
        <v>BBS/TC/Feb/1</v>
      </c>
      <c r="N86" t="str">
        <f>INDEX(Programmes!G:G,MATCH(tblCourse[[#This Row],[ProgNumb]],Programmes!A:A,))</f>
        <v>BBS/TC/Feb</v>
      </c>
      <c r="O86" t="str">
        <f>tblCourse[[#This Row],[CourseCode]]&amp;"/"&amp;tblCourse[[#This Row],[Ccampus]]&amp;"/"&amp;tblCourse[[#This Row],[CIntake]]</f>
        <v>MG6.05/Palmerston Rd/Feb</v>
      </c>
    </row>
    <row r="87" spans="1:15">
      <c r="A87">
        <v>503</v>
      </c>
      <c r="B87" t="s">
        <v>160</v>
      </c>
      <c r="C87" t="s">
        <v>161</v>
      </c>
      <c r="D87" t="s">
        <v>83</v>
      </c>
      <c r="E87" t="s">
        <v>14</v>
      </c>
      <c r="F87">
        <v>72</v>
      </c>
      <c r="G87" t="s">
        <v>72</v>
      </c>
      <c r="H87" t="s">
        <v>11</v>
      </c>
      <c r="I87" t="str">
        <f>tblCourse[[#This Row],[CourseCode]]&amp;"/"&amp;tblCourse[[#This Row],[CRegion]]&amp;"/"&amp;tblCourse[[#This Row],[CIntake]]</f>
        <v>MG7.01/HB/Feb</v>
      </c>
      <c r="J87" t="b">
        <v>0</v>
      </c>
      <c r="K87" t="str">
        <f>INDEX(tblCampus[CampusName],MATCH(tblCourse[[#This Row],[CRegion]],tblCampus[CampusCode],))</f>
        <v>Taradale</v>
      </c>
      <c r="L87" t="str">
        <f>tblCourse[[#This Row],[CourseDescript]]&amp;"  -  "&amp;tblCourse[[#This Row],[Ccampus]]&amp;"  -  "&amp;tblCourse[[#This Row],[CIntake]]</f>
        <v>Strategic Management  -  Taradale  -  Feb</v>
      </c>
      <c r="M87" t="str">
        <f>tblCourse[[#This Row],[ProgFullCode]]&amp;"/1"</f>
        <v>BBS/HB/Feb/1</v>
      </c>
      <c r="N87" t="str">
        <f>INDEX(Programmes!G:G,MATCH(tblCourse[[#This Row],[ProgNumb]],Programmes!A:A,))</f>
        <v>BBS/HB/Feb</v>
      </c>
      <c r="O87" t="str">
        <f>tblCourse[[#This Row],[CourseCode]]&amp;"/"&amp;tblCourse[[#This Row],[Ccampus]]&amp;"/"&amp;tblCourse[[#This Row],[CIntake]]</f>
        <v>MG7.01/Taradale/Feb</v>
      </c>
    </row>
    <row r="88" spans="1:15">
      <c r="A88">
        <v>504</v>
      </c>
      <c r="B88" t="s">
        <v>160</v>
      </c>
      <c r="C88" t="s">
        <v>161</v>
      </c>
      <c r="D88" t="s">
        <v>93</v>
      </c>
      <c r="E88" t="s">
        <v>14</v>
      </c>
      <c r="F88">
        <v>73</v>
      </c>
      <c r="G88" t="s">
        <v>72</v>
      </c>
      <c r="H88" t="s">
        <v>11</v>
      </c>
      <c r="I88" t="str">
        <f>tblCourse[[#This Row],[CourseCode]]&amp;"/"&amp;tblCourse[[#This Row],[CRegion]]&amp;"/"&amp;tblCourse[[#This Row],[CIntake]]</f>
        <v>MG7.01/TC/Feb</v>
      </c>
      <c r="J88" t="b">
        <v>0</v>
      </c>
      <c r="K88" t="str">
        <f>INDEX(tblCampus[CampusName],MATCH(tblCourse[[#This Row],[CRegion]],tblCampus[CampusCode],))</f>
        <v>Palmerston Rd</v>
      </c>
      <c r="L88" t="str">
        <f>tblCourse[[#This Row],[CourseDescript]]&amp;"  -  "&amp;tblCourse[[#This Row],[Ccampus]]&amp;"  -  "&amp;tblCourse[[#This Row],[CIntake]]</f>
        <v>Strategic Management  -  Palmerston Rd  -  Feb</v>
      </c>
      <c r="M88" t="str">
        <f>tblCourse[[#This Row],[ProgFullCode]]&amp;"/1"</f>
        <v>BBS/TC/Feb/1</v>
      </c>
      <c r="N88" t="str">
        <f>INDEX(Programmes!G:G,MATCH(tblCourse[[#This Row],[ProgNumb]],Programmes!A:A,))</f>
        <v>BBS/TC/Feb</v>
      </c>
      <c r="O88" t="str">
        <f>tblCourse[[#This Row],[CourseCode]]&amp;"/"&amp;tblCourse[[#This Row],[Ccampus]]&amp;"/"&amp;tblCourse[[#This Row],[CIntake]]</f>
        <v>MG7.01/Palmerston Rd/Feb</v>
      </c>
    </row>
    <row r="89" spans="1:15">
      <c r="A89">
        <v>509</v>
      </c>
      <c r="B89" t="s">
        <v>162</v>
      </c>
      <c r="C89" t="s">
        <v>163</v>
      </c>
      <c r="D89" t="s">
        <v>83</v>
      </c>
      <c r="E89" t="s">
        <v>14</v>
      </c>
      <c r="F89">
        <v>72</v>
      </c>
      <c r="G89" t="s">
        <v>72</v>
      </c>
      <c r="H89" t="s">
        <v>11</v>
      </c>
      <c r="I89" t="str">
        <f>tblCourse[[#This Row],[CourseCode]]&amp;"/"&amp;tblCourse[[#This Row],[CRegion]]&amp;"/"&amp;tblCourse[[#This Row],[CIntake]]</f>
        <v>MG7.02/HB/Feb</v>
      </c>
      <c r="J89" t="b">
        <v>0</v>
      </c>
      <c r="K89" t="str">
        <f>INDEX(tblCampus[CampusName],MATCH(tblCourse[[#This Row],[CRegion]],tblCampus[CampusCode],))</f>
        <v>Taradale</v>
      </c>
      <c r="L89" t="str">
        <f>tblCourse[[#This Row],[CourseDescript]]&amp;"  -  "&amp;tblCourse[[#This Row],[Ccampus]]&amp;"  -  "&amp;tblCourse[[#This Row],[CIntake]]</f>
        <v>Advanced Operations Management  -  Taradale  -  Feb</v>
      </c>
      <c r="M89" t="str">
        <f>tblCourse[[#This Row],[ProgFullCode]]&amp;"/1"</f>
        <v>BBS/HB/Feb/1</v>
      </c>
      <c r="N89" t="str">
        <f>INDEX(Programmes!G:G,MATCH(tblCourse[[#This Row],[ProgNumb]],Programmes!A:A,))</f>
        <v>BBS/HB/Feb</v>
      </c>
      <c r="O89" t="str">
        <f>tblCourse[[#This Row],[CourseCode]]&amp;"/"&amp;tblCourse[[#This Row],[Ccampus]]&amp;"/"&amp;tblCourse[[#This Row],[CIntake]]</f>
        <v>MG7.02/Taradale/Feb</v>
      </c>
    </row>
    <row r="90" spans="1:15">
      <c r="A90">
        <v>508</v>
      </c>
      <c r="B90" t="s">
        <v>162</v>
      </c>
      <c r="C90" t="s">
        <v>163</v>
      </c>
      <c r="D90" t="s">
        <v>93</v>
      </c>
      <c r="E90" t="s">
        <v>14</v>
      </c>
      <c r="F90">
        <v>73</v>
      </c>
      <c r="G90" t="s">
        <v>72</v>
      </c>
      <c r="H90" t="s">
        <v>11</v>
      </c>
      <c r="I90" t="str">
        <f>tblCourse[[#This Row],[CourseCode]]&amp;"/"&amp;tblCourse[[#This Row],[CRegion]]&amp;"/"&amp;tblCourse[[#This Row],[CIntake]]</f>
        <v>MG7.02/TC/Feb</v>
      </c>
      <c r="J90" t="b">
        <v>0</v>
      </c>
      <c r="K90" t="str">
        <f>INDEX(tblCampus[CampusName],MATCH(tblCourse[[#This Row],[CRegion]],tblCampus[CampusCode],))</f>
        <v>Palmerston Rd</v>
      </c>
      <c r="L90" t="str">
        <f>tblCourse[[#This Row],[CourseDescript]]&amp;"  -  "&amp;tblCourse[[#This Row],[Ccampus]]&amp;"  -  "&amp;tblCourse[[#This Row],[CIntake]]</f>
        <v>Advanced Operations Management  -  Palmerston Rd  -  Feb</v>
      </c>
      <c r="M90" t="str">
        <f>tblCourse[[#This Row],[ProgFullCode]]&amp;"/1"</f>
        <v>BBS/TC/Feb/1</v>
      </c>
      <c r="N90" t="str">
        <f>INDEX(Programmes!G:G,MATCH(tblCourse[[#This Row],[ProgNumb]],Programmes!A:A,))</f>
        <v>BBS/TC/Feb</v>
      </c>
      <c r="O90" t="str">
        <f>tblCourse[[#This Row],[CourseCode]]&amp;"/"&amp;tblCourse[[#This Row],[Ccampus]]&amp;"/"&amp;tblCourse[[#This Row],[CIntake]]</f>
        <v>MG7.02/Palmerston Rd/Feb</v>
      </c>
    </row>
    <row r="91" spans="1:15">
      <c r="A91">
        <v>511</v>
      </c>
      <c r="B91" t="s">
        <v>164</v>
      </c>
      <c r="C91" t="s">
        <v>165</v>
      </c>
      <c r="D91" t="s">
        <v>83</v>
      </c>
      <c r="E91" t="s">
        <v>20</v>
      </c>
      <c r="F91">
        <v>72</v>
      </c>
      <c r="G91" t="s">
        <v>72</v>
      </c>
      <c r="H91" t="s">
        <v>11</v>
      </c>
      <c r="I91" t="str">
        <f>tblCourse[[#This Row],[CourseCode]]&amp;"/"&amp;tblCourse[[#This Row],[CRegion]]&amp;"/"&amp;tblCourse[[#This Row],[CIntake]]</f>
        <v>MG7.03/HB/Jul</v>
      </c>
      <c r="J91" t="b">
        <v>0</v>
      </c>
      <c r="K91" t="str">
        <f>INDEX(tblCampus[CampusName],MATCH(tblCourse[[#This Row],[CRegion]],tblCampus[CampusCode],))</f>
        <v>Taradale</v>
      </c>
      <c r="L91" t="str">
        <f>tblCourse[[#This Row],[CourseDescript]]&amp;"  -  "&amp;tblCourse[[#This Row],[Ccampus]]&amp;"  -  "&amp;tblCourse[[#This Row],[CIntake]]</f>
        <v>Advanced Human Resource Management  -  Taradale  -  Jul</v>
      </c>
      <c r="M91" t="str">
        <f>tblCourse[[#This Row],[ProgFullCode]]&amp;"/1"</f>
        <v>BBS/HB/Feb/1</v>
      </c>
      <c r="N91" t="str">
        <f>INDEX(Programmes!G:G,MATCH(tblCourse[[#This Row],[ProgNumb]],Programmes!A:A,))</f>
        <v>BBS/HB/Feb</v>
      </c>
      <c r="O91" t="str">
        <f>tblCourse[[#This Row],[CourseCode]]&amp;"/"&amp;tblCourse[[#This Row],[Ccampus]]&amp;"/"&amp;tblCourse[[#This Row],[CIntake]]</f>
        <v>MG7.03/Taradale/Jul</v>
      </c>
    </row>
    <row r="92" spans="1:15">
      <c r="A92">
        <v>512</v>
      </c>
      <c r="B92" t="s">
        <v>164</v>
      </c>
      <c r="C92" t="s">
        <v>165</v>
      </c>
      <c r="D92" t="s">
        <v>93</v>
      </c>
      <c r="E92" t="s">
        <v>20</v>
      </c>
      <c r="F92">
        <v>73</v>
      </c>
      <c r="G92" t="s">
        <v>72</v>
      </c>
      <c r="H92" t="s">
        <v>11</v>
      </c>
      <c r="I92" t="str">
        <f>tblCourse[[#This Row],[CourseCode]]&amp;"/"&amp;tblCourse[[#This Row],[CRegion]]&amp;"/"&amp;tblCourse[[#This Row],[CIntake]]</f>
        <v>MG7.03/TC/Jul</v>
      </c>
      <c r="J92" t="b">
        <v>0</v>
      </c>
      <c r="K92" t="str">
        <f>INDEX(tblCampus[CampusName],MATCH(tblCourse[[#This Row],[CRegion]],tblCampus[CampusCode],))</f>
        <v>Palmerston Rd</v>
      </c>
      <c r="L92" t="str">
        <f>tblCourse[[#This Row],[CourseDescript]]&amp;"  -  "&amp;tblCourse[[#This Row],[Ccampus]]&amp;"  -  "&amp;tblCourse[[#This Row],[CIntake]]</f>
        <v>Advanced Human Resource Management  -  Palmerston Rd  -  Jul</v>
      </c>
      <c r="M92" t="str">
        <f>tblCourse[[#This Row],[ProgFullCode]]&amp;"/1"</f>
        <v>BBS/TC/Feb/1</v>
      </c>
      <c r="N92" t="str">
        <f>INDEX(Programmes!G:G,MATCH(tblCourse[[#This Row],[ProgNumb]],Programmes!A:A,))</f>
        <v>BBS/TC/Feb</v>
      </c>
      <c r="O92" t="str">
        <f>tblCourse[[#This Row],[CourseCode]]&amp;"/"&amp;tblCourse[[#This Row],[Ccampus]]&amp;"/"&amp;tblCourse[[#This Row],[CIntake]]</f>
        <v>MG7.03/Palmerston Rd/Jul</v>
      </c>
    </row>
    <row r="93" spans="1:15">
      <c r="A93">
        <v>513</v>
      </c>
      <c r="B93" t="s">
        <v>166</v>
      </c>
      <c r="C93" t="s">
        <v>167</v>
      </c>
      <c r="D93" t="s">
        <v>83</v>
      </c>
      <c r="E93" t="s">
        <v>14</v>
      </c>
      <c r="F93">
        <v>72</v>
      </c>
      <c r="G93" t="s">
        <v>72</v>
      </c>
      <c r="H93" t="s">
        <v>11</v>
      </c>
      <c r="I93" t="str">
        <f>tblCourse[[#This Row],[CourseCode]]&amp;"/"&amp;tblCourse[[#This Row],[CRegion]]&amp;"/"&amp;tblCourse[[#This Row],[CIntake]]</f>
        <v>MG7.04/HB/Feb</v>
      </c>
      <c r="J93" t="b">
        <v>0</v>
      </c>
      <c r="K93" t="str">
        <f>INDEX(tblCampus[CampusName],MATCH(tblCourse[[#This Row],[CRegion]],tblCampus[CampusCode],))</f>
        <v>Taradale</v>
      </c>
      <c r="L93" t="str">
        <f>tblCourse[[#This Row],[CourseDescript]]&amp;"  -  "&amp;tblCourse[[#This Row],[Ccampus]]&amp;"  -  "&amp;tblCourse[[#This Row],[CIntake]]</f>
        <v>Career Management  -  Taradale  -  Feb</v>
      </c>
      <c r="M93" t="str">
        <f>tblCourse[[#This Row],[ProgFullCode]]&amp;"/1"</f>
        <v>BBS/HB/Feb/1</v>
      </c>
      <c r="N93" t="str">
        <f>INDEX(Programmes!G:G,MATCH(tblCourse[[#This Row],[ProgNumb]],Programmes!A:A,))</f>
        <v>BBS/HB/Feb</v>
      </c>
      <c r="O93" t="str">
        <f>tblCourse[[#This Row],[CourseCode]]&amp;"/"&amp;tblCourse[[#This Row],[Ccampus]]&amp;"/"&amp;tblCourse[[#This Row],[CIntake]]</f>
        <v>MG7.04/Taradale/Feb</v>
      </c>
    </row>
    <row r="94" spans="1:15">
      <c r="A94">
        <v>100063</v>
      </c>
      <c r="B94" t="s">
        <v>166</v>
      </c>
      <c r="C94" t="s">
        <v>167</v>
      </c>
      <c r="D94" t="s">
        <v>83</v>
      </c>
      <c r="E94" t="s">
        <v>20</v>
      </c>
      <c r="F94">
        <v>72</v>
      </c>
      <c r="G94" t="s">
        <v>72</v>
      </c>
      <c r="H94" t="s">
        <v>11</v>
      </c>
      <c r="I94" t="str">
        <f>tblCourse[[#This Row],[CourseCode]]&amp;"/"&amp;tblCourse[[#This Row],[CRegion]]&amp;"/"&amp;tblCourse[[#This Row],[CIntake]]</f>
        <v>MG7.04/HB/Jul</v>
      </c>
      <c r="J94" t="b">
        <v>0</v>
      </c>
      <c r="K94" t="str">
        <f>INDEX(tblCampus[CampusName],MATCH(tblCourse[[#This Row],[CRegion]],tblCampus[CampusCode],))</f>
        <v>Taradale</v>
      </c>
      <c r="L94" t="str">
        <f>tblCourse[[#This Row],[CourseDescript]]&amp;"  -  "&amp;tblCourse[[#This Row],[Ccampus]]&amp;"  -  "&amp;tblCourse[[#This Row],[CIntake]]</f>
        <v>Career Management  -  Taradale  -  Jul</v>
      </c>
      <c r="M94" t="str">
        <f>tblCourse[[#This Row],[ProgFullCode]]&amp;"/1"</f>
        <v>BBS/HB/Feb/1</v>
      </c>
      <c r="N94" t="str">
        <f>INDEX(Programmes!G:G,MATCH(tblCourse[[#This Row],[ProgNumb]],Programmes!A:A,))</f>
        <v>BBS/HB/Feb</v>
      </c>
      <c r="O94" t="str">
        <f>tblCourse[[#This Row],[CourseCode]]&amp;"/"&amp;tblCourse[[#This Row],[Ccampus]]&amp;"/"&amp;tblCourse[[#This Row],[CIntake]]</f>
        <v>MG7.04/Taradale/Jul</v>
      </c>
    </row>
    <row r="95" spans="1:15">
      <c r="A95">
        <v>514</v>
      </c>
      <c r="B95" t="s">
        <v>166</v>
      </c>
      <c r="C95" t="s">
        <v>167</v>
      </c>
      <c r="D95" t="s">
        <v>93</v>
      </c>
      <c r="E95" t="s">
        <v>14</v>
      </c>
      <c r="F95">
        <v>73</v>
      </c>
      <c r="G95" t="s">
        <v>72</v>
      </c>
      <c r="H95" t="s">
        <v>11</v>
      </c>
      <c r="I95" t="str">
        <f>tblCourse[[#This Row],[CourseCode]]&amp;"/"&amp;tblCourse[[#This Row],[CRegion]]&amp;"/"&amp;tblCourse[[#This Row],[CIntake]]</f>
        <v>MG7.04/TC/Feb</v>
      </c>
      <c r="J95" t="b">
        <v>0</v>
      </c>
      <c r="K95" t="str">
        <f>INDEX(tblCampus[CampusName],MATCH(tblCourse[[#This Row],[CRegion]],tblCampus[CampusCode],))</f>
        <v>Palmerston Rd</v>
      </c>
      <c r="L95" t="str">
        <f>tblCourse[[#This Row],[CourseDescript]]&amp;"  -  "&amp;tblCourse[[#This Row],[Ccampus]]&amp;"  -  "&amp;tblCourse[[#This Row],[CIntake]]</f>
        <v>Career Management  -  Palmerston Rd  -  Feb</v>
      </c>
      <c r="M95" t="str">
        <f>tblCourse[[#This Row],[ProgFullCode]]&amp;"/1"</f>
        <v>BBS/TC/Feb/1</v>
      </c>
      <c r="N95" t="str">
        <f>INDEX(Programmes!G:G,MATCH(tblCourse[[#This Row],[ProgNumb]],Programmes!A:A,))</f>
        <v>BBS/TC/Feb</v>
      </c>
      <c r="O95" t="str">
        <f>tblCourse[[#This Row],[CourseCode]]&amp;"/"&amp;tblCourse[[#This Row],[Ccampus]]&amp;"/"&amp;tblCourse[[#This Row],[CIntake]]</f>
        <v>MG7.04/Palmerston Rd/Feb</v>
      </c>
    </row>
    <row r="96" spans="1:15">
      <c r="A96">
        <v>100064</v>
      </c>
      <c r="B96" t="s">
        <v>166</v>
      </c>
      <c r="C96" t="s">
        <v>167</v>
      </c>
      <c r="D96" t="s">
        <v>93</v>
      </c>
      <c r="E96" t="s">
        <v>20</v>
      </c>
      <c r="F96">
        <v>73</v>
      </c>
      <c r="G96" t="s">
        <v>72</v>
      </c>
      <c r="H96" t="s">
        <v>11</v>
      </c>
      <c r="I96" t="str">
        <f>tblCourse[[#This Row],[CourseCode]]&amp;"/"&amp;tblCourse[[#This Row],[CRegion]]&amp;"/"&amp;tblCourse[[#This Row],[CIntake]]</f>
        <v>MG7.04/TC/Jul</v>
      </c>
      <c r="J96" t="b">
        <v>0</v>
      </c>
      <c r="K96" t="str">
        <f>INDEX(tblCampus[CampusName],MATCH(tblCourse[[#This Row],[CRegion]],tblCampus[CampusCode],))</f>
        <v>Palmerston Rd</v>
      </c>
      <c r="L96" t="str">
        <f>tblCourse[[#This Row],[CourseDescript]]&amp;"  -  "&amp;tblCourse[[#This Row],[Ccampus]]&amp;"  -  "&amp;tblCourse[[#This Row],[CIntake]]</f>
        <v>Career Management  -  Palmerston Rd  -  Jul</v>
      </c>
      <c r="M96" t="str">
        <f>tblCourse[[#This Row],[ProgFullCode]]&amp;"/1"</f>
        <v>BBS/TC/Feb/1</v>
      </c>
      <c r="N96" t="str">
        <f>INDEX(Programmes!G:G,MATCH(tblCourse[[#This Row],[ProgNumb]],Programmes!A:A,))</f>
        <v>BBS/TC/Feb</v>
      </c>
      <c r="O96" t="str">
        <f>tblCourse[[#This Row],[CourseCode]]&amp;"/"&amp;tblCourse[[#This Row],[Ccampus]]&amp;"/"&amp;tblCourse[[#This Row],[CIntake]]</f>
        <v>MG7.04/Palmerston Rd/Jul</v>
      </c>
    </row>
    <row r="97" spans="1:15">
      <c r="A97">
        <v>100010</v>
      </c>
      <c r="B97" t="s">
        <v>168</v>
      </c>
      <c r="C97" t="s">
        <v>169</v>
      </c>
      <c r="D97" t="s">
        <v>83</v>
      </c>
      <c r="E97" t="s">
        <v>20</v>
      </c>
      <c r="F97">
        <v>72</v>
      </c>
      <c r="G97" t="s">
        <v>72</v>
      </c>
      <c r="H97" t="s">
        <v>11</v>
      </c>
      <c r="I97" t="str">
        <f>tblCourse[[#This Row],[CourseCode]]&amp;"/"&amp;tblCourse[[#This Row],[CRegion]]&amp;"/"&amp;tblCourse[[#This Row],[CIntake]]</f>
        <v>MG7.05/HB/Jul</v>
      </c>
      <c r="J97" t="b">
        <v>0</v>
      </c>
      <c r="K97" t="str">
        <f>INDEX(tblCampus[CampusName],MATCH(tblCourse[[#This Row],[CRegion]],tblCampus[CampusCode],))</f>
        <v>Taradale</v>
      </c>
      <c r="L97" t="str">
        <f>tblCourse[[#This Row],[CourseDescript]]&amp;"  -  "&amp;tblCourse[[#This Row],[Ccampus]]&amp;"  -  "&amp;tblCourse[[#This Row],[CIntake]]</f>
        <v>Entrepreneurship and Innovation  -  Taradale  -  Jul</v>
      </c>
      <c r="M97" t="str">
        <f>tblCourse[[#This Row],[ProgFullCode]]&amp;"/1"</f>
        <v>BBS/HB/Feb/1</v>
      </c>
      <c r="N97" t="str">
        <f>INDEX(Programmes!G:G,MATCH(tblCourse[[#This Row],[ProgNumb]],Programmes!A:A,))</f>
        <v>BBS/HB/Feb</v>
      </c>
      <c r="O97" t="str">
        <f>tblCourse[[#This Row],[CourseCode]]&amp;"/"&amp;tblCourse[[#This Row],[Ccampus]]&amp;"/"&amp;tblCourse[[#This Row],[CIntake]]</f>
        <v>MG7.05/Taradale/Jul</v>
      </c>
    </row>
    <row r="98" spans="1:15">
      <c r="A98">
        <v>518</v>
      </c>
      <c r="B98" t="s">
        <v>168</v>
      </c>
      <c r="C98" t="s">
        <v>169</v>
      </c>
      <c r="D98" t="s">
        <v>93</v>
      </c>
      <c r="E98" t="s">
        <v>20</v>
      </c>
      <c r="F98">
        <v>73</v>
      </c>
      <c r="G98" t="s">
        <v>72</v>
      </c>
      <c r="H98" t="s">
        <v>11</v>
      </c>
      <c r="I98" t="str">
        <f>tblCourse[[#This Row],[CourseCode]]&amp;"/"&amp;tblCourse[[#This Row],[CRegion]]&amp;"/"&amp;tblCourse[[#This Row],[CIntake]]</f>
        <v>MG7.05/TC/Jul</v>
      </c>
      <c r="J98" t="b">
        <v>0</v>
      </c>
      <c r="K98" t="str">
        <f>INDEX(tblCampus[CampusName],MATCH(tblCourse[[#This Row],[CRegion]],tblCampus[CampusCode],))</f>
        <v>Palmerston Rd</v>
      </c>
      <c r="L98" t="str">
        <f>tblCourse[[#This Row],[CourseDescript]]&amp;"  -  "&amp;tblCourse[[#This Row],[Ccampus]]&amp;"  -  "&amp;tblCourse[[#This Row],[CIntake]]</f>
        <v>Entrepreneurship and Innovation  -  Palmerston Rd  -  Jul</v>
      </c>
      <c r="M98" t="str">
        <f>tblCourse[[#This Row],[ProgFullCode]]&amp;"/1"</f>
        <v>BBS/TC/Feb/1</v>
      </c>
      <c r="N98" t="str">
        <f>INDEX(Programmes!G:G,MATCH(tblCourse[[#This Row],[ProgNumb]],Programmes!A:A,))</f>
        <v>BBS/TC/Feb</v>
      </c>
      <c r="O98" t="str">
        <f>tblCourse[[#This Row],[CourseCode]]&amp;"/"&amp;tblCourse[[#This Row],[Ccampus]]&amp;"/"&amp;tblCourse[[#This Row],[CIntake]]</f>
        <v>MG7.05/Palmerston Rd/Jul</v>
      </c>
    </row>
    <row r="99" spans="1:15">
      <c r="A99">
        <v>532</v>
      </c>
      <c r="B99" t="s">
        <v>170</v>
      </c>
      <c r="C99" t="s">
        <v>171</v>
      </c>
      <c r="D99" t="s">
        <v>83</v>
      </c>
      <c r="E99" t="s">
        <v>14</v>
      </c>
      <c r="F99">
        <v>72</v>
      </c>
      <c r="G99" t="s">
        <v>72</v>
      </c>
      <c r="H99" t="s">
        <v>11</v>
      </c>
      <c r="I99" t="str">
        <f>tblCourse[[#This Row],[CourseCode]]&amp;"/"&amp;tblCourse[[#This Row],[CRegion]]&amp;"/"&amp;tblCourse[[#This Row],[CIntake]]</f>
        <v>MK6.01/HB/Feb</v>
      </c>
      <c r="J99" t="b">
        <v>0</v>
      </c>
      <c r="K99" t="str">
        <f>INDEX(tblCampus[CampusName],MATCH(tblCourse[[#This Row],[CRegion]],tblCampus[CampusCode],))</f>
        <v>Taradale</v>
      </c>
      <c r="L99" t="str">
        <f>tblCourse[[#This Row],[CourseDescript]]&amp;"  -  "&amp;tblCourse[[#This Row],[Ccampus]]&amp;"  -  "&amp;tblCourse[[#This Row],[CIntake]]</f>
        <v>Marketing Management  -  Taradale  -  Feb</v>
      </c>
      <c r="M99" t="str">
        <f>tblCourse[[#This Row],[ProgFullCode]]&amp;"/1"</f>
        <v>BBS/HB/Feb/1</v>
      </c>
      <c r="N99" t="str">
        <f>INDEX(Programmes!G:G,MATCH(tblCourse[[#This Row],[ProgNumb]],Programmes!A:A,))</f>
        <v>BBS/HB/Feb</v>
      </c>
      <c r="O99" t="str">
        <f>tblCourse[[#This Row],[CourseCode]]&amp;"/"&amp;tblCourse[[#This Row],[Ccampus]]&amp;"/"&amp;tblCourse[[#This Row],[CIntake]]</f>
        <v>MK6.01/Taradale/Feb</v>
      </c>
    </row>
    <row r="100" spans="1:15">
      <c r="A100">
        <v>100060</v>
      </c>
      <c r="B100" t="s">
        <v>170</v>
      </c>
      <c r="C100" t="s">
        <v>171</v>
      </c>
      <c r="D100" t="s">
        <v>93</v>
      </c>
      <c r="E100" t="s">
        <v>14</v>
      </c>
      <c r="F100">
        <v>73</v>
      </c>
      <c r="G100" t="s">
        <v>72</v>
      </c>
      <c r="H100" t="s">
        <v>11</v>
      </c>
      <c r="I100" t="str">
        <f>tblCourse[[#This Row],[CourseCode]]&amp;"/"&amp;tblCourse[[#This Row],[CRegion]]&amp;"/"&amp;tblCourse[[#This Row],[CIntake]]</f>
        <v>MK6.01/TC/Feb</v>
      </c>
      <c r="J100" t="b">
        <v>0</v>
      </c>
      <c r="K100" t="str">
        <f>INDEX(tblCampus[CampusName],MATCH(tblCourse[[#This Row],[CRegion]],tblCampus[CampusCode],))</f>
        <v>Palmerston Rd</v>
      </c>
      <c r="L100" t="str">
        <f>tblCourse[[#This Row],[CourseDescript]]&amp;"  -  "&amp;tblCourse[[#This Row],[Ccampus]]&amp;"  -  "&amp;tblCourse[[#This Row],[CIntake]]</f>
        <v>Marketing Management  -  Palmerston Rd  -  Feb</v>
      </c>
      <c r="M100" t="str">
        <f>tblCourse[[#This Row],[ProgFullCode]]&amp;"/1"</f>
        <v>BBS/TC/Feb/1</v>
      </c>
      <c r="N100" t="str">
        <f>INDEX(Programmes!G:G,MATCH(tblCourse[[#This Row],[ProgNumb]],Programmes!A:A,))</f>
        <v>BBS/TC/Feb</v>
      </c>
      <c r="O100" t="str">
        <f>tblCourse[[#This Row],[CourseCode]]&amp;"/"&amp;tblCourse[[#This Row],[Ccampus]]&amp;"/"&amp;tblCourse[[#This Row],[CIntake]]</f>
        <v>MK6.01/Palmerston Rd/Feb</v>
      </c>
    </row>
    <row r="101" spans="1:15">
      <c r="A101">
        <v>534</v>
      </c>
      <c r="B101" t="s">
        <v>172</v>
      </c>
      <c r="C101" t="s">
        <v>173</v>
      </c>
      <c r="D101" t="s">
        <v>83</v>
      </c>
      <c r="E101" t="s">
        <v>14</v>
      </c>
      <c r="F101">
        <v>72</v>
      </c>
      <c r="G101" t="s">
        <v>72</v>
      </c>
      <c r="H101" t="s">
        <v>11</v>
      </c>
      <c r="I101" t="str">
        <f>tblCourse[[#This Row],[CourseCode]]&amp;"/"&amp;tblCourse[[#This Row],[CRegion]]&amp;"/"&amp;tblCourse[[#This Row],[CIntake]]</f>
        <v>MK6.02/HB/Feb</v>
      </c>
      <c r="J101" t="b">
        <v>0</v>
      </c>
      <c r="K101" t="str">
        <f>INDEX(tblCampus[CampusName],MATCH(tblCourse[[#This Row],[CRegion]],tblCampus[CampusCode],))</f>
        <v>Taradale</v>
      </c>
      <c r="L101" t="str">
        <f>tblCourse[[#This Row],[CourseDescript]]&amp;"  -  "&amp;tblCourse[[#This Row],[Ccampus]]&amp;"  -  "&amp;tblCourse[[#This Row],[CIntake]]</f>
        <v>Consumer Behaviour  -  Taradale  -  Feb</v>
      </c>
      <c r="M101" t="str">
        <f>tblCourse[[#This Row],[ProgFullCode]]&amp;"/1"</f>
        <v>BBS/HB/Feb/1</v>
      </c>
      <c r="N101" t="str">
        <f>INDEX(Programmes!G:G,MATCH(tblCourse[[#This Row],[ProgNumb]],Programmes!A:A,))</f>
        <v>BBS/HB/Feb</v>
      </c>
      <c r="O101" t="str">
        <f>tblCourse[[#This Row],[CourseCode]]&amp;"/"&amp;tblCourse[[#This Row],[Ccampus]]&amp;"/"&amp;tblCourse[[#This Row],[CIntake]]</f>
        <v>MK6.02/Taradale/Feb</v>
      </c>
    </row>
    <row r="102" spans="1:15">
      <c r="A102">
        <v>100061</v>
      </c>
      <c r="B102" t="s">
        <v>172</v>
      </c>
      <c r="C102" t="s">
        <v>173</v>
      </c>
      <c r="D102" t="s">
        <v>93</v>
      </c>
      <c r="E102" t="s">
        <v>14</v>
      </c>
      <c r="F102">
        <v>73</v>
      </c>
      <c r="G102" t="s">
        <v>72</v>
      </c>
      <c r="H102" t="s">
        <v>11</v>
      </c>
      <c r="I102" t="str">
        <f>tblCourse[[#This Row],[CourseCode]]&amp;"/"&amp;tblCourse[[#This Row],[CRegion]]&amp;"/"&amp;tblCourse[[#This Row],[CIntake]]</f>
        <v>MK6.02/TC/Feb</v>
      </c>
      <c r="J102" t="b">
        <v>0</v>
      </c>
      <c r="K102" t="str">
        <f>INDEX(tblCampus[CampusName],MATCH(tblCourse[[#This Row],[CRegion]],tblCampus[CampusCode],))</f>
        <v>Palmerston Rd</v>
      </c>
      <c r="L102" t="str">
        <f>tblCourse[[#This Row],[CourseDescript]]&amp;"  -  "&amp;tblCourse[[#This Row],[Ccampus]]&amp;"  -  "&amp;tblCourse[[#This Row],[CIntake]]</f>
        <v>Consumer Behaviour  -  Palmerston Rd  -  Feb</v>
      </c>
      <c r="M102" t="str">
        <f>tblCourse[[#This Row],[ProgFullCode]]&amp;"/1"</f>
        <v>BBS/TC/Feb/1</v>
      </c>
      <c r="N102" t="str">
        <f>INDEX(Programmes!G:G,MATCH(tblCourse[[#This Row],[ProgNumb]],Programmes!A:A,))</f>
        <v>BBS/TC/Feb</v>
      </c>
      <c r="O102" t="str">
        <f>tblCourse[[#This Row],[CourseCode]]&amp;"/"&amp;tblCourse[[#This Row],[Ccampus]]&amp;"/"&amp;tblCourse[[#This Row],[CIntake]]</f>
        <v>MK6.02/Palmerston Rd/Feb</v>
      </c>
    </row>
    <row r="103" spans="1:15">
      <c r="A103">
        <v>535</v>
      </c>
      <c r="B103" t="s">
        <v>174</v>
      </c>
      <c r="C103" t="s">
        <v>175</v>
      </c>
      <c r="D103" t="s">
        <v>83</v>
      </c>
      <c r="E103" t="s">
        <v>20</v>
      </c>
      <c r="F103">
        <v>72</v>
      </c>
      <c r="G103" t="s">
        <v>72</v>
      </c>
      <c r="H103" t="s">
        <v>11</v>
      </c>
      <c r="I103" t="str">
        <f>tblCourse[[#This Row],[CourseCode]]&amp;"/"&amp;tblCourse[[#This Row],[CRegion]]&amp;"/"&amp;tblCourse[[#This Row],[CIntake]]</f>
        <v>MK6.03/HB/Jul</v>
      </c>
      <c r="J103" t="b">
        <v>0</v>
      </c>
      <c r="K103" t="str">
        <f>INDEX(tblCampus[CampusName],MATCH(tblCourse[[#This Row],[CRegion]],tblCampus[CampusCode],))</f>
        <v>Taradale</v>
      </c>
      <c r="L103" t="str">
        <f>tblCourse[[#This Row],[CourseDescript]]&amp;"  -  "&amp;tblCourse[[#This Row],[Ccampus]]&amp;"  -  "&amp;tblCourse[[#This Row],[CIntake]]</f>
        <v>Branding  -  Taradale  -  Jul</v>
      </c>
      <c r="M103" t="str">
        <f>tblCourse[[#This Row],[ProgFullCode]]&amp;"/1"</f>
        <v>BBS/HB/Feb/1</v>
      </c>
      <c r="N103" t="str">
        <f>INDEX(Programmes!G:G,MATCH(tblCourse[[#This Row],[ProgNumb]],Programmes!A:A,))</f>
        <v>BBS/HB/Feb</v>
      </c>
      <c r="O103" t="str">
        <f>tblCourse[[#This Row],[CourseCode]]&amp;"/"&amp;tblCourse[[#This Row],[Ccampus]]&amp;"/"&amp;tblCourse[[#This Row],[CIntake]]</f>
        <v>MK6.03/Taradale/Jul</v>
      </c>
    </row>
    <row r="104" spans="1:15">
      <c r="A104">
        <v>100062</v>
      </c>
      <c r="B104" t="s">
        <v>174</v>
      </c>
      <c r="C104" t="s">
        <v>175</v>
      </c>
      <c r="D104" t="s">
        <v>93</v>
      </c>
      <c r="E104" t="s">
        <v>20</v>
      </c>
      <c r="F104">
        <v>73</v>
      </c>
      <c r="G104" t="s">
        <v>72</v>
      </c>
      <c r="H104" t="s">
        <v>11</v>
      </c>
      <c r="I104" t="str">
        <f>tblCourse[[#This Row],[CourseCode]]&amp;"/"&amp;tblCourse[[#This Row],[CRegion]]&amp;"/"&amp;tblCourse[[#This Row],[CIntake]]</f>
        <v>MK6.03/TC/Jul</v>
      </c>
      <c r="J104" t="b">
        <v>0</v>
      </c>
      <c r="K104" t="str">
        <f>INDEX(tblCampus[CampusName],MATCH(tblCourse[[#This Row],[CRegion]],tblCampus[CampusCode],))</f>
        <v>Palmerston Rd</v>
      </c>
      <c r="L104" t="str">
        <f>tblCourse[[#This Row],[CourseDescript]]&amp;"  -  "&amp;tblCourse[[#This Row],[Ccampus]]&amp;"  -  "&amp;tblCourse[[#This Row],[CIntake]]</f>
        <v>Branding  -  Palmerston Rd  -  Jul</v>
      </c>
      <c r="M104" t="str">
        <f>tblCourse[[#This Row],[ProgFullCode]]&amp;"/1"</f>
        <v>BBS/TC/Feb/1</v>
      </c>
      <c r="N104" t="str">
        <f>INDEX(Programmes!G:G,MATCH(tblCourse[[#This Row],[ProgNumb]],Programmes!A:A,))</f>
        <v>BBS/TC/Feb</v>
      </c>
      <c r="O104" t="str">
        <f>tblCourse[[#This Row],[CourseCode]]&amp;"/"&amp;tblCourse[[#This Row],[Ccampus]]&amp;"/"&amp;tblCourse[[#This Row],[CIntake]]</f>
        <v>MK6.03/Palmerston Rd/Jul</v>
      </c>
    </row>
    <row r="105" spans="1:15">
      <c r="A105">
        <v>537</v>
      </c>
      <c r="B105" t="s">
        <v>176</v>
      </c>
      <c r="C105" t="s">
        <v>177</v>
      </c>
      <c r="D105" t="s">
        <v>83</v>
      </c>
      <c r="E105" t="s">
        <v>20</v>
      </c>
      <c r="F105">
        <v>72</v>
      </c>
      <c r="G105" t="s">
        <v>72</v>
      </c>
      <c r="H105" t="s">
        <v>11</v>
      </c>
      <c r="I105" t="str">
        <f>tblCourse[[#This Row],[CourseCode]]&amp;"/"&amp;tblCourse[[#This Row],[CRegion]]&amp;"/"&amp;tblCourse[[#This Row],[CIntake]]</f>
        <v>MK7.01/HB/Jul</v>
      </c>
      <c r="J105" t="b">
        <v>0</v>
      </c>
      <c r="K105" t="str">
        <f>INDEX(tblCampus[CampusName],MATCH(tblCourse[[#This Row],[CRegion]],tblCampus[CampusCode],))</f>
        <v>Taradale</v>
      </c>
      <c r="L105" t="str">
        <f>tblCourse[[#This Row],[CourseDescript]]&amp;"  -  "&amp;tblCourse[[#This Row],[Ccampus]]&amp;"  -  "&amp;tblCourse[[#This Row],[CIntake]]</f>
        <v>Strategic Marketing  -  Taradale  -  Jul</v>
      </c>
      <c r="M105" t="str">
        <f>tblCourse[[#This Row],[ProgFullCode]]&amp;"/1"</f>
        <v>BBS/HB/Feb/1</v>
      </c>
      <c r="N105" t="str">
        <f>INDEX(Programmes!G:G,MATCH(tblCourse[[#This Row],[ProgNumb]],Programmes!A:A,))</f>
        <v>BBS/HB/Feb</v>
      </c>
      <c r="O105" t="str">
        <f>tblCourse[[#This Row],[CourseCode]]&amp;"/"&amp;tblCourse[[#This Row],[Ccampus]]&amp;"/"&amp;tblCourse[[#This Row],[CIntake]]</f>
        <v>MK7.01/Taradale/Jul</v>
      </c>
    </row>
    <row r="106" spans="1:15">
      <c r="A106">
        <v>539</v>
      </c>
      <c r="B106" t="s">
        <v>178</v>
      </c>
      <c r="C106" t="s">
        <v>179</v>
      </c>
      <c r="D106" t="s">
        <v>83</v>
      </c>
      <c r="E106" t="s">
        <v>14</v>
      </c>
      <c r="F106">
        <v>72</v>
      </c>
      <c r="G106" t="s">
        <v>72</v>
      </c>
      <c r="H106" t="s">
        <v>11</v>
      </c>
      <c r="I106" t="str">
        <f>tblCourse[[#This Row],[CourseCode]]&amp;"/"&amp;tblCourse[[#This Row],[CRegion]]&amp;"/"&amp;tblCourse[[#This Row],[CIntake]]</f>
        <v>MK7.02/HB/Feb</v>
      </c>
      <c r="J106" t="b">
        <v>0</v>
      </c>
      <c r="K106" t="str">
        <f>INDEX(tblCampus[CampusName],MATCH(tblCourse[[#This Row],[CRegion]],tblCampus[CampusCode],))</f>
        <v>Taradale</v>
      </c>
      <c r="L106" t="str">
        <f>tblCourse[[#This Row],[CourseDescript]]&amp;"  -  "&amp;tblCourse[[#This Row],[Ccampus]]&amp;"  -  "&amp;tblCourse[[#This Row],[CIntake]]</f>
        <v>Marketing Research  -  Taradale  -  Feb</v>
      </c>
      <c r="M106" t="str">
        <f>tblCourse[[#This Row],[ProgFullCode]]&amp;"/1"</f>
        <v>BBS/HB/Feb/1</v>
      </c>
      <c r="N106" t="str">
        <f>INDEX(Programmes!G:G,MATCH(tblCourse[[#This Row],[ProgNumb]],Programmes!A:A,))</f>
        <v>BBS/HB/Feb</v>
      </c>
      <c r="O106" t="str">
        <f>tblCourse[[#This Row],[CourseCode]]&amp;"/"&amp;tblCourse[[#This Row],[Ccampus]]&amp;"/"&amp;tblCourse[[#This Row],[CIntake]]</f>
        <v>MK7.02/Taradale/Feb</v>
      </c>
    </row>
    <row r="107" spans="1:15">
      <c r="A107">
        <v>541</v>
      </c>
      <c r="B107" t="s">
        <v>180</v>
      </c>
      <c r="C107" t="s">
        <v>181</v>
      </c>
      <c r="D107" t="s">
        <v>83</v>
      </c>
      <c r="E107" t="s">
        <v>20</v>
      </c>
      <c r="F107">
        <v>72</v>
      </c>
      <c r="G107" t="s">
        <v>72</v>
      </c>
      <c r="H107" t="s">
        <v>11</v>
      </c>
      <c r="I107" t="str">
        <f>tblCourse[[#This Row],[CourseCode]]&amp;"/"&amp;tblCourse[[#This Row],[CRegion]]&amp;"/"&amp;tblCourse[[#This Row],[CIntake]]</f>
        <v>MK7.10/HB/Jul</v>
      </c>
      <c r="J107" t="b">
        <v>0</v>
      </c>
      <c r="K107" t="str">
        <f>INDEX(tblCampus[CampusName],MATCH(tblCourse[[#This Row],[CRegion]],tblCampus[CampusCode],))</f>
        <v>Taradale</v>
      </c>
      <c r="L107" t="str">
        <f>tblCourse[[#This Row],[CourseDescript]]&amp;"  -  "&amp;tblCourse[[#This Row],[Ccampus]]&amp;"  -  "&amp;tblCourse[[#This Row],[CIntake]]</f>
        <v>Social Media Marketing  -  Taradale  -  Jul</v>
      </c>
      <c r="M107" t="str">
        <f>tblCourse[[#This Row],[ProgFullCode]]&amp;"/1"</f>
        <v>BBS/HB/Feb/1</v>
      </c>
      <c r="N107" t="str">
        <f>INDEX(Programmes!G:G,MATCH(tblCourse[[#This Row],[ProgNumb]],Programmes!A:A,))</f>
        <v>BBS/HB/Feb</v>
      </c>
      <c r="O107" t="str">
        <f>tblCourse[[#This Row],[CourseCode]]&amp;"/"&amp;tblCourse[[#This Row],[Ccampus]]&amp;"/"&amp;tblCourse[[#This Row],[CIntake]]</f>
        <v>MK7.10/Taradale/Jul</v>
      </c>
    </row>
    <row r="108" spans="1:15">
      <c r="A108">
        <v>100065</v>
      </c>
      <c r="B108" t="s">
        <v>26</v>
      </c>
      <c r="C108" t="s">
        <v>27</v>
      </c>
      <c r="D108" t="s">
        <v>83</v>
      </c>
      <c r="E108" t="s">
        <v>14</v>
      </c>
      <c r="F108">
        <v>100003</v>
      </c>
      <c r="G108" t="s">
        <v>72</v>
      </c>
      <c r="H108" t="s">
        <v>11</v>
      </c>
      <c r="I108" t="str">
        <f>tblCourse[[#This Row],[CourseCode]]&amp;"/"&amp;tblCourse[[#This Row],[CRegion]]&amp;"/"&amp;tblCourse[[#This Row],[CIntake]]</f>
        <v>SBA/HB/Feb</v>
      </c>
      <c r="J108" t="b">
        <v>0</v>
      </c>
      <c r="K108" t="str">
        <f>INDEX(tblCampus[CampusName],MATCH(tblCourse[[#This Row],[CRegion]],tblCampus[CampusCode],))</f>
        <v>Taradale</v>
      </c>
      <c r="L108" t="str">
        <f>tblCourse[[#This Row],[CourseDescript]]&amp;"  -  "&amp;tblCourse[[#This Row],[Ccampus]]&amp;"  -  "&amp;tblCourse[[#This Row],[CIntake]]</f>
        <v>School-based Activities  -  Taradale  -  Feb</v>
      </c>
      <c r="M108" t="str">
        <f>tblCourse[[#This Row],[ProgFullCode]]&amp;"/1"</f>
        <v>SBA/HB/Feb/1</v>
      </c>
      <c r="N108" t="str">
        <f>INDEX(Programmes!G:G,MATCH(tblCourse[[#This Row],[ProgNumb]],Programmes!A:A,))</f>
        <v>SBA/HB/Feb</v>
      </c>
      <c r="O108" t="str">
        <f>tblCourse[[#This Row],[CourseCode]]&amp;"/"&amp;tblCourse[[#This Row],[Ccampus]]&amp;"/"&amp;tblCourse[[#This Row],[CIntake]]</f>
        <v>SBA/Taradale/Feb</v>
      </c>
    </row>
    <row r="109" spans="1:15">
      <c r="A109">
        <v>100039</v>
      </c>
      <c r="B109" t="s">
        <v>182</v>
      </c>
      <c r="C109" t="s">
        <v>27</v>
      </c>
      <c r="D109" t="s">
        <v>93</v>
      </c>
      <c r="E109" t="s">
        <v>14</v>
      </c>
      <c r="F109">
        <v>100004</v>
      </c>
      <c r="G109" t="s">
        <v>72</v>
      </c>
      <c r="H109" t="s">
        <v>11</v>
      </c>
      <c r="I109" t="str">
        <f>tblCourse[[#This Row],[CourseCode]]&amp;"/"&amp;tblCourse[[#This Row],[CRegion]]&amp;"/"&amp;tblCourse[[#This Row],[CIntake]]</f>
        <v>SBA/TC/Feb</v>
      </c>
      <c r="J109" t="b">
        <v>0</v>
      </c>
      <c r="K109" t="str">
        <f>INDEX(tblCampus[CampusName],MATCH(tblCourse[[#This Row],[CRegion]],tblCampus[CampusCode],))</f>
        <v>Palmerston Rd</v>
      </c>
      <c r="L109" t="str">
        <f>tblCourse[[#This Row],[CourseDescript]]&amp;"  -  "&amp;tblCourse[[#This Row],[Ccampus]]&amp;"  -  "&amp;tblCourse[[#This Row],[CIntake]]</f>
        <v>School-based Activitties  -  Palmerston Rd  -  Feb</v>
      </c>
      <c r="M109" t="str">
        <f>tblCourse[[#This Row],[ProgFullCode]]&amp;"/1"</f>
        <v>SBA/TC/Feb/1</v>
      </c>
      <c r="N109" t="str">
        <f>INDEX(Programmes!G:G,MATCH(tblCourse[[#This Row],[ProgNumb]],Programmes!A:A,))</f>
        <v>SBA/TC/Feb</v>
      </c>
      <c r="O109" t="str">
        <f>tblCourse[[#This Row],[CourseCode]]&amp;"/"&amp;tblCourse[[#This Row],[Ccampus]]&amp;"/"&amp;tblCourse[[#This Row],[CIntake]]</f>
        <v>SBA/Palmerston Rd/Feb</v>
      </c>
    </row>
    <row r="110" spans="1:15">
      <c r="A110">
        <v>200111</v>
      </c>
      <c r="B110" t="s">
        <v>183</v>
      </c>
      <c r="C110" t="s">
        <v>184</v>
      </c>
      <c r="D110" t="s">
        <v>83</v>
      </c>
      <c r="E110" t="s">
        <v>14</v>
      </c>
      <c r="F110">
        <v>82</v>
      </c>
      <c r="G110" t="s">
        <v>185</v>
      </c>
      <c r="I110" t="str">
        <f>tblCourse[[#This Row],[CourseCode]]&amp;"/"&amp;tblCourse[[#This Row],[CRegion]]&amp;"/"&amp;tblCourse[[#This Row],[CIntake]]</f>
        <v>asfa/HB/Feb</v>
      </c>
      <c r="K110" t="str">
        <f>INDEX(tblCampus[CampusName],MATCH(tblCourse[[#This Row],[CRegion]],tblCampus[CampusCode],))</f>
        <v>Taradale</v>
      </c>
      <c r="L110" t="str">
        <f>tblCourse[[#This Row],[CourseDescript]]&amp;"  -  "&amp;tblCourse[[#This Row],[Ccampus]]&amp;"  -  "&amp;tblCourse[[#This Row],[CIntake]]</f>
        <v>afaf  -  Taradale  -  Feb</v>
      </c>
      <c r="M110" t="str">
        <f>tblCourse[[#This Row],[ProgFullCode]]&amp;"/1"</f>
        <v>NZDB/HB/Feb/1</v>
      </c>
      <c r="N110" t="str">
        <f>INDEX(Programmes!G:G,MATCH(tblCourse[[#This Row],[ProgNumb]],Programmes!A:A,))</f>
        <v>NZDB/HB/Feb</v>
      </c>
      <c r="O110" t="str">
        <f>tblCourse[[#This Row],[CourseCode]]&amp;"/"&amp;tblCourse[[#This Row],[Ccampus]]&amp;"/"&amp;tblCourse[[#This Row],[CIntake]]</f>
        <v>asfa/Taradale/Feb</v>
      </c>
    </row>
    <row r="111" spans="1:15">
      <c r="A111">
        <v>200113</v>
      </c>
      <c r="B111" t="s">
        <v>186</v>
      </c>
      <c r="C111" t="s">
        <v>97</v>
      </c>
      <c r="D111" t="s">
        <v>93</v>
      </c>
      <c r="E111" t="s">
        <v>14</v>
      </c>
      <c r="F111">
        <v>81</v>
      </c>
      <c r="G111" t="s">
        <v>185</v>
      </c>
      <c r="I111" t="str">
        <f>tblCourse[[#This Row],[CourseCode]]&amp;"/"&amp;tblCourse[[#This Row],[CRegion]]&amp;"/"&amp;tblCourse[[#This Row],[CIntake]]</f>
        <v>ACCY5103/TC/Feb</v>
      </c>
      <c r="K111" t="str">
        <f>INDEX(tblCampus[CampusName],MATCH(tblCourse[[#This Row],[CRegion]],tblCampus[CampusCode],))</f>
        <v>Palmerston Rd</v>
      </c>
      <c r="L111" t="str">
        <f>tblCourse[[#This Row],[CourseDescript]]&amp;"  -  "&amp;tblCourse[[#This Row],[Ccampus]]&amp;"  -  "&amp;tblCourse[[#This Row],[CIntake]]</f>
        <v>acccececcc  -  Palmerston Rd  -  Feb</v>
      </c>
      <c r="M111" t="str">
        <f>tblCourse[[#This Row],[ProgFullCode]]&amp;"/1"</f>
        <v>NZDB/TC/Feb/1</v>
      </c>
      <c r="N111" t="str">
        <f>INDEX(Programmes!G:G,MATCH(tblCourse[[#This Row],[ProgNumb]],Programmes!A:A,))</f>
        <v>NZDB/TC/Feb</v>
      </c>
      <c r="O111" t="str">
        <f>tblCourse[[#This Row],[CourseCode]]&amp;"/"&amp;tblCourse[[#This Row],[Ccampus]]&amp;"/"&amp;tblCourse[[#This Row],[CIntake]]</f>
        <v>ACCY5103/Palmerston Rd/Feb</v>
      </c>
    </row>
    <row r="112" spans="1:15">
      <c r="A112">
        <v>200114</v>
      </c>
      <c r="B112" t="s">
        <v>187</v>
      </c>
      <c r="C112" t="s">
        <v>188</v>
      </c>
      <c r="D112" t="s">
        <v>83</v>
      </c>
      <c r="E112" t="s">
        <v>43</v>
      </c>
      <c r="F112">
        <v>79</v>
      </c>
      <c r="I112" t="str">
        <f>tblCourse[[#This Row],[CourseCode]]&amp;"/"&amp;tblCourse[[#This Row],[CRegion]]&amp;"/"&amp;tblCourse[[#This Row],[CIntake]]</f>
        <v>BLAH/HB/Jan</v>
      </c>
      <c r="K112" t="str">
        <f>INDEX(tblCampus[CampusName],MATCH(tblCourse[[#This Row],[CRegion]],tblCampus[CampusCode],))</f>
        <v>Taradale</v>
      </c>
      <c r="L112" t="str">
        <f>tblCourse[[#This Row],[CourseDescript]]&amp;"  -  "&amp;tblCourse[[#This Row],[Ccampus]]&amp;"  -  "&amp;tblCourse[[#This Row],[CIntake]]</f>
        <v>Blah Blah  -  Taradale  -  Jan</v>
      </c>
      <c r="M112" t="str">
        <f>tblCourse[[#This Row],[ProgFullCode]]&amp;"/1"</f>
        <v>CBASS/HB/Feb/1</v>
      </c>
      <c r="N112" t="str">
        <f>INDEX(Programmes!G:G,MATCH(tblCourse[[#This Row],[ProgNumb]],Programmes!A:A,))</f>
        <v>CBASS/HB/Feb</v>
      </c>
      <c r="O112" t="str">
        <f>tblCourse[[#This Row],[CourseCode]]&amp;"/"&amp;tblCourse[[#This Row],[Ccampus]]&amp;"/"&amp;tblCourse[[#This Row],[CIntake]]</f>
        <v>BLAH/Taradale/Jan</v>
      </c>
    </row>
    <row r="113" spans="1:15">
      <c r="A113">
        <v>200115</v>
      </c>
      <c r="B113" t="s">
        <v>189</v>
      </c>
      <c r="C113" t="s">
        <v>190</v>
      </c>
      <c r="D113" t="s">
        <v>83</v>
      </c>
      <c r="E113" t="s">
        <v>14</v>
      </c>
      <c r="F113">
        <v>79</v>
      </c>
      <c r="G113" t="s">
        <v>185</v>
      </c>
      <c r="I113" t="str">
        <f>tblCourse[[#This Row],[CourseCode]]&amp;"/"&amp;tblCourse[[#This Row],[CRegion]]&amp;"/"&amp;tblCourse[[#This Row],[CIntake]]</f>
        <v>EX/HB/Feb</v>
      </c>
      <c r="K113" t="str">
        <f>INDEX(tblCampus[CampusName],MATCH(tblCourse[[#This Row],[CRegion]],tblCampus[CampusCode],))</f>
        <v>Taradale</v>
      </c>
      <c r="L113" t="str">
        <f>tblCourse[[#This Row],[CourseDescript]]&amp;"  -  "&amp;tblCourse[[#This Row],[Ccampus]]&amp;"  -  "&amp;tblCourse[[#This Row],[CIntake]]</f>
        <v>exceciec  -  Taradale  -  Feb</v>
      </c>
      <c r="M113" t="str">
        <f>tblCourse[[#This Row],[ProgFullCode]]&amp;"/1"</f>
        <v>CBASS/HB/Feb/1</v>
      </c>
      <c r="N113" t="str">
        <f>INDEX(Programmes!G:G,MATCH(tblCourse[[#This Row],[ProgNumb]],Programmes!A:A,))</f>
        <v>CBASS/HB/Feb</v>
      </c>
      <c r="O113" t="str">
        <f>tblCourse[[#This Row],[CourseCode]]&amp;"/"&amp;tblCourse[[#This Row],[Ccampus]]&amp;"/"&amp;tblCourse[[#This Row],[CIntake]]</f>
        <v>EX/Taradale/Feb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0DCA-7D18-4AA6-9418-4E0A1AD2B362}">
  <sheetPr codeName="Staff"/>
  <dimension ref="A1:C555"/>
  <sheetViews>
    <sheetView workbookViewId="0">
      <selection activeCell="C8" sqref="C8"/>
    </sheetView>
  </sheetViews>
  <sheetFormatPr defaultColWidth="8.875" defaultRowHeight="14.25"/>
  <cols>
    <col min="1" max="1" width="5.375" bestFit="1" customWidth="1"/>
    <col min="2" max="2" width="34.375" bestFit="1" customWidth="1"/>
    <col min="3" max="3" width="23.625" bestFit="1" customWidth="1"/>
  </cols>
  <sheetData>
    <row r="1" spans="1:3">
      <c r="A1" t="s">
        <v>191</v>
      </c>
      <c r="B1" t="s">
        <v>192</v>
      </c>
      <c r="C1" t="s">
        <v>193</v>
      </c>
    </row>
    <row r="2" spans="1:3">
      <c r="A2">
        <v>554</v>
      </c>
      <c r="B2" t="s">
        <v>194</v>
      </c>
      <c r="C2" t="s">
        <v>195</v>
      </c>
    </row>
    <row r="3" spans="1:3">
      <c r="A3">
        <v>580</v>
      </c>
      <c r="B3" t="s">
        <v>196</v>
      </c>
      <c r="C3" t="s">
        <v>197</v>
      </c>
    </row>
    <row r="4" spans="1:3">
      <c r="A4">
        <v>788</v>
      </c>
      <c r="B4" t="s">
        <v>198</v>
      </c>
      <c r="C4" t="s">
        <v>199</v>
      </c>
    </row>
    <row r="5" spans="1:3">
      <c r="A5">
        <v>1095</v>
      </c>
      <c r="B5" t="s">
        <v>200</v>
      </c>
      <c r="C5" t="s">
        <v>201</v>
      </c>
    </row>
    <row r="6" spans="1:3">
      <c r="A6">
        <v>771</v>
      </c>
      <c r="B6" t="s">
        <v>202</v>
      </c>
      <c r="C6" t="s">
        <v>203</v>
      </c>
    </row>
    <row r="7" spans="1:3">
      <c r="A7">
        <v>1053</v>
      </c>
      <c r="B7" t="s">
        <v>204</v>
      </c>
      <c r="C7" t="s">
        <v>205</v>
      </c>
    </row>
    <row r="8" spans="1:3">
      <c r="A8">
        <v>1034</v>
      </c>
      <c r="B8" t="s">
        <v>206</v>
      </c>
      <c r="C8" t="s">
        <v>207</v>
      </c>
    </row>
    <row r="9" spans="1:3">
      <c r="A9">
        <v>508</v>
      </c>
      <c r="B9" t="s">
        <v>208</v>
      </c>
      <c r="C9" t="s">
        <v>208</v>
      </c>
    </row>
    <row r="10" spans="1:3">
      <c r="A10">
        <v>904</v>
      </c>
      <c r="B10" t="s">
        <v>209</v>
      </c>
      <c r="C10" t="s">
        <v>210</v>
      </c>
    </row>
    <row r="11" spans="1:3">
      <c r="A11">
        <v>642</v>
      </c>
      <c r="B11" t="s">
        <v>211</v>
      </c>
      <c r="C11" t="s">
        <v>212</v>
      </c>
    </row>
    <row r="12" spans="1:3">
      <c r="A12">
        <v>673</v>
      </c>
      <c r="B12" t="s">
        <v>213</v>
      </c>
      <c r="C12" t="s">
        <v>214</v>
      </c>
    </row>
    <row r="13" spans="1:3">
      <c r="A13">
        <v>1124</v>
      </c>
      <c r="B13" t="s">
        <v>215</v>
      </c>
      <c r="C13" t="s">
        <v>216</v>
      </c>
    </row>
    <row r="14" spans="1:3">
      <c r="A14">
        <v>509</v>
      </c>
      <c r="B14" t="s">
        <v>217</v>
      </c>
      <c r="C14" t="s">
        <v>218</v>
      </c>
    </row>
    <row r="15" spans="1:3">
      <c r="A15">
        <v>529</v>
      </c>
      <c r="B15" t="s">
        <v>219</v>
      </c>
      <c r="C15" t="s">
        <v>220</v>
      </c>
    </row>
    <row r="16" spans="1:3">
      <c r="A16">
        <v>960</v>
      </c>
      <c r="B16" t="s">
        <v>221</v>
      </c>
      <c r="C16" t="s">
        <v>222</v>
      </c>
    </row>
    <row r="17" spans="1:3">
      <c r="A17">
        <v>775</v>
      </c>
      <c r="B17" t="s">
        <v>223</v>
      </c>
      <c r="C17" t="s">
        <v>224</v>
      </c>
    </row>
    <row r="18" spans="1:3">
      <c r="A18">
        <v>727</v>
      </c>
      <c r="B18" t="s">
        <v>225</v>
      </c>
      <c r="C18" t="s">
        <v>226</v>
      </c>
    </row>
    <row r="19" spans="1:3">
      <c r="A19">
        <v>590</v>
      </c>
      <c r="B19" t="s">
        <v>227</v>
      </c>
      <c r="C19" t="s">
        <v>228</v>
      </c>
    </row>
    <row r="20" spans="1:3">
      <c r="A20">
        <v>1060</v>
      </c>
      <c r="B20" t="s">
        <v>229</v>
      </c>
      <c r="C20" t="s">
        <v>230</v>
      </c>
    </row>
    <row r="21" spans="1:3">
      <c r="A21">
        <v>697</v>
      </c>
      <c r="B21" t="s">
        <v>231</v>
      </c>
      <c r="C21" t="s">
        <v>232</v>
      </c>
    </row>
    <row r="22" spans="1:3">
      <c r="A22">
        <v>1025</v>
      </c>
      <c r="B22" t="s">
        <v>233</v>
      </c>
      <c r="C22" t="s">
        <v>234</v>
      </c>
    </row>
    <row r="23" spans="1:3">
      <c r="A23">
        <v>700</v>
      </c>
      <c r="B23" t="s">
        <v>235</v>
      </c>
      <c r="C23" t="s">
        <v>236</v>
      </c>
    </row>
    <row r="24" spans="1:3">
      <c r="A24">
        <v>548</v>
      </c>
      <c r="B24" t="s">
        <v>237</v>
      </c>
      <c r="C24" t="s">
        <v>238</v>
      </c>
    </row>
    <row r="25" spans="1:3">
      <c r="A25">
        <v>728</v>
      </c>
      <c r="B25" t="s">
        <v>239</v>
      </c>
      <c r="C25" t="s">
        <v>240</v>
      </c>
    </row>
    <row r="26" spans="1:3">
      <c r="A26">
        <v>1054</v>
      </c>
      <c r="B26" t="s">
        <v>241</v>
      </c>
      <c r="C26" t="s">
        <v>242</v>
      </c>
    </row>
    <row r="27" spans="1:3">
      <c r="A27">
        <v>1076</v>
      </c>
      <c r="B27" t="s">
        <v>243</v>
      </c>
      <c r="C27" t="s">
        <v>244</v>
      </c>
    </row>
    <row r="28" spans="1:3">
      <c r="A28">
        <v>1055</v>
      </c>
      <c r="B28" t="s">
        <v>245</v>
      </c>
      <c r="C28" t="s">
        <v>246</v>
      </c>
    </row>
    <row r="29" spans="1:3">
      <c r="A29">
        <v>1045</v>
      </c>
      <c r="B29" t="s">
        <v>247</v>
      </c>
      <c r="C29" t="s">
        <v>248</v>
      </c>
    </row>
    <row r="30" spans="1:3">
      <c r="A30">
        <v>687</v>
      </c>
      <c r="B30" t="s">
        <v>249</v>
      </c>
      <c r="C30" t="s">
        <v>250</v>
      </c>
    </row>
    <row r="31" spans="1:3">
      <c r="A31">
        <v>1134</v>
      </c>
      <c r="B31" t="s">
        <v>251</v>
      </c>
      <c r="C31" t="s">
        <v>252</v>
      </c>
    </row>
    <row r="32" spans="1:3">
      <c r="A32">
        <v>522</v>
      </c>
      <c r="B32" t="s">
        <v>253</v>
      </c>
      <c r="C32" t="s">
        <v>254</v>
      </c>
    </row>
    <row r="33" spans="1:3">
      <c r="A33">
        <v>523</v>
      </c>
      <c r="B33" t="s">
        <v>255</v>
      </c>
      <c r="C33" t="s">
        <v>256</v>
      </c>
    </row>
    <row r="34" spans="1:3">
      <c r="A34">
        <v>680</v>
      </c>
      <c r="B34" t="s">
        <v>257</v>
      </c>
      <c r="C34" t="s">
        <v>258</v>
      </c>
    </row>
    <row r="35" spans="1:3">
      <c r="A35">
        <v>759</v>
      </c>
      <c r="B35" t="s">
        <v>259</v>
      </c>
      <c r="C35" t="s">
        <v>260</v>
      </c>
    </row>
    <row r="36" spans="1:3">
      <c r="A36">
        <v>902</v>
      </c>
      <c r="B36" t="s">
        <v>261</v>
      </c>
      <c r="C36" t="s">
        <v>262</v>
      </c>
    </row>
    <row r="37" spans="1:3">
      <c r="A37">
        <v>942</v>
      </c>
      <c r="B37" t="s">
        <v>263</v>
      </c>
      <c r="C37" t="s">
        <v>264</v>
      </c>
    </row>
    <row r="38" spans="1:3">
      <c r="A38">
        <v>1000</v>
      </c>
      <c r="B38" t="s">
        <v>265</v>
      </c>
      <c r="C38" t="s">
        <v>266</v>
      </c>
    </row>
    <row r="39" spans="1:3">
      <c r="A39">
        <v>684</v>
      </c>
      <c r="B39" t="s">
        <v>267</v>
      </c>
      <c r="C39" t="s">
        <v>268</v>
      </c>
    </row>
    <row r="40" spans="1:3">
      <c r="A40">
        <v>565</v>
      </c>
      <c r="B40" t="s">
        <v>269</v>
      </c>
      <c r="C40" t="s">
        <v>270</v>
      </c>
    </row>
    <row r="41" spans="1:3">
      <c r="A41">
        <v>664</v>
      </c>
      <c r="B41" t="s">
        <v>271</v>
      </c>
      <c r="C41" t="s">
        <v>272</v>
      </c>
    </row>
    <row r="42" spans="1:3">
      <c r="A42">
        <v>762</v>
      </c>
      <c r="B42" t="s">
        <v>273</v>
      </c>
      <c r="C42" t="s">
        <v>274</v>
      </c>
    </row>
    <row r="43" spans="1:3">
      <c r="A43">
        <v>739</v>
      </c>
      <c r="B43" t="s">
        <v>275</v>
      </c>
      <c r="C43" t="s">
        <v>276</v>
      </c>
    </row>
    <row r="44" spans="1:3">
      <c r="A44">
        <v>566</v>
      </c>
      <c r="B44" t="s">
        <v>277</v>
      </c>
      <c r="C44" t="s">
        <v>278</v>
      </c>
    </row>
    <row r="45" spans="1:3">
      <c r="A45">
        <v>887</v>
      </c>
      <c r="B45" t="s">
        <v>279</v>
      </c>
      <c r="C45" t="s">
        <v>280</v>
      </c>
    </row>
    <row r="46" spans="1:3">
      <c r="A46">
        <v>893</v>
      </c>
      <c r="B46" t="s">
        <v>281</v>
      </c>
      <c r="C46" t="s">
        <v>282</v>
      </c>
    </row>
    <row r="47" spans="1:3">
      <c r="A47">
        <v>617</v>
      </c>
      <c r="B47" t="s">
        <v>283</v>
      </c>
      <c r="C47" t="s">
        <v>284</v>
      </c>
    </row>
    <row r="48" spans="1:3">
      <c r="A48">
        <v>671</v>
      </c>
      <c r="B48" t="s">
        <v>285</v>
      </c>
      <c r="C48" t="s">
        <v>286</v>
      </c>
    </row>
    <row r="49" spans="1:3">
      <c r="A49">
        <v>918</v>
      </c>
      <c r="B49" t="s">
        <v>287</v>
      </c>
      <c r="C49" t="s">
        <v>288</v>
      </c>
    </row>
    <row r="50" spans="1:3">
      <c r="A50">
        <v>1107</v>
      </c>
      <c r="B50" t="s">
        <v>289</v>
      </c>
      <c r="C50" t="s">
        <v>290</v>
      </c>
    </row>
    <row r="51" spans="1:3">
      <c r="A51">
        <v>1109</v>
      </c>
      <c r="B51" t="s">
        <v>291</v>
      </c>
      <c r="C51" t="s">
        <v>291</v>
      </c>
    </row>
    <row r="52" spans="1:3">
      <c r="A52">
        <v>534</v>
      </c>
      <c r="B52" t="s">
        <v>292</v>
      </c>
      <c r="C52" t="s">
        <v>292</v>
      </c>
    </row>
    <row r="53" spans="1:3">
      <c r="A53">
        <v>919</v>
      </c>
      <c r="B53" t="s">
        <v>293</v>
      </c>
      <c r="C53" t="s">
        <v>294</v>
      </c>
    </row>
    <row r="54" spans="1:3">
      <c r="A54">
        <v>512</v>
      </c>
      <c r="B54" t="s">
        <v>295</v>
      </c>
      <c r="C54" t="s">
        <v>296</v>
      </c>
    </row>
    <row r="55" spans="1:3">
      <c r="A55">
        <v>915</v>
      </c>
      <c r="B55" t="s">
        <v>297</v>
      </c>
      <c r="C55" t="s">
        <v>298</v>
      </c>
    </row>
    <row r="56" spans="1:3">
      <c r="A56">
        <v>538</v>
      </c>
      <c r="B56" t="s">
        <v>299</v>
      </c>
      <c r="C56" t="s">
        <v>299</v>
      </c>
    </row>
    <row r="57" spans="1:3">
      <c r="A57">
        <v>880</v>
      </c>
      <c r="B57" t="s">
        <v>300</v>
      </c>
      <c r="C57" t="s">
        <v>301</v>
      </c>
    </row>
    <row r="58" spans="1:3">
      <c r="A58">
        <v>1103</v>
      </c>
      <c r="B58" t="s">
        <v>302</v>
      </c>
      <c r="C58" t="s">
        <v>302</v>
      </c>
    </row>
    <row r="59" spans="1:3">
      <c r="A59">
        <v>1119</v>
      </c>
      <c r="B59" t="s">
        <v>303</v>
      </c>
      <c r="C59" t="s">
        <v>304</v>
      </c>
    </row>
    <row r="60" spans="1:3">
      <c r="A60">
        <v>581</v>
      </c>
      <c r="B60" t="s">
        <v>305</v>
      </c>
      <c r="C60" t="s">
        <v>306</v>
      </c>
    </row>
    <row r="61" spans="1:3">
      <c r="A61">
        <v>639</v>
      </c>
      <c r="B61" t="s">
        <v>307</v>
      </c>
      <c r="C61" t="s">
        <v>308</v>
      </c>
    </row>
    <row r="62" spans="1:3">
      <c r="A62">
        <v>768</v>
      </c>
      <c r="B62" t="s">
        <v>309</v>
      </c>
      <c r="C62" t="s">
        <v>310</v>
      </c>
    </row>
    <row r="63" spans="1:3">
      <c r="A63">
        <v>862</v>
      </c>
      <c r="B63" t="s">
        <v>311</v>
      </c>
      <c r="C63" t="s">
        <v>312</v>
      </c>
    </row>
    <row r="64" spans="1:3">
      <c r="A64">
        <v>587</v>
      </c>
      <c r="B64" t="s">
        <v>313</v>
      </c>
      <c r="C64" t="s">
        <v>314</v>
      </c>
    </row>
    <row r="65" spans="1:3">
      <c r="A65">
        <v>632</v>
      </c>
      <c r="B65" t="s">
        <v>315</v>
      </c>
      <c r="C65" t="s">
        <v>316</v>
      </c>
    </row>
    <row r="66" spans="1:3">
      <c r="A66">
        <v>923</v>
      </c>
      <c r="B66" t="s">
        <v>317</v>
      </c>
      <c r="C66" t="s">
        <v>318</v>
      </c>
    </row>
    <row r="67" spans="1:3">
      <c r="A67">
        <v>791</v>
      </c>
      <c r="B67" t="s">
        <v>319</v>
      </c>
      <c r="C67" t="s">
        <v>320</v>
      </c>
    </row>
    <row r="68" spans="1:3">
      <c r="A68">
        <v>1111</v>
      </c>
      <c r="B68" t="s">
        <v>321</v>
      </c>
      <c r="C68" t="s">
        <v>322</v>
      </c>
    </row>
    <row r="69" spans="1:3">
      <c r="A69">
        <v>736</v>
      </c>
      <c r="B69" t="s">
        <v>323</v>
      </c>
      <c r="C69" t="s">
        <v>324</v>
      </c>
    </row>
    <row r="70" spans="1:3">
      <c r="A70">
        <v>1050</v>
      </c>
      <c r="B70" t="s">
        <v>325</v>
      </c>
      <c r="C70" t="s">
        <v>326</v>
      </c>
    </row>
    <row r="71" spans="1:3">
      <c r="A71">
        <v>1145</v>
      </c>
      <c r="B71" t="s">
        <v>327</v>
      </c>
      <c r="C71" t="s">
        <v>328</v>
      </c>
    </row>
    <row r="72" spans="1:3">
      <c r="A72">
        <v>1093</v>
      </c>
      <c r="B72" t="s">
        <v>329</v>
      </c>
      <c r="C72" t="s">
        <v>330</v>
      </c>
    </row>
    <row r="73" spans="1:3">
      <c r="A73">
        <v>555</v>
      </c>
      <c r="B73" t="s">
        <v>331</v>
      </c>
      <c r="C73" t="s">
        <v>331</v>
      </c>
    </row>
    <row r="74" spans="1:3">
      <c r="A74">
        <v>691</v>
      </c>
      <c r="B74" t="s">
        <v>332</v>
      </c>
      <c r="C74" t="s">
        <v>333</v>
      </c>
    </row>
    <row r="75" spans="1:3">
      <c r="A75">
        <v>557</v>
      </c>
      <c r="B75" t="s">
        <v>334</v>
      </c>
      <c r="C75" t="s">
        <v>334</v>
      </c>
    </row>
    <row r="76" spans="1:3">
      <c r="A76">
        <v>809</v>
      </c>
      <c r="B76" t="s">
        <v>335</v>
      </c>
      <c r="C76" t="s">
        <v>336</v>
      </c>
    </row>
    <row r="77" spans="1:3">
      <c r="A77">
        <v>747</v>
      </c>
      <c r="B77" t="s">
        <v>337</v>
      </c>
      <c r="C77" t="s">
        <v>338</v>
      </c>
    </row>
    <row r="78" spans="1:3">
      <c r="A78">
        <v>879</v>
      </c>
      <c r="B78" t="s">
        <v>339</v>
      </c>
      <c r="C78" t="s">
        <v>340</v>
      </c>
    </row>
    <row r="79" spans="1:3">
      <c r="A79">
        <v>1013</v>
      </c>
      <c r="B79" t="s">
        <v>341</v>
      </c>
      <c r="C79" t="s">
        <v>342</v>
      </c>
    </row>
    <row r="80" spans="1:3">
      <c r="A80">
        <v>717</v>
      </c>
      <c r="B80" t="s">
        <v>343</v>
      </c>
      <c r="C80" t="s">
        <v>344</v>
      </c>
    </row>
    <row r="81" spans="1:3">
      <c r="A81">
        <v>926</v>
      </c>
      <c r="B81" t="s">
        <v>345</v>
      </c>
      <c r="C81" t="s">
        <v>346</v>
      </c>
    </row>
    <row r="82" spans="1:3">
      <c r="A82">
        <v>562</v>
      </c>
      <c r="B82" t="s">
        <v>347</v>
      </c>
      <c r="C82" t="s">
        <v>347</v>
      </c>
    </row>
    <row r="83" spans="1:3">
      <c r="A83">
        <v>870</v>
      </c>
      <c r="B83" t="s">
        <v>348</v>
      </c>
      <c r="C83" t="s">
        <v>349</v>
      </c>
    </row>
    <row r="84" spans="1:3">
      <c r="A84">
        <v>670</v>
      </c>
      <c r="B84" t="s">
        <v>350</v>
      </c>
      <c r="C84" t="s">
        <v>351</v>
      </c>
    </row>
    <row r="85" spans="1:3">
      <c r="A85">
        <v>877</v>
      </c>
      <c r="B85" t="s">
        <v>352</v>
      </c>
      <c r="C85" t="s">
        <v>353</v>
      </c>
    </row>
    <row r="86" spans="1:3">
      <c r="A86">
        <v>567</v>
      </c>
      <c r="B86" t="s">
        <v>354</v>
      </c>
      <c r="C86" t="s">
        <v>355</v>
      </c>
    </row>
    <row r="87" spans="1:3">
      <c r="A87">
        <v>602</v>
      </c>
      <c r="B87" t="s">
        <v>356</v>
      </c>
      <c r="C87" t="s">
        <v>357</v>
      </c>
    </row>
    <row r="88" spans="1:3">
      <c r="A88">
        <v>1061</v>
      </c>
      <c r="B88" t="s">
        <v>358</v>
      </c>
      <c r="C88" t="s">
        <v>359</v>
      </c>
    </row>
    <row r="89" spans="1:3">
      <c r="A89">
        <v>594</v>
      </c>
      <c r="B89" t="s">
        <v>360</v>
      </c>
      <c r="C89" t="s">
        <v>361</v>
      </c>
    </row>
    <row r="90" spans="1:3">
      <c r="A90">
        <v>552</v>
      </c>
      <c r="B90" t="s">
        <v>362</v>
      </c>
      <c r="C90" t="s">
        <v>363</v>
      </c>
    </row>
    <row r="91" spans="1:3">
      <c r="A91">
        <v>746</v>
      </c>
      <c r="B91" t="s">
        <v>364</v>
      </c>
      <c r="C91" t="s">
        <v>365</v>
      </c>
    </row>
    <row r="92" spans="1:3">
      <c r="A92">
        <v>800</v>
      </c>
      <c r="B92" t="s">
        <v>366</v>
      </c>
      <c r="C92" t="s">
        <v>367</v>
      </c>
    </row>
    <row r="93" spans="1:3">
      <c r="A93">
        <v>941</v>
      </c>
      <c r="B93" t="s">
        <v>368</v>
      </c>
      <c r="C93" t="s">
        <v>369</v>
      </c>
    </row>
    <row r="94" spans="1:3">
      <c r="A94">
        <v>950</v>
      </c>
      <c r="B94" t="s">
        <v>370</v>
      </c>
      <c r="C94" t="s">
        <v>371</v>
      </c>
    </row>
    <row r="95" spans="1:3">
      <c r="A95">
        <v>1091</v>
      </c>
      <c r="B95" t="s">
        <v>372</v>
      </c>
      <c r="C95" t="s">
        <v>373</v>
      </c>
    </row>
    <row r="96" spans="1:3">
      <c r="A96">
        <v>758</v>
      </c>
      <c r="B96" t="s">
        <v>374</v>
      </c>
      <c r="C96" t="s">
        <v>375</v>
      </c>
    </row>
    <row r="97" spans="1:3">
      <c r="A97">
        <v>569</v>
      </c>
      <c r="B97" t="s">
        <v>376</v>
      </c>
      <c r="C97" t="s">
        <v>376</v>
      </c>
    </row>
    <row r="98" spans="1:3">
      <c r="A98">
        <v>553</v>
      </c>
      <c r="B98" t="s">
        <v>377</v>
      </c>
      <c r="C98" t="s">
        <v>378</v>
      </c>
    </row>
    <row r="99" spans="1:3">
      <c r="A99">
        <v>1154</v>
      </c>
      <c r="B99" t="s">
        <v>379</v>
      </c>
      <c r="C99" t="s">
        <v>380</v>
      </c>
    </row>
    <row r="100" spans="1:3">
      <c r="A100">
        <v>1012</v>
      </c>
      <c r="B100" t="s">
        <v>381</v>
      </c>
      <c r="C100" t="s">
        <v>382</v>
      </c>
    </row>
    <row r="101" spans="1:3">
      <c r="A101">
        <v>735</v>
      </c>
      <c r="B101" t="s">
        <v>383</v>
      </c>
      <c r="C101" t="s">
        <v>384</v>
      </c>
    </row>
    <row r="102" spans="1:3">
      <c r="A102">
        <v>984</v>
      </c>
      <c r="B102" t="s">
        <v>385</v>
      </c>
      <c r="C102" t="s">
        <v>386</v>
      </c>
    </row>
    <row r="103" spans="1:3">
      <c r="A103">
        <v>820</v>
      </c>
      <c r="B103" t="s">
        <v>387</v>
      </c>
      <c r="C103" t="s">
        <v>388</v>
      </c>
    </row>
    <row r="104" spans="1:3">
      <c r="A104">
        <v>570</v>
      </c>
      <c r="B104" t="s">
        <v>389</v>
      </c>
      <c r="C104" t="s">
        <v>389</v>
      </c>
    </row>
    <row r="105" spans="1:3">
      <c r="A105">
        <v>884</v>
      </c>
      <c r="B105" t="s">
        <v>390</v>
      </c>
      <c r="C105" t="s">
        <v>391</v>
      </c>
    </row>
    <row r="106" spans="1:3">
      <c r="A106">
        <v>1026</v>
      </c>
      <c r="B106" t="s">
        <v>392</v>
      </c>
      <c r="C106" t="s">
        <v>393</v>
      </c>
    </row>
    <row r="107" spans="1:3">
      <c r="A107">
        <v>764</v>
      </c>
      <c r="B107" t="s">
        <v>394</v>
      </c>
      <c r="C107" t="s">
        <v>395</v>
      </c>
    </row>
    <row r="108" spans="1:3">
      <c r="A108">
        <v>546</v>
      </c>
      <c r="B108" t="s">
        <v>396</v>
      </c>
      <c r="C108" t="s">
        <v>397</v>
      </c>
    </row>
    <row r="109" spans="1:3">
      <c r="A109">
        <v>539</v>
      </c>
      <c r="B109" t="s">
        <v>398</v>
      </c>
      <c r="C109" t="s">
        <v>399</v>
      </c>
    </row>
    <row r="110" spans="1:3">
      <c r="A110">
        <v>578</v>
      </c>
      <c r="B110" t="s">
        <v>400</v>
      </c>
      <c r="C110" t="s">
        <v>401</v>
      </c>
    </row>
    <row r="111" spans="1:3">
      <c r="A111">
        <v>1077</v>
      </c>
      <c r="B111" t="s">
        <v>402</v>
      </c>
      <c r="C111" t="s">
        <v>403</v>
      </c>
    </row>
    <row r="112" spans="1:3">
      <c r="A112">
        <v>1098</v>
      </c>
      <c r="B112" t="s">
        <v>404</v>
      </c>
      <c r="C112" t="s">
        <v>405</v>
      </c>
    </row>
    <row r="113" spans="1:3">
      <c r="A113">
        <v>610</v>
      </c>
      <c r="B113" t="s">
        <v>406</v>
      </c>
      <c r="C113" t="s">
        <v>407</v>
      </c>
    </row>
    <row r="114" spans="1:3">
      <c r="A114">
        <v>1044</v>
      </c>
      <c r="B114" t="s">
        <v>408</v>
      </c>
      <c r="C114" t="s">
        <v>409</v>
      </c>
    </row>
    <row r="115" spans="1:3">
      <c r="A115">
        <v>1031</v>
      </c>
      <c r="B115" t="s">
        <v>410</v>
      </c>
      <c r="C115" t="s">
        <v>411</v>
      </c>
    </row>
    <row r="116" spans="1:3">
      <c r="A116">
        <v>1112</v>
      </c>
      <c r="B116" t="s">
        <v>412</v>
      </c>
      <c r="C116" t="s">
        <v>412</v>
      </c>
    </row>
    <row r="117" spans="1:3">
      <c r="A117">
        <v>585</v>
      </c>
      <c r="B117" t="s">
        <v>413</v>
      </c>
      <c r="C117" t="s">
        <v>413</v>
      </c>
    </row>
    <row r="118" spans="1:3">
      <c r="A118">
        <v>1117</v>
      </c>
      <c r="B118" t="s">
        <v>414</v>
      </c>
      <c r="C118" t="s">
        <v>415</v>
      </c>
    </row>
    <row r="119" spans="1:3">
      <c r="A119">
        <v>1014</v>
      </c>
      <c r="B119" t="s">
        <v>416</v>
      </c>
      <c r="C119" t="s">
        <v>417</v>
      </c>
    </row>
    <row r="120" spans="1:3">
      <c r="A120">
        <v>563</v>
      </c>
      <c r="B120" t="s">
        <v>418</v>
      </c>
      <c r="C120" t="s">
        <v>419</v>
      </c>
    </row>
    <row r="121" spans="1:3">
      <c r="A121">
        <v>586</v>
      </c>
      <c r="B121" t="s">
        <v>420</v>
      </c>
      <c r="C121" t="s">
        <v>421</v>
      </c>
    </row>
    <row r="122" spans="1:3">
      <c r="A122">
        <v>517</v>
      </c>
      <c r="B122" t="s">
        <v>422</v>
      </c>
      <c r="C122" t="s">
        <v>423</v>
      </c>
    </row>
    <row r="123" spans="1:3">
      <c r="A123">
        <v>748</v>
      </c>
      <c r="B123" t="s">
        <v>424</v>
      </c>
      <c r="C123" t="s">
        <v>425</v>
      </c>
    </row>
    <row r="124" spans="1:3">
      <c r="A124">
        <v>695</v>
      </c>
      <c r="B124" t="s">
        <v>426</v>
      </c>
      <c r="C124" t="s">
        <v>427</v>
      </c>
    </row>
    <row r="125" spans="1:3">
      <c r="A125">
        <v>903</v>
      </c>
      <c r="B125" t="s">
        <v>428</v>
      </c>
      <c r="C125" t="s">
        <v>429</v>
      </c>
    </row>
    <row r="126" spans="1:3">
      <c r="A126">
        <v>1086</v>
      </c>
      <c r="B126" t="s">
        <v>430</v>
      </c>
      <c r="C126" t="s">
        <v>431</v>
      </c>
    </row>
    <row r="127" spans="1:3">
      <c r="A127">
        <v>917</v>
      </c>
      <c r="B127" t="s">
        <v>432</v>
      </c>
      <c r="C127" t="s">
        <v>433</v>
      </c>
    </row>
    <row r="128" spans="1:3">
      <c r="A128">
        <v>723</v>
      </c>
      <c r="B128" t="s">
        <v>434</v>
      </c>
      <c r="C128" t="s">
        <v>435</v>
      </c>
    </row>
    <row r="129" spans="1:3">
      <c r="A129">
        <v>1020</v>
      </c>
      <c r="B129" t="s">
        <v>436</v>
      </c>
      <c r="C129" t="s">
        <v>437</v>
      </c>
    </row>
    <row r="130" spans="1:3">
      <c r="A130">
        <v>930</v>
      </c>
      <c r="B130" t="s">
        <v>438</v>
      </c>
      <c r="C130" t="s">
        <v>439</v>
      </c>
    </row>
    <row r="131" spans="1:3">
      <c r="A131">
        <v>720</v>
      </c>
      <c r="B131" t="s">
        <v>440</v>
      </c>
      <c r="C131" t="s">
        <v>441</v>
      </c>
    </row>
    <row r="132" spans="1:3">
      <c r="A132">
        <v>1032</v>
      </c>
      <c r="B132" t="s">
        <v>442</v>
      </c>
      <c r="C132" t="s">
        <v>443</v>
      </c>
    </row>
    <row r="133" spans="1:3">
      <c r="A133">
        <v>596</v>
      </c>
      <c r="B133" t="s">
        <v>444</v>
      </c>
      <c r="C133" t="s">
        <v>445</v>
      </c>
    </row>
    <row r="134" spans="1:3">
      <c r="A134">
        <v>633</v>
      </c>
      <c r="B134" t="s">
        <v>446</v>
      </c>
      <c r="C134" t="s">
        <v>447</v>
      </c>
    </row>
    <row r="135" spans="1:3">
      <c r="A135">
        <v>710</v>
      </c>
      <c r="B135" t="s">
        <v>448</v>
      </c>
      <c r="C135" t="s">
        <v>449</v>
      </c>
    </row>
    <row r="136" spans="1:3">
      <c r="A136">
        <v>988</v>
      </c>
      <c r="B136" t="s">
        <v>450</v>
      </c>
      <c r="C136" t="s">
        <v>451</v>
      </c>
    </row>
    <row r="137" spans="1:3">
      <c r="A137">
        <v>733</v>
      </c>
      <c r="B137" t="s">
        <v>452</v>
      </c>
      <c r="C137" t="s">
        <v>453</v>
      </c>
    </row>
    <row r="138" spans="1:3">
      <c r="A138">
        <v>660</v>
      </c>
      <c r="B138" t="s">
        <v>454</v>
      </c>
      <c r="C138" t="s">
        <v>455</v>
      </c>
    </row>
    <row r="139" spans="1:3">
      <c r="A139">
        <v>1136</v>
      </c>
      <c r="B139" t="s">
        <v>456</v>
      </c>
      <c r="C139" t="s">
        <v>457</v>
      </c>
    </row>
    <row r="140" spans="1:3">
      <c r="A140">
        <v>688</v>
      </c>
      <c r="B140" t="s">
        <v>458</v>
      </c>
      <c r="C140" t="s">
        <v>459</v>
      </c>
    </row>
    <row r="141" spans="1:3">
      <c r="A141">
        <v>1006</v>
      </c>
      <c r="B141" t="s">
        <v>460</v>
      </c>
      <c r="C141" t="s">
        <v>461</v>
      </c>
    </row>
    <row r="142" spans="1:3">
      <c r="A142">
        <v>607</v>
      </c>
      <c r="B142" t="s">
        <v>462</v>
      </c>
      <c r="C142" t="s">
        <v>462</v>
      </c>
    </row>
    <row r="143" spans="1:3">
      <c r="A143">
        <v>609</v>
      </c>
      <c r="B143" t="s">
        <v>463</v>
      </c>
      <c r="C143" t="s">
        <v>463</v>
      </c>
    </row>
    <row r="144" spans="1:3">
      <c r="A144">
        <v>802</v>
      </c>
      <c r="B144" t="s">
        <v>464</v>
      </c>
      <c r="C144" t="s">
        <v>465</v>
      </c>
    </row>
    <row r="145" spans="1:3">
      <c r="A145">
        <v>803</v>
      </c>
      <c r="B145" t="s">
        <v>466</v>
      </c>
      <c r="C145" t="s">
        <v>467</v>
      </c>
    </row>
    <row r="146" spans="1:3">
      <c r="A146">
        <v>1038</v>
      </c>
      <c r="B146" t="s">
        <v>468</v>
      </c>
      <c r="C146" t="s">
        <v>469</v>
      </c>
    </row>
    <row r="147" spans="1:3">
      <c r="A147">
        <v>780</v>
      </c>
      <c r="B147" t="s">
        <v>470</v>
      </c>
      <c r="C147" t="s">
        <v>471</v>
      </c>
    </row>
    <row r="148" spans="1:3">
      <c r="A148">
        <v>740</v>
      </c>
      <c r="B148" t="s">
        <v>472</v>
      </c>
      <c r="C148" t="s">
        <v>473</v>
      </c>
    </row>
    <row r="149" spans="1:3">
      <c r="A149">
        <v>787</v>
      </c>
      <c r="B149" t="s">
        <v>474</v>
      </c>
      <c r="C149" t="s">
        <v>475</v>
      </c>
    </row>
    <row r="150" spans="1:3">
      <c r="A150">
        <v>749</v>
      </c>
      <c r="B150" t="s">
        <v>476</v>
      </c>
      <c r="C150" t="s">
        <v>477</v>
      </c>
    </row>
    <row r="151" spans="1:3">
      <c r="A151">
        <v>761</v>
      </c>
      <c r="B151" t="s">
        <v>478</v>
      </c>
      <c r="C151" t="s">
        <v>479</v>
      </c>
    </row>
    <row r="152" spans="1:3">
      <c r="A152">
        <v>618</v>
      </c>
      <c r="B152" t="s">
        <v>480</v>
      </c>
      <c r="C152" t="s">
        <v>481</v>
      </c>
    </row>
    <row r="153" spans="1:3">
      <c r="A153">
        <v>714</v>
      </c>
      <c r="B153" t="s">
        <v>482</v>
      </c>
      <c r="C153" t="s">
        <v>483</v>
      </c>
    </row>
    <row r="154" spans="1:3">
      <c r="A154">
        <v>1085</v>
      </c>
      <c r="B154" t="s">
        <v>484</v>
      </c>
      <c r="C154" t="s">
        <v>485</v>
      </c>
    </row>
    <row r="155" spans="1:3">
      <c r="A155">
        <v>905</v>
      </c>
      <c r="B155" t="s">
        <v>486</v>
      </c>
      <c r="C155" t="s">
        <v>487</v>
      </c>
    </row>
    <row r="156" spans="1:3">
      <c r="A156">
        <v>786</v>
      </c>
      <c r="B156" t="s">
        <v>488</v>
      </c>
      <c r="C156" t="s">
        <v>489</v>
      </c>
    </row>
    <row r="157" spans="1:3">
      <c r="A157">
        <v>744</v>
      </c>
      <c r="B157" t="s">
        <v>490</v>
      </c>
      <c r="C157" t="s">
        <v>491</v>
      </c>
    </row>
    <row r="158" spans="1:3">
      <c r="A158">
        <v>1092</v>
      </c>
      <c r="B158" t="s">
        <v>492</v>
      </c>
      <c r="C158" t="s">
        <v>493</v>
      </c>
    </row>
    <row r="159" spans="1:3">
      <c r="A159">
        <v>773</v>
      </c>
      <c r="B159" t="s">
        <v>494</v>
      </c>
      <c r="C159" t="s">
        <v>495</v>
      </c>
    </row>
    <row r="160" spans="1:3">
      <c r="A160">
        <v>621</v>
      </c>
      <c r="B160" t="s">
        <v>496</v>
      </c>
      <c r="C160" t="s">
        <v>496</v>
      </c>
    </row>
    <row r="161" spans="1:3">
      <c r="A161">
        <v>817</v>
      </c>
      <c r="B161" t="s">
        <v>497</v>
      </c>
      <c r="C161" t="s">
        <v>498</v>
      </c>
    </row>
    <row r="162" spans="1:3">
      <c r="A162">
        <v>528</v>
      </c>
      <c r="B162" t="s">
        <v>499</v>
      </c>
      <c r="C162" t="s">
        <v>500</v>
      </c>
    </row>
    <row r="163" spans="1:3">
      <c r="A163">
        <v>676</v>
      </c>
      <c r="B163" t="s">
        <v>501</v>
      </c>
      <c r="C163" t="s">
        <v>502</v>
      </c>
    </row>
    <row r="164" spans="1:3">
      <c r="A164">
        <v>725</v>
      </c>
      <c r="B164" t="s">
        <v>503</v>
      </c>
      <c r="C164" t="s">
        <v>504</v>
      </c>
    </row>
    <row r="165" spans="1:3">
      <c r="A165">
        <v>841</v>
      </c>
      <c r="B165" t="s">
        <v>505</v>
      </c>
      <c r="C165" t="s">
        <v>506</v>
      </c>
    </row>
    <row r="166" spans="1:3">
      <c r="A166">
        <v>815</v>
      </c>
      <c r="B166" t="s">
        <v>507</v>
      </c>
      <c r="C166" t="s">
        <v>508</v>
      </c>
    </row>
    <row r="167" spans="1:3">
      <c r="A167">
        <v>754</v>
      </c>
      <c r="B167" t="s">
        <v>509</v>
      </c>
      <c r="C167" t="s">
        <v>510</v>
      </c>
    </row>
    <row r="168" spans="1:3">
      <c r="A168">
        <v>579</v>
      </c>
      <c r="B168" t="s">
        <v>511</v>
      </c>
      <c r="C168" t="s">
        <v>512</v>
      </c>
    </row>
    <row r="169" spans="1:3">
      <c r="A169">
        <v>1116</v>
      </c>
      <c r="B169" t="s">
        <v>513</v>
      </c>
      <c r="C169" t="s">
        <v>514</v>
      </c>
    </row>
    <row r="170" spans="1:3">
      <c r="A170">
        <v>865</v>
      </c>
      <c r="B170" t="s">
        <v>515</v>
      </c>
      <c r="C170" t="s">
        <v>516</v>
      </c>
    </row>
    <row r="171" spans="1:3">
      <c r="A171">
        <v>859</v>
      </c>
      <c r="B171" t="s">
        <v>517</v>
      </c>
      <c r="C171" t="s">
        <v>518</v>
      </c>
    </row>
    <row r="172" spans="1:3">
      <c r="A172">
        <v>663</v>
      </c>
      <c r="B172" t="s">
        <v>519</v>
      </c>
      <c r="C172" t="s">
        <v>520</v>
      </c>
    </row>
    <row r="173" spans="1:3">
      <c r="A173">
        <v>834</v>
      </c>
      <c r="B173" t="s">
        <v>521</v>
      </c>
      <c r="C173" t="s">
        <v>522</v>
      </c>
    </row>
    <row r="174" spans="1:3">
      <c r="A174">
        <v>654</v>
      </c>
      <c r="B174" t="s">
        <v>523</v>
      </c>
      <c r="C174" t="s">
        <v>524</v>
      </c>
    </row>
    <row r="175" spans="1:3">
      <c r="A175">
        <v>864</v>
      </c>
      <c r="B175" t="s">
        <v>525</v>
      </c>
      <c r="C175" t="s">
        <v>526</v>
      </c>
    </row>
    <row r="176" spans="1:3">
      <c r="A176">
        <v>890</v>
      </c>
      <c r="B176" t="s">
        <v>527</v>
      </c>
      <c r="C176" t="s">
        <v>528</v>
      </c>
    </row>
    <row r="177" spans="1:3">
      <c r="A177">
        <v>549</v>
      </c>
      <c r="B177" t="s">
        <v>529</v>
      </c>
      <c r="C177" t="s">
        <v>530</v>
      </c>
    </row>
    <row r="178" spans="1:3">
      <c r="A178">
        <v>970</v>
      </c>
      <c r="B178" t="s">
        <v>531</v>
      </c>
      <c r="C178" t="s">
        <v>532</v>
      </c>
    </row>
    <row r="179" spans="1:3">
      <c r="A179">
        <v>818</v>
      </c>
      <c r="B179" t="s">
        <v>533</v>
      </c>
      <c r="C179" t="s">
        <v>534</v>
      </c>
    </row>
    <row r="180" spans="1:3">
      <c r="A180">
        <v>592</v>
      </c>
      <c r="B180" t="s">
        <v>535</v>
      </c>
      <c r="C180" t="s">
        <v>536</v>
      </c>
    </row>
    <row r="181" spans="1:3">
      <c r="A181">
        <v>1015</v>
      </c>
      <c r="B181" t="s">
        <v>537</v>
      </c>
      <c r="C181" t="s">
        <v>538</v>
      </c>
    </row>
    <row r="182" spans="1:3">
      <c r="A182">
        <v>868</v>
      </c>
      <c r="B182" t="s">
        <v>539</v>
      </c>
      <c r="C182" t="s">
        <v>540</v>
      </c>
    </row>
    <row r="183" spans="1:3">
      <c r="A183">
        <v>1133</v>
      </c>
      <c r="B183" t="s">
        <v>541</v>
      </c>
      <c r="C183" t="s">
        <v>542</v>
      </c>
    </row>
    <row r="184" spans="1:3">
      <c r="A184">
        <v>1052</v>
      </c>
      <c r="B184" t="s">
        <v>543</v>
      </c>
      <c r="C184" t="s">
        <v>544</v>
      </c>
    </row>
    <row r="185" spans="1:3">
      <c r="A185">
        <v>651</v>
      </c>
      <c r="B185" t="s">
        <v>545</v>
      </c>
      <c r="C185" t="s">
        <v>545</v>
      </c>
    </row>
    <row r="186" spans="1:3">
      <c r="A186">
        <v>536</v>
      </c>
      <c r="B186" t="s">
        <v>546</v>
      </c>
      <c r="C186" t="s">
        <v>547</v>
      </c>
    </row>
    <row r="187" spans="1:3">
      <c r="A187">
        <v>657</v>
      </c>
      <c r="B187" t="s">
        <v>548</v>
      </c>
      <c r="C187" t="s">
        <v>548</v>
      </c>
    </row>
    <row r="188" spans="1:3">
      <c r="A188">
        <v>801</v>
      </c>
      <c r="B188" t="s">
        <v>549</v>
      </c>
      <c r="C188" t="s">
        <v>550</v>
      </c>
    </row>
    <row r="189" spans="1:3">
      <c r="A189">
        <v>750</v>
      </c>
      <c r="B189" t="s">
        <v>551</v>
      </c>
      <c r="C189" t="s">
        <v>552</v>
      </c>
    </row>
    <row r="190" spans="1:3">
      <c r="A190">
        <v>947</v>
      </c>
      <c r="B190" t="s">
        <v>553</v>
      </c>
      <c r="C190" t="s">
        <v>554</v>
      </c>
    </row>
    <row r="191" spans="1:3">
      <c r="A191">
        <v>909</v>
      </c>
      <c r="B191" t="s">
        <v>555</v>
      </c>
      <c r="C191" t="s">
        <v>556</v>
      </c>
    </row>
    <row r="192" spans="1:3">
      <c r="A192">
        <v>1079</v>
      </c>
      <c r="B192" t="s">
        <v>557</v>
      </c>
      <c r="C192" t="s">
        <v>558</v>
      </c>
    </row>
    <row r="193" spans="1:3">
      <c r="A193">
        <v>916</v>
      </c>
      <c r="B193" t="s">
        <v>559</v>
      </c>
      <c r="C193" t="s">
        <v>560</v>
      </c>
    </row>
    <row r="194" spans="1:3">
      <c r="A194">
        <v>955</v>
      </c>
      <c r="B194" t="s">
        <v>561</v>
      </c>
      <c r="C194" t="s">
        <v>562</v>
      </c>
    </row>
    <row r="195" spans="1:3">
      <c r="A195">
        <v>683</v>
      </c>
      <c r="B195" t="s">
        <v>563</v>
      </c>
      <c r="C195" t="s">
        <v>564</v>
      </c>
    </row>
    <row r="196" spans="1:3">
      <c r="A196">
        <v>513</v>
      </c>
      <c r="B196" t="s">
        <v>565</v>
      </c>
      <c r="C196" t="s">
        <v>566</v>
      </c>
    </row>
    <row r="197" spans="1:3">
      <c r="A197">
        <v>843</v>
      </c>
      <c r="B197" t="s">
        <v>567</v>
      </c>
      <c r="C197" t="s">
        <v>568</v>
      </c>
    </row>
    <row r="198" spans="1:3">
      <c r="A198">
        <v>679</v>
      </c>
      <c r="B198" t="s">
        <v>569</v>
      </c>
      <c r="C198" t="s">
        <v>570</v>
      </c>
    </row>
    <row r="199" spans="1:3">
      <c r="A199">
        <v>726</v>
      </c>
      <c r="B199" t="s">
        <v>571</v>
      </c>
      <c r="C199" t="s">
        <v>572</v>
      </c>
    </row>
    <row r="200" spans="1:3">
      <c r="A200">
        <v>789</v>
      </c>
      <c r="B200" t="s">
        <v>573</v>
      </c>
      <c r="C200" t="s">
        <v>574</v>
      </c>
    </row>
    <row r="201" spans="1:3">
      <c r="A201">
        <v>967</v>
      </c>
      <c r="B201" t="s">
        <v>575</v>
      </c>
      <c r="C201" t="s">
        <v>576</v>
      </c>
    </row>
    <row r="202" spans="1:3">
      <c r="A202">
        <v>838</v>
      </c>
      <c r="B202" t="s">
        <v>577</v>
      </c>
      <c r="C202" t="s">
        <v>578</v>
      </c>
    </row>
    <row r="203" spans="1:3">
      <c r="A203">
        <v>858</v>
      </c>
      <c r="B203" t="s">
        <v>579</v>
      </c>
      <c r="C203" t="s">
        <v>580</v>
      </c>
    </row>
    <row r="204" spans="1:3">
      <c r="A204">
        <v>1059</v>
      </c>
      <c r="B204" t="s">
        <v>581</v>
      </c>
      <c r="C204" t="s">
        <v>582</v>
      </c>
    </row>
    <row r="205" spans="1:3">
      <c r="A205">
        <v>906</v>
      </c>
      <c r="B205" t="s">
        <v>583</v>
      </c>
      <c r="C205" t="s">
        <v>584</v>
      </c>
    </row>
    <row r="206" spans="1:3">
      <c r="A206">
        <v>997</v>
      </c>
      <c r="B206" t="s">
        <v>585</v>
      </c>
      <c r="C206" t="s">
        <v>586</v>
      </c>
    </row>
    <row r="207" spans="1:3">
      <c r="A207">
        <v>1042</v>
      </c>
      <c r="B207" t="s">
        <v>587</v>
      </c>
      <c r="C207" t="s">
        <v>588</v>
      </c>
    </row>
    <row r="208" spans="1:3">
      <c r="A208">
        <v>721</v>
      </c>
      <c r="B208" t="s">
        <v>589</v>
      </c>
      <c r="C208" t="s">
        <v>590</v>
      </c>
    </row>
    <row r="209" spans="1:3">
      <c r="A209">
        <v>844</v>
      </c>
      <c r="B209" t="s">
        <v>591</v>
      </c>
      <c r="C209" t="s">
        <v>592</v>
      </c>
    </row>
    <row r="210" spans="1:3">
      <c r="A210">
        <v>910</v>
      </c>
      <c r="B210" t="s">
        <v>593</v>
      </c>
      <c r="C210" t="s">
        <v>594</v>
      </c>
    </row>
    <row r="211" spans="1:3">
      <c r="A211">
        <v>1019</v>
      </c>
      <c r="B211" t="s">
        <v>595</v>
      </c>
      <c r="C211" t="s">
        <v>596</v>
      </c>
    </row>
    <row r="212" spans="1:3">
      <c r="A212">
        <v>675</v>
      </c>
      <c r="B212" t="s">
        <v>597</v>
      </c>
      <c r="C212" t="s">
        <v>598</v>
      </c>
    </row>
    <row r="213" spans="1:3">
      <c r="A213">
        <v>857</v>
      </c>
      <c r="B213" t="s">
        <v>599</v>
      </c>
      <c r="C213" t="s">
        <v>600</v>
      </c>
    </row>
    <row r="214" spans="1:3">
      <c r="A214">
        <v>1108</v>
      </c>
      <c r="B214" t="s">
        <v>601</v>
      </c>
      <c r="C214" t="s">
        <v>602</v>
      </c>
    </row>
    <row r="215" spans="1:3">
      <c r="A215">
        <v>1147</v>
      </c>
      <c r="B215" t="s">
        <v>603</v>
      </c>
      <c r="C215" t="s">
        <v>604</v>
      </c>
    </row>
    <row r="216" spans="1:3">
      <c r="A216">
        <v>839</v>
      </c>
      <c r="B216" t="s">
        <v>605</v>
      </c>
      <c r="C216" t="s">
        <v>606</v>
      </c>
    </row>
    <row r="217" spans="1:3">
      <c r="A217">
        <v>643</v>
      </c>
      <c r="B217" t="s">
        <v>607</v>
      </c>
      <c r="C217" t="s">
        <v>608</v>
      </c>
    </row>
    <row r="218" spans="1:3">
      <c r="A218">
        <v>1126</v>
      </c>
      <c r="B218" t="s">
        <v>609</v>
      </c>
      <c r="C218" t="s">
        <v>610</v>
      </c>
    </row>
    <row r="219" spans="1:3">
      <c r="A219">
        <v>975</v>
      </c>
      <c r="B219" t="s">
        <v>611</v>
      </c>
      <c r="C219" t="s">
        <v>612</v>
      </c>
    </row>
    <row r="220" spans="1:3">
      <c r="A220">
        <v>1035</v>
      </c>
      <c r="B220" t="s">
        <v>613</v>
      </c>
      <c r="C220" t="s">
        <v>614</v>
      </c>
    </row>
    <row r="221" spans="1:3">
      <c r="A221">
        <v>693</v>
      </c>
      <c r="B221" t="s">
        <v>615</v>
      </c>
      <c r="C221" t="s">
        <v>616</v>
      </c>
    </row>
    <row r="222" spans="1:3">
      <c r="A222">
        <v>603</v>
      </c>
      <c r="B222" t="s">
        <v>617</v>
      </c>
      <c r="C222" t="s">
        <v>618</v>
      </c>
    </row>
    <row r="223" spans="1:3">
      <c r="A223">
        <v>631</v>
      </c>
      <c r="B223" t="s">
        <v>619</v>
      </c>
      <c r="C223" t="s">
        <v>620</v>
      </c>
    </row>
    <row r="224" spans="1:3">
      <c r="A224">
        <v>875</v>
      </c>
      <c r="B224" t="s">
        <v>621</v>
      </c>
      <c r="C224" t="s">
        <v>622</v>
      </c>
    </row>
    <row r="225" spans="1:3">
      <c r="A225">
        <v>856</v>
      </c>
      <c r="B225" t="s">
        <v>623</v>
      </c>
      <c r="C225" t="s">
        <v>624</v>
      </c>
    </row>
    <row r="226" spans="1:3">
      <c r="A226">
        <v>1110</v>
      </c>
      <c r="B226" t="s">
        <v>625</v>
      </c>
      <c r="C226" t="s">
        <v>626</v>
      </c>
    </row>
    <row r="227" spans="1:3">
      <c r="A227">
        <v>825</v>
      </c>
      <c r="B227" t="s">
        <v>627</v>
      </c>
      <c r="C227" t="s">
        <v>628</v>
      </c>
    </row>
    <row r="228" spans="1:3">
      <c r="A228">
        <v>665</v>
      </c>
      <c r="B228" t="s">
        <v>629</v>
      </c>
      <c r="C228" t="s">
        <v>630</v>
      </c>
    </row>
    <row r="229" spans="1:3">
      <c r="A229">
        <v>686</v>
      </c>
      <c r="B229" t="s">
        <v>631</v>
      </c>
      <c r="C229" t="s">
        <v>632</v>
      </c>
    </row>
    <row r="230" spans="1:3">
      <c r="A230">
        <v>702</v>
      </c>
      <c r="B230" t="s">
        <v>633</v>
      </c>
      <c r="C230" t="s">
        <v>634</v>
      </c>
    </row>
    <row r="231" spans="1:3">
      <c r="A231">
        <v>938</v>
      </c>
      <c r="B231" t="s">
        <v>635</v>
      </c>
      <c r="C231" t="s">
        <v>636</v>
      </c>
    </row>
    <row r="232" spans="1:3">
      <c r="A232">
        <v>822</v>
      </c>
      <c r="B232" t="s">
        <v>637</v>
      </c>
      <c r="C232" t="s">
        <v>638</v>
      </c>
    </row>
    <row r="233" spans="1:3">
      <c r="A233">
        <v>896</v>
      </c>
      <c r="B233" t="s">
        <v>639</v>
      </c>
      <c r="C233" t="s">
        <v>640</v>
      </c>
    </row>
    <row r="234" spans="1:3">
      <c r="A234">
        <v>730</v>
      </c>
      <c r="B234" t="s">
        <v>641</v>
      </c>
      <c r="C234" t="s">
        <v>642</v>
      </c>
    </row>
    <row r="235" spans="1:3">
      <c r="A235">
        <v>987</v>
      </c>
      <c r="B235" t="s">
        <v>643</v>
      </c>
      <c r="C235" t="s">
        <v>644</v>
      </c>
    </row>
    <row r="236" spans="1:3">
      <c r="A236">
        <v>972</v>
      </c>
      <c r="B236" t="s">
        <v>645</v>
      </c>
      <c r="C236" t="s">
        <v>646</v>
      </c>
    </row>
    <row r="237" spans="1:3">
      <c r="A237">
        <v>1047</v>
      </c>
      <c r="B237" t="s">
        <v>647</v>
      </c>
      <c r="C237" t="s">
        <v>648</v>
      </c>
    </row>
    <row r="238" spans="1:3">
      <c r="A238">
        <v>851</v>
      </c>
      <c r="B238" t="s">
        <v>649</v>
      </c>
      <c r="C238" t="s">
        <v>650</v>
      </c>
    </row>
    <row r="239" spans="1:3">
      <c r="A239">
        <v>1090</v>
      </c>
      <c r="B239" t="s">
        <v>651</v>
      </c>
      <c r="C239" t="s">
        <v>652</v>
      </c>
    </row>
    <row r="240" spans="1:3">
      <c r="A240">
        <v>518</v>
      </c>
      <c r="B240" t="s">
        <v>653</v>
      </c>
      <c r="C240" t="s">
        <v>654</v>
      </c>
    </row>
    <row r="241" spans="1:3">
      <c r="A241">
        <v>946</v>
      </c>
      <c r="B241" t="s">
        <v>655</v>
      </c>
      <c r="C241" t="s">
        <v>656</v>
      </c>
    </row>
    <row r="242" spans="1:3">
      <c r="A242">
        <v>527</v>
      </c>
      <c r="B242" t="s">
        <v>657</v>
      </c>
      <c r="C242" t="s">
        <v>658</v>
      </c>
    </row>
    <row r="243" spans="1:3">
      <c r="A243">
        <v>619</v>
      </c>
      <c r="B243" t="s">
        <v>659</v>
      </c>
      <c r="C243" t="s">
        <v>660</v>
      </c>
    </row>
    <row r="244" spans="1:3">
      <c r="A244">
        <v>1123</v>
      </c>
      <c r="B244" t="s">
        <v>661</v>
      </c>
      <c r="C244" t="s">
        <v>662</v>
      </c>
    </row>
    <row r="245" spans="1:3">
      <c r="A245">
        <v>1135</v>
      </c>
      <c r="B245" t="s">
        <v>663</v>
      </c>
      <c r="C245" t="s">
        <v>664</v>
      </c>
    </row>
    <row r="246" spans="1:3">
      <c r="A246">
        <v>990</v>
      </c>
      <c r="B246" t="s">
        <v>665</v>
      </c>
      <c r="C246" t="s">
        <v>666</v>
      </c>
    </row>
    <row r="247" spans="1:3">
      <c r="A247">
        <v>760</v>
      </c>
      <c r="B247" t="s">
        <v>667</v>
      </c>
      <c r="C247" t="s">
        <v>668</v>
      </c>
    </row>
    <row r="248" spans="1:3">
      <c r="A248">
        <v>779</v>
      </c>
      <c r="B248" t="s">
        <v>669</v>
      </c>
      <c r="C248" t="s">
        <v>670</v>
      </c>
    </row>
    <row r="249" spans="1:3">
      <c r="A249">
        <v>872</v>
      </c>
      <c r="B249" t="s">
        <v>671</v>
      </c>
      <c r="C249" t="s">
        <v>672</v>
      </c>
    </row>
    <row r="250" spans="1:3">
      <c r="A250">
        <v>1096</v>
      </c>
      <c r="B250" t="s">
        <v>673</v>
      </c>
      <c r="C250" t="s">
        <v>674</v>
      </c>
    </row>
    <row r="251" spans="1:3">
      <c r="A251">
        <v>1138</v>
      </c>
      <c r="B251" t="s">
        <v>675</v>
      </c>
      <c r="C251" t="s">
        <v>676</v>
      </c>
    </row>
    <row r="252" spans="1:3">
      <c r="A252">
        <v>701</v>
      </c>
      <c r="B252" t="s">
        <v>677</v>
      </c>
      <c r="C252" t="s">
        <v>678</v>
      </c>
    </row>
    <row r="253" spans="1:3">
      <c r="A253">
        <v>703</v>
      </c>
      <c r="B253" t="s">
        <v>679</v>
      </c>
      <c r="C253" t="s">
        <v>679</v>
      </c>
    </row>
    <row r="254" spans="1:3">
      <c r="A254">
        <v>605</v>
      </c>
      <c r="B254" t="s">
        <v>680</v>
      </c>
      <c r="C254" t="s">
        <v>681</v>
      </c>
    </row>
    <row r="255" spans="1:3">
      <c r="A255">
        <v>1113</v>
      </c>
      <c r="B255" t="s">
        <v>682</v>
      </c>
      <c r="C255" t="s">
        <v>683</v>
      </c>
    </row>
    <row r="256" spans="1:3">
      <c r="A256">
        <v>1002</v>
      </c>
      <c r="B256" t="s">
        <v>684</v>
      </c>
      <c r="C256" t="s">
        <v>685</v>
      </c>
    </row>
    <row r="257" spans="1:3">
      <c r="A257">
        <v>576</v>
      </c>
      <c r="B257" t="s">
        <v>686</v>
      </c>
      <c r="C257" t="s">
        <v>687</v>
      </c>
    </row>
    <row r="258" spans="1:3">
      <c r="A258">
        <v>1041</v>
      </c>
      <c r="B258" t="s">
        <v>688</v>
      </c>
      <c r="C258" t="s">
        <v>689</v>
      </c>
    </row>
    <row r="259" spans="1:3">
      <c r="A259">
        <v>978</v>
      </c>
      <c r="B259" t="s">
        <v>690</v>
      </c>
      <c r="C259" t="s">
        <v>691</v>
      </c>
    </row>
    <row r="260" spans="1:3">
      <c r="A260">
        <v>694</v>
      </c>
      <c r="B260" t="s">
        <v>692</v>
      </c>
      <c r="C260" t="s">
        <v>693</v>
      </c>
    </row>
    <row r="261" spans="1:3">
      <c r="A261">
        <v>712</v>
      </c>
      <c r="B261" t="s">
        <v>694</v>
      </c>
      <c r="C261" t="s">
        <v>695</v>
      </c>
    </row>
    <row r="262" spans="1:3">
      <c r="A262">
        <v>623</v>
      </c>
      <c r="B262" t="s">
        <v>696</v>
      </c>
      <c r="C262" t="s">
        <v>697</v>
      </c>
    </row>
    <row r="263" spans="1:3">
      <c r="A263">
        <v>1120</v>
      </c>
      <c r="B263" t="s">
        <v>698</v>
      </c>
      <c r="C263" t="s">
        <v>699</v>
      </c>
    </row>
    <row r="264" spans="1:3">
      <c r="A264">
        <v>716</v>
      </c>
      <c r="B264" t="s">
        <v>700</v>
      </c>
      <c r="C264" t="s">
        <v>700</v>
      </c>
    </row>
    <row r="265" spans="1:3">
      <c r="A265">
        <v>1125</v>
      </c>
      <c r="B265" t="s">
        <v>701</v>
      </c>
      <c r="C265" t="s">
        <v>702</v>
      </c>
    </row>
    <row r="266" spans="1:3">
      <c r="A266">
        <v>806</v>
      </c>
      <c r="B266" t="s">
        <v>703</v>
      </c>
      <c r="C266" t="s">
        <v>704</v>
      </c>
    </row>
    <row r="267" spans="1:3">
      <c r="A267">
        <v>667</v>
      </c>
      <c r="B267" t="s">
        <v>705</v>
      </c>
      <c r="C267" t="s">
        <v>706</v>
      </c>
    </row>
    <row r="268" spans="1:3">
      <c r="A268">
        <v>957</v>
      </c>
      <c r="B268" t="s">
        <v>707</v>
      </c>
      <c r="C268" t="s">
        <v>708</v>
      </c>
    </row>
    <row r="269" spans="1:3">
      <c r="A269">
        <v>724</v>
      </c>
      <c r="B269" t="s">
        <v>709</v>
      </c>
      <c r="C269" t="s">
        <v>709</v>
      </c>
    </row>
    <row r="270" spans="1:3">
      <c r="A270">
        <v>927</v>
      </c>
      <c r="B270" t="s">
        <v>710</v>
      </c>
      <c r="C270" t="s">
        <v>711</v>
      </c>
    </row>
    <row r="271" spans="1:3">
      <c r="A271">
        <v>690</v>
      </c>
      <c r="B271" t="s">
        <v>712</v>
      </c>
      <c r="C271" t="s">
        <v>713</v>
      </c>
    </row>
    <row r="272" spans="1:3">
      <c r="A272">
        <v>541</v>
      </c>
      <c r="B272" t="s">
        <v>714</v>
      </c>
      <c r="C272" t="s">
        <v>715</v>
      </c>
    </row>
    <row r="273" spans="1:3">
      <c r="A273">
        <v>1128</v>
      </c>
      <c r="B273" t="s">
        <v>716</v>
      </c>
      <c r="C273" t="s">
        <v>716</v>
      </c>
    </row>
    <row r="274" spans="1:3">
      <c r="A274">
        <v>1064</v>
      </c>
      <c r="B274" t="s">
        <v>717</v>
      </c>
      <c r="C274" t="s">
        <v>718</v>
      </c>
    </row>
    <row r="275" spans="1:3">
      <c r="A275">
        <v>551</v>
      </c>
      <c r="B275" t="s">
        <v>719</v>
      </c>
      <c r="C275" t="s">
        <v>720</v>
      </c>
    </row>
    <row r="276" spans="1:3">
      <c r="A276">
        <v>650</v>
      </c>
      <c r="B276" t="s">
        <v>721</v>
      </c>
      <c r="C276" t="s">
        <v>722</v>
      </c>
    </row>
    <row r="277" spans="1:3">
      <c r="A277">
        <v>620</v>
      </c>
      <c r="B277" t="s">
        <v>723</v>
      </c>
      <c r="C277" t="s">
        <v>724</v>
      </c>
    </row>
    <row r="278" spans="1:3">
      <c r="A278">
        <v>956</v>
      </c>
      <c r="B278" t="s">
        <v>725</v>
      </c>
      <c r="C278" t="s">
        <v>726</v>
      </c>
    </row>
    <row r="279" spans="1:3">
      <c r="A279">
        <v>835</v>
      </c>
      <c r="B279" t="s">
        <v>727</v>
      </c>
      <c r="C279" t="s">
        <v>728</v>
      </c>
    </row>
    <row r="280" spans="1:3">
      <c r="A280">
        <v>741</v>
      </c>
      <c r="B280" t="s">
        <v>729</v>
      </c>
      <c r="C280" t="s">
        <v>730</v>
      </c>
    </row>
    <row r="281" spans="1:3">
      <c r="A281">
        <v>823</v>
      </c>
      <c r="B281" t="s">
        <v>731</v>
      </c>
      <c r="C281" t="s">
        <v>732</v>
      </c>
    </row>
    <row r="282" spans="1:3">
      <c r="A282">
        <v>559</v>
      </c>
      <c r="B282" t="s">
        <v>733</v>
      </c>
      <c r="C282" t="s">
        <v>734</v>
      </c>
    </row>
    <row r="283" spans="1:3">
      <c r="A283">
        <v>531</v>
      </c>
      <c r="B283" t="s">
        <v>735</v>
      </c>
      <c r="C283" t="s">
        <v>736</v>
      </c>
    </row>
    <row r="284" spans="1:3">
      <c r="A284">
        <v>625</v>
      </c>
      <c r="B284" t="s">
        <v>737</v>
      </c>
      <c r="C284" t="s">
        <v>738</v>
      </c>
    </row>
    <row r="285" spans="1:3">
      <c r="A285">
        <v>1024</v>
      </c>
      <c r="B285" t="s">
        <v>739</v>
      </c>
      <c r="C285" t="s">
        <v>740</v>
      </c>
    </row>
    <row r="286" spans="1:3">
      <c r="A286">
        <v>699</v>
      </c>
      <c r="B286" t="s">
        <v>741</v>
      </c>
      <c r="C286" t="s">
        <v>742</v>
      </c>
    </row>
    <row r="287" spans="1:3">
      <c r="A287">
        <v>945</v>
      </c>
      <c r="B287" t="s">
        <v>743</v>
      </c>
      <c r="C287" t="s">
        <v>744</v>
      </c>
    </row>
    <row r="288" spans="1:3">
      <c r="A288">
        <v>977</v>
      </c>
      <c r="B288" t="s">
        <v>745</v>
      </c>
      <c r="C288" t="s">
        <v>746</v>
      </c>
    </row>
    <row r="289" spans="1:3">
      <c r="A289">
        <v>804</v>
      </c>
      <c r="B289" t="s">
        <v>747</v>
      </c>
      <c r="C289" t="s">
        <v>748</v>
      </c>
    </row>
    <row r="290" spans="1:3">
      <c r="A290">
        <v>1021</v>
      </c>
      <c r="B290" t="s">
        <v>749</v>
      </c>
      <c r="C290" t="s">
        <v>750</v>
      </c>
    </row>
    <row r="291" spans="1:3">
      <c r="A291">
        <v>953</v>
      </c>
      <c r="B291" t="s">
        <v>751</v>
      </c>
      <c r="C291" t="s">
        <v>752</v>
      </c>
    </row>
    <row r="292" spans="1:3">
      <c r="A292">
        <v>911</v>
      </c>
      <c r="B292" t="s">
        <v>753</v>
      </c>
      <c r="C292" t="s">
        <v>754</v>
      </c>
    </row>
    <row r="293" spans="1:3">
      <c r="A293">
        <v>922</v>
      </c>
      <c r="B293" t="s">
        <v>755</v>
      </c>
      <c r="C293" t="s">
        <v>756</v>
      </c>
    </row>
    <row r="294" spans="1:3">
      <c r="A294">
        <v>1094</v>
      </c>
      <c r="B294" t="s">
        <v>757</v>
      </c>
      <c r="C294" t="s">
        <v>758</v>
      </c>
    </row>
    <row r="295" spans="1:3">
      <c r="A295">
        <v>814</v>
      </c>
      <c r="B295" t="s">
        <v>759</v>
      </c>
      <c r="C295" t="s">
        <v>760</v>
      </c>
    </row>
    <row r="296" spans="1:3">
      <c r="A296">
        <v>878</v>
      </c>
      <c r="B296" t="s">
        <v>761</v>
      </c>
      <c r="C296" t="s">
        <v>762</v>
      </c>
    </row>
    <row r="297" spans="1:3">
      <c r="A297">
        <v>514</v>
      </c>
      <c r="B297" t="s">
        <v>763</v>
      </c>
      <c r="C297" t="s">
        <v>764</v>
      </c>
    </row>
    <row r="298" spans="1:3">
      <c r="A298">
        <v>794</v>
      </c>
      <c r="B298" t="s">
        <v>765</v>
      </c>
      <c r="C298" t="s">
        <v>766</v>
      </c>
    </row>
    <row r="299" spans="1:3">
      <c r="A299">
        <v>907</v>
      </c>
      <c r="B299" t="s">
        <v>767</v>
      </c>
      <c r="C299" t="s">
        <v>768</v>
      </c>
    </row>
    <row r="300" spans="1:3">
      <c r="A300">
        <v>1004</v>
      </c>
      <c r="B300" t="s">
        <v>769</v>
      </c>
      <c r="C300" t="s">
        <v>770</v>
      </c>
    </row>
    <row r="301" spans="1:3">
      <c r="A301">
        <v>999</v>
      </c>
      <c r="B301" t="s">
        <v>771</v>
      </c>
      <c r="C301" t="s">
        <v>772</v>
      </c>
    </row>
    <row r="302" spans="1:3">
      <c r="A302">
        <v>560</v>
      </c>
      <c r="B302" t="s">
        <v>773</v>
      </c>
      <c r="C302" t="s">
        <v>774</v>
      </c>
    </row>
    <row r="303" spans="1:3">
      <c r="A303">
        <v>637</v>
      </c>
      <c r="B303" t="s">
        <v>775</v>
      </c>
      <c r="C303" t="s">
        <v>776</v>
      </c>
    </row>
    <row r="304" spans="1:3">
      <c r="A304">
        <v>782</v>
      </c>
      <c r="B304" t="s">
        <v>777</v>
      </c>
      <c r="C304" t="s">
        <v>778</v>
      </c>
    </row>
    <row r="305" spans="1:3">
      <c r="A305">
        <v>885</v>
      </c>
      <c r="B305" t="s">
        <v>779</v>
      </c>
      <c r="C305" t="s">
        <v>780</v>
      </c>
    </row>
    <row r="306" spans="1:3">
      <c r="A306">
        <v>962</v>
      </c>
      <c r="B306" t="s">
        <v>781</v>
      </c>
      <c r="C306" t="s">
        <v>782</v>
      </c>
    </row>
    <row r="307" spans="1:3">
      <c r="A307">
        <v>1132</v>
      </c>
      <c r="B307" t="s">
        <v>783</v>
      </c>
      <c r="C307" t="s">
        <v>783</v>
      </c>
    </row>
    <row r="308" spans="1:3">
      <c r="A308">
        <v>751</v>
      </c>
      <c r="B308" t="s">
        <v>784</v>
      </c>
      <c r="C308" t="s">
        <v>784</v>
      </c>
    </row>
    <row r="309" spans="1:3">
      <c r="A309">
        <v>944</v>
      </c>
      <c r="B309" t="s">
        <v>785</v>
      </c>
      <c r="C309" t="s">
        <v>786</v>
      </c>
    </row>
    <row r="310" spans="1:3">
      <c r="A310">
        <v>1023</v>
      </c>
      <c r="B310" t="s">
        <v>787</v>
      </c>
      <c r="C310" t="s">
        <v>788</v>
      </c>
    </row>
    <row r="311" spans="1:3">
      <c r="A311">
        <v>521</v>
      </c>
      <c r="B311" t="s">
        <v>789</v>
      </c>
      <c r="C311" t="s">
        <v>790</v>
      </c>
    </row>
    <row r="312" spans="1:3">
      <c r="A312">
        <v>1046</v>
      </c>
      <c r="B312" t="s">
        <v>791</v>
      </c>
      <c r="C312" t="s">
        <v>792</v>
      </c>
    </row>
    <row r="313" spans="1:3">
      <c r="A313">
        <v>994</v>
      </c>
      <c r="B313" t="s">
        <v>793</v>
      </c>
      <c r="C313" t="s">
        <v>794</v>
      </c>
    </row>
    <row r="314" spans="1:3">
      <c r="A314">
        <v>1003</v>
      </c>
      <c r="B314" t="s">
        <v>795</v>
      </c>
      <c r="C314" t="s">
        <v>796</v>
      </c>
    </row>
    <row r="315" spans="1:3">
      <c r="A315">
        <v>638</v>
      </c>
      <c r="B315" t="s">
        <v>797</v>
      </c>
      <c r="C315" t="s">
        <v>798</v>
      </c>
    </row>
    <row r="316" spans="1:3">
      <c r="A316">
        <v>1131</v>
      </c>
      <c r="B316" t="s">
        <v>799</v>
      </c>
      <c r="C316" t="s">
        <v>800</v>
      </c>
    </row>
    <row r="317" spans="1:3">
      <c r="A317">
        <v>963</v>
      </c>
      <c r="B317" t="s">
        <v>801</v>
      </c>
      <c r="C317" t="s">
        <v>802</v>
      </c>
    </row>
    <row r="318" spans="1:3">
      <c r="A318">
        <v>658</v>
      </c>
      <c r="B318" t="s">
        <v>803</v>
      </c>
      <c r="C318" t="s">
        <v>804</v>
      </c>
    </row>
    <row r="319" spans="1:3">
      <c r="A319">
        <v>1078</v>
      </c>
      <c r="B319" t="s">
        <v>805</v>
      </c>
      <c r="C319" t="s">
        <v>806</v>
      </c>
    </row>
    <row r="320" spans="1:3">
      <c r="A320">
        <v>1080</v>
      </c>
      <c r="B320" t="s">
        <v>807</v>
      </c>
      <c r="C320" t="s">
        <v>808</v>
      </c>
    </row>
    <row r="321" spans="1:3">
      <c r="A321">
        <v>672</v>
      </c>
      <c r="B321" t="s">
        <v>809</v>
      </c>
      <c r="C321" t="s">
        <v>810</v>
      </c>
    </row>
    <row r="322" spans="1:3">
      <c r="A322">
        <v>861</v>
      </c>
      <c r="B322" t="s">
        <v>811</v>
      </c>
      <c r="C322" t="s">
        <v>812</v>
      </c>
    </row>
    <row r="323" spans="1:3">
      <c r="A323">
        <v>900</v>
      </c>
      <c r="B323" t="s">
        <v>813</v>
      </c>
      <c r="C323" t="s">
        <v>814</v>
      </c>
    </row>
    <row r="324" spans="1:3">
      <c r="A324">
        <v>1056</v>
      </c>
      <c r="B324" t="s">
        <v>815</v>
      </c>
      <c r="C324" t="s">
        <v>815</v>
      </c>
    </row>
    <row r="325" spans="1:3">
      <c r="A325">
        <v>519</v>
      </c>
      <c r="B325" t="s">
        <v>816</v>
      </c>
      <c r="C325" t="s">
        <v>817</v>
      </c>
    </row>
    <row r="326" spans="1:3">
      <c r="A326">
        <v>533</v>
      </c>
      <c r="B326" t="s">
        <v>818</v>
      </c>
      <c r="C326" t="s">
        <v>819</v>
      </c>
    </row>
    <row r="327" spans="1:3">
      <c r="A327">
        <v>564</v>
      </c>
      <c r="B327" t="s">
        <v>820</v>
      </c>
      <c r="C327" t="s">
        <v>821</v>
      </c>
    </row>
    <row r="328" spans="1:3">
      <c r="A328">
        <v>1087</v>
      </c>
      <c r="B328" t="s">
        <v>822</v>
      </c>
      <c r="C328" t="s">
        <v>823</v>
      </c>
    </row>
    <row r="329" spans="1:3">
      <c r="A329">
        <v>991</v>
      </c>
      <c r="B329" t="s">
        <v>824</v>
      </c>
      <c r="C329" t="s">
        <v>825</v>
      </c>
    </row>
    <row r="330" spans="1:3">
      <c r="A330">
        <v>641</v>
      </c>
      <c r="B330" t="s">
        <v>826</v>
      </c>
      <c r="C330" t="s">
        <v>827</v>
      </c>
    </row>
    <row r="331" spans="1:3">
      <c r="A331">
        <v>848</v>
      </c>
      <c r="B331" t="s">
        <v>828</v>
      </c>
      <c r="C331" t="s">
        <v>829</v>
      </c>
    </row>
    <row r="332" spans="1:3">
      <c r="A332">
        <v>784</v>
      </c>
      <c r="B332" t="s">
        <v>830</v>
      </c>
      <c r="C332" t="s">
        <v>830</v>
      </c>
    </row>
    <row r="333" spans="1:3">
      <c r="A333">
        <v>954</v>
      </c>
      <c r="B333" t="s">
        <v>831</v>
      </c>
      <c r="C333" t="s">
        <v>832</v>
      </c>
    </row>
    <row r="334" spans="1:3">
      <c r="A334">
        <v>765</v>
      </c>
      <c r="B334" t="s">
        <v>833</v>
      </c>
      <c r="C334" t="s">
        <v>834</v>
      </c>
    </row>
    <row r="335" spans="1:3">
      <c r="A335">
        <v>973</v>
      </c>
      <c r="B335" t="s">
        <v>835</v>
      </c>
      <c r="C335" t="s">
        <v>836</v>
      </c>
    </row>
    <row r="336" spans="1:3">
      <c r="A336">
        <v>951</v>
      </c>
      <c r="B336" t="s">
        <v>837</v>
      </c>
      <c r="C336" t="s">
        <v>838</v>
      </c>
    </row>
    <row r="337" spans="1:3">
      <c r="A337">
        <v>1043</v>
      </c>
      <c r="B337" t="s">
        <v>839</v>
      </c>
      <c r="C337" t="s">
        <v>840</v>
      </c>
    </row>
    <row r="338" spans="1:3">
      <c r="A338">
        <v>543</v>
      </c>
      <c r="B338" t="s">
        <v>841</v>
      </c>
      <c r="C338" t="s">
        <v>842</v>
      </c>
    </row>
    <row r="339" spans="1:3">
      <c r="A339">
        <v>545</v>
      </c>
      <c r="B339" t="s">
        <v>843</v>
      </c>
      <c r="C339" t="s">
        <v>844</v>
      </c>
    </row>
    <row r="340" spans="1:3">
      <c r="A340">
        <v>577</v>
      </c>
      <c r="B340" t="s">
        <v>845</v>
      </c>
      <c r="C340" t="s">
        <v>846</v>
      </c>
    </row>
    <row r="341" spans="1:3">
      <c r="A341">
        <v>881</v>
      </c>
      <c r="B341" t="s">
        <v>847</v>
      </c>
      <c r="C341" t="s">
        <v>848</v>
      </c>
    </row>
    <row r="342" spans="1:3">
      <c r="A342">
        <v>863</v>
      </c>
      <c r="B342" t="s">
        <v>849</v>
      </c>
      <c r="C342" t="s">
        <v>850</v>
      </c>
    </row>
    <row r="343" spans="1:3">
      <c r="A343">
        <v>961</v>
      </c>
      <c r="B343" t="s">
        <v>851</v>
      </c>
      <c r="C343" t="s">
        <v>852</v>
      </c>
    </row>
    <row r="344" spans="1:3">
      <c r="A344">
        <v>732</v>
      </c>
      <c r="B344" t="s">
        <v>853</v>
      </c>
      <c r="C344" t="s">
        <v>854</v>
      </c>
    </row>
    <row r="345" spans="1:3">
      <c r="A345">
        <v>799</v>
      </c>
      <c r="B345" t="s">
        <v>855</v>
      </c>
      <c r="C345" t="s">
        <v>856</v>
      </c>
    </row>
    <row r="346" spans="1:3">
      <c r="A346">
        <v>731</v>
      </c>
      <c r="B346" t="s">
        <v>857</v>
      </c>
      <c r="C346" t="s">
        <v>858</v>
      </c>
    </row>
    <row r="347" spans="1:3">
      <c r="A347">
        <v>1153</v>
      </c>
      <c r="B347" t="s">
        <v>859</v>
      </c>
      <c r="C347" t="s">
        <v>860</v>
      </c>
    </row>
    <row r="348" spans="1:3">
      <c r="A348">
        <v>1083</v>
      </c>
      <c r="B348" t="s">
        <v>861</v>
      </c>
      <c r="C348" t="s">
        <v>862</v>
      </c>
    </row>
    <row r="349" spans="1:3">
      <c r="A349">
        <v>792</v>
      </c>
      <c r="B349" t="s">
        <v>863</v>
      </c>
      <c r="C349" t="s">
        <v>863</v>
      </c>
    </row>
    <row r="350" spans="1:3">
      <c r="A350">
        <v>511</v>
      </c>
      <c r="B350" t="s">
        <v>864</v>
      </c>
      <c r="C350" t="s">
        <v>865</v>
      </c>
    </row>
    <row r="351" spans="1:3">
      <c r="A351">
        <v>793</v>
      </c>
      <c r="B351" t="s">
        <v>866</v>
      </c>
      <c r="C351" t="s">
        <v>866</v>
      </c>
    </row>
    <row r="352" spans="1:3">
      <c r="A352">
        <v>1114</v>
      </c>
      <c r="B352" t="s">
        <v>867</v>
      </c>
      <c r="C352" t="s">
        <v>868</v>
      </c>
    </row>
    <row r="353" spans="1:3">
      <c r="A353">
        <v>795</v>
      </c>
      <c r="B353" t="s">
        <v>869</v>
      </c>
      <c r="C353" t="s">
        <v>870</v>
      </c>
    </row>
    <row r="354" spans="1:3">
      <c r="A354">
        <v>1137</v>
      </c>
      <c r="B354" t="s">
        <v>871</v>
      </c>
      <c r="C354" t="s">
        <v>871</v>
      </c>
    </row>
    <row r="355" spans="1:3">
      <c r="A355">
        <v>1063</v>
      </c>
      <c r="B355" t="s">
        <v>872</v>
      </c>
      <c r="C355" t="s">
        <v>872</v>
      </c>
    </row>
    <row r="356" spans="1:3">
      <c r="A356">
        <v>1062</v>
      </c>
      <c r="B356" t="s">
        <v>873</v>
      </c>
      <c r="C356" t="s">
        <v>874</v>
      </c>
    </row>
    <row r="357" spans="1:3">
      <c r="A357">
        <v>678</v>
      </c>
      <c r="B357" t="s">
        <v>875</v>
      </c>
      <c r="C357" t="s">
        <v>876</v>
      </c>
    </row>
    <row r="358" spans="1:3">
      <c r="A358">
        <v>743</v>
      </c>
      <c r="B358" t="s">
        <v>877</v>
      </c>
      <c r="C358" t="s">
        <v>878</v>
      </c>
    </row>
    <row r="359" spans="1:3">
      <c r="A359">
        <v>662</v>
      </c>
      <c r="B359" t="s">
        <v>879</v>
      </c>
      <c r="C359" t="s">
        <v>880</v>
      </c>
    </row>
    <row r="360" spans="1:3">
      <c r="A360">
        <v>756</v>
      </c>
      <c r="B360" t="s">
        <v>881</v>
      </c>
      <c r="C360" t="s">
        <v>882</v>
      </c>
    </row>
    <row r="361" spans="1:3">
      <c r="A361">
        <v>996</v>
      </c>
      <c r="B361" t="s">
        <v>883</v>
      </c>
      <c r="C361" t="s">
        <v>884</v>
      </c>
    </row>
    <row r="362" spans="1:3">
      <c r="A362">
        <v>512</v>
      </c>
      <c r="B362" t="s">
        <v>885</v>
      </c>
      <c r="C362" t="s">
        <v>886</v>
      </c>
    </row>
    <row r="363" spans="1:3">
      <c r="A363">
        <v>776</v>
      </c>
      <c r="B363" t="s">
        <v>887</v>
      </c>
      <c r="C363" t="s">
        <v>888</v>
      </c>
    </row>
    <row r="364" spans="1:3">
      <c r="A364">
        <v>993</v>
      </c>
      <c r="B364" t="s">
        <v>889</v>
      </c>
      <c r="C364" t="s">
        <v>890</v>
      </c>
    </row>
    <row r="365" spans="1:3">
      <c r="A365">
        <v>612</v>
      </c>
      <c r="B365" t="s">
        <v>891</v>
      </c>
      <c r="C365" t="s">
        <v>892</v>
      </c>
    </row>
    <row r="366" spans="1:3">
      <c r="A366">
        <v>871</v>
      </c>
      <c r="B366" t="s">
        <v>893</v>
      </c>
      <c r="C366" t="s">
        <v>894</v>
      </c>
    </row>
    <row r="367" spans="1:3">
      <c r="A367">
        <v>597</v>
      </c>
      <c r="B367" t="s">
        <v>895</v>
      </c>
      <c r="C367" t="s">
        <v>896</v>
      </c>
    </row>
    <row r="368" spans="1:3">
      <c r="A368">
        <v>600</v>
      </c>
      <c r="B368" t="s">
        <v>897</v>
      </c>
      <c r="C368" t="s">
        <v>898</v>
      </c>
    </row>
    <row r="369" spans="1:3">
      <c r="A369">
        <v>719</v>
      </c>
      <c r="B369" t="s">
        <v>899</v>
      </c>
      <c r="C369" t="s">
        <v>900</v>
      </c>
    </row>
    <row r="370" spans="1:3">
      <c r="A370">
        <v>681</v>
      </c>
      <c r="B370" t="s">
        <v>901</v>
      </c>
      <c r="C370" t="s">
        <v>902</v>
      </c>
    </row>
    <row r="371" spans="1:3">
      <c r="A371">
        <v>729</v>
      </c>
      <c r="B371" t="s">
        <v>903</v>
      </c>
      <c r="C371" t="s">
        <v>904</v>
      </c>
    </row>
    <row r="372" spans="1:3">
      <c r="A372">
        <v>965</v>
      </c>
      <c r="B372" t="s">
        <v>905</v>
      </c>
      <c r="C372" t="s">
        <v>906</v>
      </c>
    </row>
    <row r="373" spans="1:3">
      <c r="A373">
        <v>783</v>
      </c>
      <c r="B373" t="s">
        <v>907</v>
      </c>
      <c r="C373" t="s">
        <v>908</v>
      </c>
    </row>
    <row r="374" spans="1:3">
      <c r="A374">
        <v>924</v>
      </c>
      <c r="B374" t="s">
        <v>909</v>
      </c>
      <c r="C374" t="s">
        <v>910</v>
      </c>
    </row>
    <row r="375" spans="1:3">
      <c r="A375">
        <v>1118</v>
      </c>
      <c r="B375" t="s">
        <v>911</v>
      </c>
      <c r="C375" t="s">
        <v>912</v>
      </c>
    </row>
    <row r="376" spans="1:3">
      <c r="A376">
        <v>1129</v>
      </c>
      <c r="B376" t="s">
        <v>913</v>
      </c>
      <c r="C376" t="s">
        <v>914</v>
      </c>
    </row>
    <row r="377" spans="1:3">
      <c r="A377">
        <v>1139</v>
      </c>
      <c r="B377" t="s">
        <v>915</v>
      </c>
      <c r="C377" t="s">
        <v>915</v>
      </c>
    </row>
    <row r="378" spans="1:3">
      <c r="A378">
        <v>524</v>
      </c>
      <c r="B378" t="s">
        <v>916</v>
      </c>
      <c r="C378" t="s">
        <v>917</v>
      </c>
    </row>
    <row r="379" spans="1:3">
      <c r="A379">
        <v>1011</v>
      </c>
      <c r="B379" t="s">
        <v>918</v>
      </c>
      <c r="C379" t="s">
        <v>919</v>
      </c>
    </row>
    <row r="380" spans="1:3">
      <c r="A380">
        <v>646</v>
      </c>
      <c r="B380" t="s">
        <v>920</v>
      </c>
      <c r="C380" t="s">
        <v>921</v>
      </c>
    </row>
    <row r="381" spans="1:3">
      <c r="A381">
        <v>1028</v>
      </c>
      <c r="B381" t="s">
        <v>922</v>
      </c>
      <c r="C381" t="s">
        <v>923</v>
      </c>
    </row>
    <row r="382" spans="1:3">
      <c r="A382">
        <v>821</v>
      </c>
      <c r="B382" t="s">
        <v>924</v>
      </c>
      <c r="C382" t="s">
        <v>924</v>
      </c>
    </row>
    <row r="383" spans="1:3">
      <c r="A383">
        <v>535</v>
      </c>
      <c r="B383" t="s">
        <v>925</v>
      </c>
      <c r="C383" t="s">
        <v>926</v>
      </c>
    </row>
    <row r="384" spans="1:3">
      <c r="A384">
        <v>753</v>
      </c>
      <c r="B384" t="s">
        <v>927</v>
      </c>
      <c r="C384" t="s">
        <v>928</v>
      </c>
    </row>
    <row r="385" spans="1:3">
      <c r="A385">
        <v>790</v>
      </c>
      <c r="B385" t="s">
        <v>929</v>
      </c>
      <c r="C385" t="s">
        <v>930</v>
      </c>
    </row>
    <row r="386" spans="1:3">
      <c r="A386">
        <v>826</v>
      </c>
      <c r="B386" t="s">
        <v>931</v>
      </c>
      <c r="C386" t="s">
        <v>931</v>
      </c>
    </row>
    <row r="387" spans="1:3">
      <c r="A387">
        <v>763</v>
      </c>
      <c r="B387" t="s">
        <v>932</v>
      </c>
      <c r="C387" t="s">
        <v>933</v>
      </c>
    </row>
    <row r="388" spans="1:3">
      <c r="A388">
        <v>1069</v>
      </c>
      <c r="B388" t="s">
        <v>934</v>
      </c>
      <c r="C388" t="s">
        <v>934</v>
      </c>
    </row>
    <row r="389" spans="1:3">
      <c r="A389">
        <v>1141</v>
      </c>
      <c r="B389" t="s">
        <v>935</v>
      </c>
      <c r="C389" t="s">
        <v>935</v>
      </c>
    </row>
    <row r="390" spans="1:3">
      <c r="A390">
        <v>1142</v>
      </c>
      <c r="B390" t="s">
        <v>936</v>
      </c>
      <c r="C390" t="s">
        <v>936</v>
      </c>
    </row>
    <row r="391" spans="1:3">
      <c r="A391">
        <v>1143</v>
      </c>
      <c r="B391" t="s">
        <v>936</v>
      </c>
      <c r="C391" t="s">
        <v>937</v>
      </c>
    </row>
    <row r="392" spans="1:3">
      <c r="A392">
        <v>1144</v>
      </c>
      <c r="B392" t="s">
        <v>938</v>
      </c>
      <c r="C392" t="s">
        <v>938</v>
      </c>
    </row>
    <row r="393" spans="1:3">
      <c r="A393">
        <v>1104</v>
      </c>
      <c r="B393" t="s">
        <v>939</v>
      </c>
      <c r="C393" t="s">
        <v>939</v>
      </c>
    </row>
    <row r="394" spans="1:3">
      <c r="A394">
        <v>828</v>
      </c>
      <c r="B394" t="s">
        <v>940</v>
      </c>
      <c r="C394" t="s">
        <v>940</v>
      </c>
    </row>
    <row r="395" spans="1:3">
      <c r="A395">
        <v>829</v>
      </c>
      <c r="B395" t="s">
        <v>941</v>
      </c>
      <c r="C395" t="s">
        <v>941</v>
      </c>
    </row>
    <row r="396" spans="1:3">
      <c r="A396">
        <v>1070</v>
      </c>
      <c r="B396" t="s">
        <v>942</v>
      </c>
      <c r="C396" t="s">
        <v>942</v>
      </c>
    </row>
    <row r="397" spans="1:3">
      <c r="A397">
        <v>1072</v>
      </c>
      <c r="B397" t="s">
        <v>943</v>
      </c>
      <c r="C397" t="s">
        <v>943</v>
      </c>
    </row>
    <row r="398" spans="1:3">
      <c r="A398">
        <v>1106</v>
      </c>
      <c r="B398" t="s">
        <v>944</v>
      </c>
      <c r="C398" t="s">
        <v>944</v>
      </c>
    </row>
    <row r="399" spans="1:3">
      <c r="A399">
        <v>830</v>
      </c>
      <c r="B399" t="s">
        <v>945</v>
      </c>
      <c r="C399" t="s">
        <v>945</v>
      </c>
    </row>
    <row r="400" spans="1:3">
      <c r="A400">
        <v>796</v>
      </c>
      <c r="B400" t="s">
        <v>946</v>
      </c>
      <c r="C400" t="s">
        <v>947</v>
      </c>
    </row>
    <row r="401" spans="1:3">
      <c r="A401">
        <v>933</v>
      </c>
      <c r="B401" t="s">
        <v>948</v>
      </c>
      <c r="C401" t="s">
        <v>949</v>
      </c>
    </row>
    <row r="402" spans="1:3">
      <c r="A402">
        <v>1075</v>
      </c>
      <c r="B402" t="s">
        <v>950</v>
      </c>
      <c r="C402" t="s">
        <v>951</v>
      </c>
    </row>
    <row r="403" spans="1:3">
      <c r="A403">
        <v>914</v>
      </c>
      <c r="B403" t="s">
        <v>952</v>
      </c>
      <c r="C403" t="s">
        <v>953</v>
      </c>
    </row>
    <row r="404" spans="1:3">
      <c r="A404">
        <v>1097</v>
      </c>
      <c r="B404" t="s">
        <v>954</v>
      </c>
      <c r="C404" t="s">
        <v>955</v>
      </c>
    </row>
    <row r="405" spans="1:3">
      <c r="A405">
        <v>853</v>
      </c>
      <c r="B405" t="s">
        <v>956</v>
      </c>
      <c r="C405" t="s">
        <v>957</v>
      </c>
    </row>
    <row r="406" spans="1:3">
      <c r="A406">
        <v>583</v>
      </c>
      <c r="B406" t="s">
        <v>958</v>
      </c>
      <c r="C406" t="s">
        <v>959</v>
      </c>
    </row>
    <row r="407" spans="1:3">
      <c r="A407">
        <v>630</v>
      </c>
      <c r="B407" t="s">
        <v>960</v>
      </c>
      <c r="C407" t="s">
        <v>961</v>
      </c>
    </row>
    <row r="408" spans="1:3">
      <c r="A408">
        <v>634</v>
      </c>
      <c r="B408" t="s">
        <v>962</v>
      </c>
      <c r="C408" t="s">
        <v>963</v>
      </c>
    </row>
    <row r="409" spans="1:3">
      <c r="A409">
        <v>1122</v>
      </c>
      <c r="B409" t="s">
        <v>964</v>
      </c>
      <c r="C409" t="s">
        <v>965</v>
      </c>
    </row>
    <row r="410" spans="1:3">
      <c r="A410">
        <v>966</v>
      </c>
      <c r="B410" t="s">
        <v>966</v>
      </c>
      <c r="C410" t="s">
        <v>967</v>
      </c>
    </row>
    <row r="411" spans="1:3">
      <c r="A411">
        <v>998</v>
      </c>
      <c r="B411" t="s">
        <v>968</v>
      </c>
      <c r="C411" t="s">
        <v>969</v>
      </c>
    </row>
    <row r="412" spans="1:3">
      <c r="A412">
        <v>774</v>
      </c>
      <c r="B412" t="s">
        <v>970</v>
      </c>
      <c r="C412" t="s">
        <v>971</v>
      </c>
    </row>
    <row r="413" spans="1:3">
      <c r="A413">
        <v>808</v>
      </c>
      <c r="B413" t="s">
        <v>972</v>
      </c>
      <c r="C413" t="s">
        <v>973</v>
      </c>
    </row>
    <row r="414" spans="1:3">
      <c r="A414">
        <v>622</v>
      </c>
      <c r="B414" t="s">
        <v>974</v>
      </c>
      <c r="C414" t="s">
        <v>975</v>
      </c>
    </row>
    <row r="415" spans="1:3">
      <c r="A415">
        <v>876</v>
      </c>
      <c r="B415" t="s">
        <v>976</v>
      </c>
      <c r="C415" t="s">
        <v>977</v>
      </c>
    </row>
    <row r="416" spans="1:3">
      <c r="A416">
        <v>1115</v>
      </c>
      <c r="B416" t="s">
        <v>978</v>
      </c>
      <c r="C416" t="s">
        <v>979</v>
      </c>
    </row>
    <row r="417" spans="1:3">
      <c r="A417">
        <v>516</v>
      </c>
      <c r="B417" t="s">
        <v>980</v>
      </c>
      <c r="C417" t="s">
        <v>981</v>
      </c>
    </row>
    <row r="418" spans="1:3">
      <c r="A418">
        <v>550</v>
      </c>
      <c r="B418" t="s">
        <v>982</v>
      </c>
      <c r="C418" t="s">
        <v>983</v>
      </c>
    </row>
    <row r="419" spans="1:3">
      <c r="A419">
        <v>515</v>
      </c>
      <c r="B419" t="s">
        <v>984</v>
      </c>
      <c r="C419" t="s">
        <v>985</v>
      </c>
    </row>
    <row r="420" spans="1:3">
      <c r="A420">
        <v>722</v>
      </c>
      <c r="B420" t="s">
        <v>986</v>
      </c>
      <c r="C420" t="s">
        <v>987</v>
      </c>
    </row>
    <row r="421" spans="1:3">
      <c r="A421">
        <v>816</v>
      </c>
      <c r="B421" t="s">
        <v>988</v>
      </c>
      <c r="C421" t="s">
        <v>989</v>
      </c>
    </row>
    <row r="422" spans="1:3">
      <c r="A422">
        <v>772</v>
      </c>
      <c r="B422" t="s">
        <v>990</v>
      </c>
      <c r="C422" t="s">
        <v>991</v>
      </c>
    </row>
    <row r="423" spans="1:3">
      <c r="A423">
        <v>777</v>
      </c>
      <c r="B423" t="s">
        <v>992</v>
      </c>
      <c r="C423" t="s">
        <v>993</v>
      </c>
    </row>
    <row r="424" spans="1:3">
      <c r="A424">
        <v>715</v>
      </c>
      <c r="B424" t="s">
        <v>994</v>
      </c>
      <c r="C424" t="s">
        <v>995</v>
      </c>
    </row>
    <row r="425" spans="1:3">
      <c r="A425">
        <v>943</v>
      </c>
      <c r="B425" t="s">
        <v>996</v>
      </c>
      <c r="C425" t="s">
        <v>997</v>
      </c>
    </row>
    <row r="426" spans="1:3">
      <c r="A426">
        <v>611</v>
      </c>
      <c r="B426" t="s">
        <v>998</v>
      </c>
      <c r="C426" t="s">
        <v>999</v>
      </c>
    </row>
    <row r="427" spans="1:3">
      <c r="A427">
        <v>704</v>
      </c>
      <c r="B427" t="s">
        <v>1000</v>
      </c>
      <c r="C427" t="s">
        <v>1001</v>
      </c>
    </row>
    <row r="428" spans="1:3">
      <c r="A428">
        <v>1121</v>
      </c>
      <c r="B428" t="s">
        <v>1002</v>
      </c>
      <c r="C428" t="s">
        <v>1003</v>
      </c>
    </row>
    <row r="429" spans="1:3">
      <c r="A429">
        <v>624</v>
      </c>
      <c r="B429" t="s">
        <v>1004</v>
      </c>
      <c r="C429" t="s">
        <v>1005</v>
      </c>
    </row>
    <row r="430" spans="1:3">
      <c r="A430">
        <v>588</v>
      </c>
      <c r="B430" t="s">
        <v>1006</v>
      </c>
      <c r="C430" t="s">
        <v>1007</v>
      </c>
    </row>
    <row r="431" spans="1:3">
      <c r="A431">
        <v>807</v>
      </c>
      <c r="B431" t="s">
        <v>1008</v>
      </c>
      <c r="C431" t="s">
        <v>1009</v>
      </c>
    </row>
    <row r="432" spans="1:3">
      <c r="A432">
        <v>706</v>
      </c>
      <c r="B432" t="s">
        <v>1010</v>
      </c>
      <c r="C432" t="s">
        <v>1011</v>
      </c>
    </row>
    <row r="433" spans="1:3">
      <c r="A433">
        <v>873</v>
      </c>
      <c r="B433" t="s">
        <v>1012</v>
      </c>
      <c r="C433" t="s">
        <v>1012</v>
      </c>
    </row>
    <row r="434" spans="1:3">
      <c r="A434">
        <v>874</v>
      </c>
      <c r="B434" t="s">
        <v>1013</v>
      </c>
      <c r="C434" t="s">
        <v>1013</v>
      </c>
    </row>
    <row r="435" spans="1:3">
      <c r="A435">
        <v>852</v>
      </c>
      <c r="B435" t="s">
        <v>1014</v>
      </c>
      <c r="C435" t="s">
        <v>1015</v>
      </c>
    </row>
    <row r="436" spans="1:3">
      <c r="A436">
        <v>547</v>
      </c>
      <c r="B436" t="s">
        <v>1016</v>
      </c>
      <c r="C436" t="s">
        <v>1017</v>
      </c>
    </row>
    <row r="437" spans="1:3">
      <c r="A437">
        <v>908</v>
      </c>
      <c r="B437" t="s">
        <v>1018</v>
      </c>
      <c r="C437" t="s">
        <v>1019</v>
      </c>
    </row>
    <row r="438" spans="1:3">
      <c r="A438">
        <v>705</v>
      </c>
      <c r="B438" t="s">
        <v>1020</v>
      </c>
      <c r="C438" t="s">
        <v>1021</v>
      </c>
    </row>
    <row r="439" spans="1:3">
      <c r="A439">
        <v>1048</v>
      </c>
      <c r="B439" t="s">
        <v>1022</v>
      </c>
      <c r="C439" t="s">
        <v>1023</v>
      </c>
    </row>
    <row r="440" spans="1:3">
      <c r="A440">
        <v>928</v>
      </c>
      <c r="B440" t="s">
        <v>1024</v>
      </c>
      <c r="C440" t="s">
        <v>1025</v>
      </c>
    </row>
    <row r="441" spans="1:3">
      <c r="A441">
        <v>982</v>
      </c>
      <c r="B441" t="s">
        <v>1026</v>
      </c>
      <c r="C441" t="s">
        <v>1027</v>
      </c>
    </row>
    <row r="442" spans="1:3">
      <c r="A442">
        <v>1146</v>
      </c>
      <c r="B442" t="s">
        <v>1028</v>
      </c>
      <c r="C442" t="s">
        <v>1028</v>
      </c>
    </row>
    <row r="443" spans="1:3">
      <c r="A443">
        <v>613</v>
      </c>
      <c r="B443" t="s">
        <v>1029</v>
      </c>
      <c r="C443" t="s">
        <v>1030</v>
      </c>
    </row>
    <row r="444" spans="1:3">
      <c r="A444">
        <v>836</v>
      </c>
      <c r="B444" t="s">
        <v>1031</v>
      </c>
      <c r="C444" t="s">
        <v>1032</v>
      </c>
    </row>
    <row r="445" spans="1:3">
      <c r="A445">
        <v>898</v>
      </c>
      <c r="B445" t="s">
        <v>1033</v>
      </c>
      <c r="C445" t="s">
        <v>1034</v>
      </c>
    </row>
    <row r="446" spans="1:3">
      <c r="A446">
        <v>769</v>
      </c>
      <c r="B446" t="s">
        <v>1035</v>
      </c>
      <c r="C446" t="s">
        <v>1036</v>
      </c>
    </row>
    <row r="447" spans="1:3">
      <c r="A447">
        <v>615</v>
      </c>
      <c r="B447" t="s">
        <v>1037</v>
      </c>
      <c r="C447" t="s">
        <v>1038</v>
      </c>
    </row>
    <row r="448" spans="1:3">
      <c r="A448">
        <v>682</v>
      </c>
      <c r="B448" t="s">
        <v>1039</v>
      </c>
      <c r="C448" t="s">
        <v>1040</v>
      </c>
    </row>
    <row r="449" spans="1:3">
      <c r="A449">
        <v>752</v>
      </c>
      <c r="B449" t="s">
        <v>1041</v>
      </c>
      <c r="C449" t="s">
        <v>1042</v>
      </c>
    </row>
    <row r="450" spans="1:3">
      <c r="A450">
        <v>921</v>
      </c>
      <c r="B450" t="s">
        <v>1043</v>
      </c>
      <c r="C450" t="s">
        <v>1044</v>
      </c>
    </row>
    <row r="451" spans="1:3">
      <c r="A451">
        <v>981</v>
      </c>
      <c r="B451" t="s">
        <v>1045</v>
      </c>
      <c r="C451" t="s">
        <v>1046</v>
      </c>
    </row>
    <row r="452" spans="1:3">
      <c r="A452">
        <v>558</v>
      </c>
      <c r="B452" t="s">
        <v>1047</v>
      </c>
      <c r="C452" t="s">
        <v>1048</v>
      </c>
    </row>
    <row r="453" spans="1:3">
      <c r="A453">
        <v>584</v>
      </c>
      <c r="B453" t="s">
        <v>1049</v>
      </c>
      <c r="C453" t="s">
        <v>1050</v>
      </c>
    </row>
    <row r="454" spans="1:3">
      <c r="A454">
        <v>785</v>
      </c>
      <c r="B454" t="s">
        <v>1051</v>
      </c>
      <c r="C454" t="s">
        <v>1052</v>
      </c>
    </row>
    <row r="455" spans="1:3">
      <c r="A455">
        <v>556</v>
      </c>
      <c r="B455" t="s">
        <v>1053</v>
      </c>
      <c r="C455" t="s">
        <v>1054</v>
      </c>
    </row>
    <row r="456" spans="1:3">
      <c r="A456">
        <v>1140</v>
      </c>
      <c r="B456" t="s">
        <v>1055</v>
      </c>
      <c r="C456" t="s">
        <v>1056</v>
      </c>
    </row>
    <row r="457" spans="1:3">
      <c r="A457">
        <v>899</v>
      </c>
      <c r="B457" t="s">
        <v>1057</v>
      </c>
      <c r="C457" t="s">
        <v>1058</v>
      </c>
    </row>
    <row r="458" spans="1:3">
      <c r="A458">
        <v>920</v>
      </c>
      <c r="B458" t="s">
        <v>1059</v>
      </c>
      <c r="C458" t="s">
        <v>1060</v>
      </c>
    </row>
    <row r="459" spans="1:3">
      <c r="A459">
        <v>971</v>
      </c>
      <c r="B459" t="s">
        <v>1061</v>
      </c>
      <c r="C459" t="s">
        <v>1062</v>
      </c>
    </row>
    <row r="460" spans="1:3">
      <c r="A460">
        <v>894</v>
      </c>
      <c r="B460" t="s">
        <v>1063</v>
      </c>
      <c r="C460" t="s">
        <v>1063</v>
      </c>
    </row>
    <row r="461" spans="1:3">
      <c r="A461">
        <v>696</v>
      </c>
      <c r="B461" t="s">
        <v>1064</v>
      </c>
      <c r="C461" t="s">
        <v>1065</v>
      </c>
    </row>
    <row r="462" spans="1:3">
      <c r="A462">
        <v>895</v>
      </c>
      <c r="B462" t="s">
        <v>1066</v>
      </c>
      <c r="C462" t="s">
        <v>1066</v>
      </c>
    </row>
    <row r="463" spans="1:3">
      <c r="A463">
        <v>1155</v>
      </c>
      <c r="B463" t="s">
        <v>1067</v>
      </c>
      <c r="C463" t="s">
        <v>1068</v>
      </c>
    </row>
    <row r="464" spans="1:3">
      <c r="A464">
        <v>629</v>
      </c>
      <c r="B464" t="s">
        <v>1069</v>
      </c>
      <c r="C464" t="s">
        <v>1070</v>
      </c>
    </row>
    <row r="465" spans="1:3">
      <c r="A465">
        <v>1071</v>
      </c>
      <c r="B465" t="s">
        <v>1071</v>
      </c>
      <c r="C465" t="s">
        <v>1072</v>
      </c>
    </row>
    <row r="466" spans="1:3">
      <c r="A466">
        <v>1149</v>
      </c>
      <c r="B466" t="s">
        <v>1073</v>
      </c>
      <c r="C466" t="s">
        <v>1073</v>
      </c>
    </row>
    <row r="467" spans="1:3">
      <c r="A467">
        <v>1150</v>
      </c>
      <c r="B467" t="s">
        <v>1074</v>
      </c>
      <c r="C467" t="s">
        <v>1074</v>
      </c>
    </row>
    <row r="468" spans="1:3">
      <c r="A468">
        <v>1151</v>
      </c>
      <c r="B468" t="s">
        <v>1075</v>
      </c>
      <c r="C468" t="s">
        <v>1075</v>
      </c>
    </row>
    <row r="469" spans="1:3">
      <c r="A469">
        <v>811</v>
      </c>
      <c r="B469" t="s">
        <v>1076</v>
      </c>
      <c r="C469" t="s">
        <v>1077</v>
      </c>
    </row>
    <row r="470" spans="1:3">
      <c r="A470">
        <v>1084</v>
      </c>
      <c r="B470" t="s">
        <v>1078</v>
      </c>
      <c r="C470" t="s">
        <v>1079</v>
      </c>
    </row>
    <row r="471" spans="1:3">
      <c r="A471">
        <v>883</v>
      </c>
      <c r="B471" t="s">
        <v>1080</v>
      </c>
      <c r="C471" t="s">
        <v>1081</v>
      </c>
    </row>
    <row r="472" spans="1:3">
      <c r="A472">
        <v>1101</v>
      </c>
      <c r="B472" t="s">
        <v>1082</v>
      </c>
      <c r="C472" t="s">
        <v>1083</v>
      </c>
    </row>
    <row r="473" spans="1:3">
      <c r="A473">
        <v>770</v>
      </c>
      <c r="B473" t="s">
        <v>1084</v>
      </c>
      <c r="C473" t="s">
        <v>1085</v>
      </c>
    </row>
    <row r="474" spans="1:3">
      <c r="A474">
        <v>591</v>
      </c>
      <c r="B474" t="s">
        <v>1086</v>
      </c>
      <c r="C474" t="s">
        <v>1087</v>
      </c>
    </row>
    <row r="475" spans="1:3">
      <c r="A475">
        <v>616</v>
      </c>
      <c r="B475" t="s">
        <v>1088</v>
      </c>
      <c r="C475" t="s">
        <v>1089</v>
      </c>
    </row>
    <row r="476" spans="1:3">
      <c r="A476">
        <v>635</v>
      </c>
      <c r="B476" t="s">
        <v>1090</v>
      </c>
      <c r="C476" t="s">
        <v>1091</v>
      </c>
    </row>
    <row r="477" spans="1:3">
      <c r="A477">
        <v>668</v>
      </c>
      <c r="B477" t="s">
        <v>1092</v>
      </c>
      <c r="C477" t="s">
        <v>1093</v>
      </c>
    </row>
    <row r="478" spans="1:3">
      <c r="A478">
        <v>674</v>
      </c>
      <c r="B478" t="s">
        <v>1094</v>
      </c>
      <c r="C478" t="s">
        <v>1095</v>
      </c>
    </row>
    <row r="479" spans="1:3">
      <c r="A479">
        <v>901</v>
      </c>
      <c r="B479" t="s">
        <v>1096</v>
      </c>
      <c r="C479" t="s">
        <v>1097</v>
      </c>
    </row>
    <row r="480" spans="1:3">
      <c r="A480">
        <v>912</v>
      </c>
      <c r="B480" t="s">
        <v>1098</v>
      </c>
      <c r="C480" t="s">
        <v>1099</v>
      </c>
    </row>
    <row r="481" spans="1:3">
      <c r="A481">
        <v>655</v>
      </c>
      <c r="B481" t="s">
        <v>1100</v>
      </c>
      <c r="C481" t="s">
        <v>1101</v>
      </c>
    </row>
    <row r="482" spans="1:3">
      <c r="A482">
        <v>1037</v>
      </c>
      <c r="B482" t="s">
        <v>1102</v>
      </c>
      <c r="C482" t="s">
        <v>1103</v>
      </c>
    </row>
    <row r="483" spans="1:3">
      <c r="A483">
        <v>652</v>
      </c>
      <c r="B483" t="s">
        <v>1104</v>
      </c>
      <c r="C483" t="s">
        <v>1105</v>
      </c>
    </row>
    <row r="484" spans="1:3">
      <c r="A484">
        <v>755</v>
      </c>
      <c r="B484" t="s">
        <v>1106</v>
      </c>
      <c r="C484" t="s">
        <v>1107</v>
      </c>
    </row>
    <row r="485" spans="1:3">
      <c r="A485">
        <v>626</v>
      </c>
      <c r="B485" t="s">
        <v>1108</v>
      </c>
      <c r="C485" t="s">
        <v>1109</v>
      </c>
    </row>
    <row r="486" spans="1:3">
      <c r="A486">
        <v>842</v>
      </c>
      <c r="B486" t="s">
        <v>1110</v>
      </c>
      <c r="C486" t="s">
        <v>1111</v>
      </c>
    </row>
    <row r="487" spans="1:3">
      <c r="A487">
        <v>886</v>
      </c>
      <c r="B487" t="s">
        <v>1112</v>
      </c>
      <c r="C487" t="s">
        <v>1113</v>
      </c>
    </row>
    <row r="488" spans="1:3">
      <c r="A488">
        <v>867</v>
      </c>
      <c r="B488" t="s">
        <v>1114</v>
      </c>
      <c r="C488" t="s">
        <v>1115</v>
      </c>
    </row>
    <row r="489" spans="1:3">
      <c r="A489">
        <v>689</v>
      </c>
      <c r="B489" t="s">
        <v>1116</v>
      </c>
      <c r="C489" t="s">
        <v>1117</v>
      </c>
    </row>
    <row r="490" spans="1:3">
      <c r="A490">
        <v>913</v>
      </c>
      <c r="B490" t="s">
        <v>1118</v>
      </c>
      <c r="C490" t="s">
        <v>1119</v>
      </c>
    </row>
    <row r="491" spans="1:3">
      <c r="A491">
        <v>614</v>
      </c>
      <c r="B491" t="s">
        <v>1120</v>
      </c>
      <c r="C491" t="s">
        <v>1121</v>
      </c>
    </row>
    <row r="492" spans="1:3">
      <c r="A492">
        <v>891</v>
      </c>
      <c r="B492" t="s">
        <v>1122</v>
      </c>
      <c r="C492" t="s">
        <v>1123</v>
      </c>
    </row>
    <row r="493" spans="1:3">
      <c r="A493">
        <v>949</v>
      </c>
      <c r="B493" t="s">
        <v>1124</v>
      </c>
      <c r="C493" t="s">
        <v>1125</v>
      </c>
    </row>
    <row r="494" spans="1:3">
      <c r="A494">
        <v>1152</v>
      </c>
      <c r="B494" t="s">
        <v>1126</v>
      </c>
      <c r="C494" t="s">
        <v>1126</v>
      </c>
    </row>
    <row r="495" spans="1:3">
      <c r="A495">
        <v>568</v>
      </c>
      <c r="B495" t="s">
        <v>1127</v>
      </c>
      <c r="C495" t="s">
        <v>1128</v>
      </c>
    </row>
    <row r="496" spans="1:3">
      <c r="A496">
        <v>849</v>
      </c>
      <c r="B496" t="s">
        <v>1129</v>
      </c>
      <c r="C496" t="s">
        <v>1130</v>
      </c>
    </row>
    <row r="497" spans="1:3">
      <c r="A497">
        <v>1029</v>
      </c>
      <c r="B497" t="s">
        <v>1131</v>
      </c>
      <c r="C497" t="s">
        <v>1132</v>
      </c>
    </row>
    <row r="498" spans="1:3">
      <c r="A498">
        <v>530</v>
      </c>
      <c r="B498" t="s">
        <v>1133</v>
      </c>
      <c r="C498" t="s">
        <v>1134</v>
      </c>
    </row>
    <row r="499" spans="1:3">
      <c r="A499">
        <v>604</v>
      </c>
      <c r="B499" t="s">
        <v>1135</v>
      </c>
      <c r="C499" t="s">
        <v>1136</v>
      </c>
    </row>
    <row r="500" spans="1:3">
      <c r="A500">
        <v>644</v>
      </c>
      <c r="B500" t="s">
        <v>1137</v>
      </c>
      <c r="C500" t="s">
        <v>1138</v>
      </c>
    </row>
    <row r="501" spans="1:3">
      <c r="A501">
        <v>976</v>
      </c>
      <c r="B501" t="s">
        <v>1139</v>
      </c>
      <c r="C501" t="s">
        <v>1140</v>
      </c>
    </row>
    <row r="502" spans="1:3">
      <c r="A502">
        <v>929</v>
      </c>
      <c r="B502" t="s">
        <v>1141</v>
      </c>
      <c r="C502" t="s">
        <v>1141</v>
      </c>
    </row>
    <row r="503" spans="1:3">
      <c r="A503">
        <v>931</v>
      </c>
      <c r="B503" t="s">
        <v>1142</v>
      </c>
      <c r="C503" t="s">
        <v>1142</v>
      </c>
    </row>
    <row r="504" spans="1:3">
      <c r="A504">
        <v>1148</v>
      </c>
      <c r="B504" t="s">
        <v>1143</v>
      </c>
      <c r="C504" t="s">
        <v>1144</v>
      </c>
    </row>
    <row r="505" spans="1:3">
      <c r="A505">
        <v>934</v>
      </c>
      <c r="B505" t="s">
        <v>1145</v>
      </c>
      <c r="C505" t="s">
        <v>1145</v>
      </c>
    </row>
    <row r="506" spans="1:3">
      <c r="A506">
        <v>935</v>
      </c>
      <c r="B506" t="s">
        <v>1146</v>
      </c>
      <c r="C506" t="s">
        <v>1146</v>
      </c>
    </row>
    <row r="507" spans="1:3">
      <c r="A507">
        <v>969</v>
      </c>
      <c r="B507" t="s">
        <v>1147</v>
      </c>
      <c r="C507" t="s">
        <v>1148</v>
      </c>
    </row>
    <row r="508" spans="1:3">
      <c r="A508">
        <v>601</v>
      </c>
      <c r="B508" t="s">
        <v>1149</v>
      </c>
      <c r="C508" t="s">
        <v>1150</v>
      </c>
    </row>
    <row r="509" spans="1:3">
      <c r="A509">
        <v>937</v>
      </c>
      <c r="B509" t="s">
        <v>1151</v>
      </c>
      <c r="C509" t="s">
        <v>1151</v>
      </c>
    </row>
    <row r="510" spans="1:3">
      <c r="A510">
        <v>1016</v>
      </c>
      <c r="B510" t="s">
        <v>1152</v>
      </c>
      <c r="C510" t="s">
        <v>1153</v>
      </c>
    </row>
    <row r="511" spans="1:3">
      <c r="A511">
        <v>959</v>
      </c>
      <c r="B511" t="s">
        <v>1154</v>
      </c>
      <c r="C511" t="s">
        <v>1155</v>
      </c>
    </row>
    <row r="512" spans="1:3">
      <c r="A512">
        <v>698</v>
      </c>
      <c r="B512" t="s">
        <v>1156</v>
      </c>
      <c r="C512" t="s">
        <v>1157</v>
      </c>
    </row>
    <row r="513" spans="1:3">
      <c r="A513">
        <v>582</v>
      </c>
      <c r="B513" t="s">
        <v>1158</v>
      </c>
      <c r="C513" t="s">
        <v>1159</v>
      </c>
    </row>
    <row r="514" spans="1:3">
      <c r="A514">
        <v>685</v>
      </c>
      <c r="B514" t="s">
        <v>1160</v>
      </c>
      <c r="C514" t="s">
        <v>1161</v>
      </c>
    </row>
    <row r="515" spans="1:3">
      <c r="A515">
        <v>860</v>
      </c>
      <c r="B515" t="s">
        <v>1162</v>
      </c>
      <c r="C515" t="s">
        <v>1163</v>
      </c>
    </row>
    <row r="516" spans="1:3">
      <c r="A516">
        <v>544</v>
      </c>
      <c r="B516" t="s">
        <v>1164</v>
      </c>
      <c r="C516" t="s">
        <v>1165</v>
      </c>
    </row>
    <row r="517" spans="1:3">
      <c r="A517">
        <v>847</v>
      </c>
      <c r="B517" t="s">
        <v>1166</v>
      </c>
      <c r="C517" t="s">
        <v>1167</v>
      </c>
    </row>
    <row r="518" spans="1:3">
      <c r="A518">
        <v>948</v>
      </c>
      <c r="B518" t="s">
        <v>1168</v>
      </c>
      <c r="C518" t="s">
        <v>1168</v>
      </c>
    </row>
    <row r="519" spans="1:3">
      <c r="A519">
        <v>659</v>
      </c>
      <c r="B519" t="s">
        <v>1169</v>
      </c>
      <c r="C519" t="s">
        <v>1170</v>
      </c>
    </row>
    <row r="520" spans="1:3">
      <c r="A520">
        <v>824</v>
      </c>
      <c r="B520" t="s">
        <v>1171</v>
      </c>
      <c r="C520" t="s">
        <v>1172</v>
      </c>
    </row>
    <row r="521" spans="1:3">
      <c r="A521">
        <v>589</v>
      </c>
      <c r="B521" t="s">
        <v>1173</v>
      </c>
      <c r="C521" t="s">
        <v>1174</v>
      </c>
    </row>
    <row r="522" spans="1:3">
      <c r="A522">
        <v>932</v>
      </c>
      <c r="B522" t="s">
        <v>1175</v>
      </c>
      <c r="C522" t="s">
        <v>1176</v>
      </c>
    </row>
    <row r="523" spans="1:3">
      <c r="A523">
        <v>1105</v>
      </c>
      <c r="B523" t="s">
        <v>1177</v>
      </c>
      <c r="C523" t="s">
        <v>1177</v>
      </c>
    </row>
    <row r="524" spans="1:3">
      <c r="A524">
        <v>713</v>
      </c>
      <c r="B524" t="s">
        <v>1178</v>
      </c>
      <c r="C524" t="s">
        <v>1179</v>
      </c>
    </row>
    <row r="525" spans="1:3">
      <c r="A525">
        <v>738</v>
      </c>
      <c r="B525" t="s">
        <v>1180</v>
      </c>
      <c r="C525" t="s">
        <v>1181</v>
      </c>
    </row>
    <row r="526" spans="1:3">
      <c r="A526">
        <v>1100</v>
      </c>
      <c r="B526" t="s">
        <v>1182</v>
      </c>
      <c r="C526" t="s">
        <v>1183</v>
      </c>
    </row>
    <row r="527" spans="1:3">
      <c r="A527">
        <v>805</v>
      </c>
      <c r="B527" t="s">
        <v>1184</v>
      </c>
      <c r="C527" t="s">
        <v>1185</v>
      </c>
    </row>
    <row r="528" spans="1:3">
      <c r="A528">
        <v>645</v>
      </c>
      <c r="B528" t="s">
        <v>1186</v>
      </c>
      <c r="C528" t="s">
        <v>1187</v>
      </c>
    </row>
    <row r="529" spans="1:3">
      <c r="A529">
        <v>958</v>
      </c>
      <c r="B529" t="s">
        <v>1188</v>
      </c>
      <c r="C529" t="s">
        <v>1188</v>
      </c>
    </row>
    <row r="530" spans="1:3">
      <c r="A530">
        <v>734</v>
      </c>
      <c r="B530" t="s">
        <v>1189</v>
      </c>
      <c r="C530" t="s">
        <v>1190</v>
      </c>
    </row>
    <row r="531" spans="1:3">
      <c r="A531">
        <v>1130</v>
      </c>
      <c r="B531" t="s">
        <v>1191</v>
      </c>
      <c r="C531" t="s">
        <v>1192</v>
      </c>
    </row>
    <row r="532" spans="1:3">
      <c r="A532">
        <v>1001</v>
      </c>
      <c r="B532" t="s">
        <v>1193</v>
      </c>
      <c r="C532" t="s">
        <v>1194</v>
      </c>
    </row>
    <row r="533" spans="1:3">
      <c r="A533">
        <v>952</v>
      </c>
      <c r="B533" t="s">
        <v>1195</v>
      </c>
      <c r="C533" t="s">
        <v>1196</v>
      </c>
    </row>
    <row r="534" spans="1:3">
      <c r="A534">
        <v>827</v>
      </c>
      <c r="B534" t="s">
        <v>1197</v>
      </c>
      <c r="C534" t="s">
        <v>1198</v>
      </c>
    </row>
    <row r="535" spans="1:3">
      <c r="A535">
        <v>964</v>
      </c>
      <c r="B535" t="s">
        <v>1199</v>
      </c>
      <c r="C535" t="s">
        <v>1200</v>
      </c>
    </row>
    <row r="536" spans="1:3">
      <c r="A536">
        <v>648</v>
      </c>
      <c r="B536" t="s">
        <v>1201</v>
      </c>
      <c r="C536" t="s">
        <v>1202</v>
      </c>
    </row>
    <row r="537" spans="1:3">
      <c r="A537">
        <v>812</v>
      </c>
      <c r="B537" t="s">
        <v>1203</v>
      </c>
      <c r="C537" t="s">
        <v>1204</v>
      </c>
    </row>
    <row r="538" spans="1:3">
      <c r="A538">
        <v>974</v>
      </c>
      <c r="B538" t="s">
        <v>1205</v>
      </c>
      <c r="C538" t="s">
        <v>1206</v>
      </c>
    </row>
    <row r="539" spans="1:3">
      <c r="A539">
        <v>598</v>
      </c>
      <c r="B539" t="s">
        <v>1207</v>
      </c>
      <c r="C539" t="s">
        <v>1208</v>
      </c>
    </row>
    <row r="540" spans="1:3">
      <c r="A540">
        <v>561</v>
      </c>
      <c r="B540" t="s">
        <v>1209</v>
      </c>
      <c r="C540" t="s">
        <v>1210</v>
      </c>
    </row>
    <row r="541" spans="1:3">
      <c r="A541">
        <v>537</v>
      </c>
      <c r="B541" t="s">
        <v>1211</v>
      </c>
      <c r="C541" t="s">
        <v>1212</v>
      </c>
    </row>
    <row r="542" spans="1:3">
      <c r="A542">
        <v>979</v>
      </c>
      <c r="B542" t="s">
        <v>1213</v>
      </c>
      <c r="C542" t="s">
        <v>1213</v>
      </c>
    </row>
    <row r="543" spans="1:3">
      <c r="A543">
        <v>980</v>
      </c>
      <c r="B543" t="s">
        <v>1214</v>
      </c>
      <c r="C543" t="s">
        <v>1215</v>
      </c>
    </row>
    <row r="544" spans="1:3">
      <c r="A544">
        <v>983</v>
      </c>
      <c r="B544" t="s">
        <v>1216</v>
      </c>
      <c r="C544" t="s">
        <v>1216</v>
      </c>
    </row>
    <row r="545" spans="1:3">
      <c r="A545">
        <v>1099</v>
      </c>
      <c r="B545" t="s">
        <v>1217</v>
      </c>
      <c r="C545" t="s">
        <v>1217</v>
      </c>
    </row>
    <row r="546" spans="1:3">
      <c r="A546">
        <v>985</v>
      </c>
      <c r="B546" t="s">
        <v>1218</v>
      </c>
      <c r="C546" t="s">
        <v>1218</v>
      </c>
    </row>
    <row r="547" spans="1:3">
      <c r="A547">
        <v>986</v>
      </c>
      <c r="B547" t="s">
        <v>1219</v>
      </c>
      <c r="C547" t="s">
        <v>1219</v>
      </c>
    </row>
    <row r="548" spans="1:3">
      <c r="A548">
        <v>989</v>
      </c>
      <c r="B548" t="s">
        <v>1220</v>
      </c>
      <c r="C548" t="s">
        <v>1220</v>
      </c>
    </row>
    <row r="549" spans="1:3">
      <c r="A549">
        <v>1068</v>
      </c>
      <c r="B549" t="s">
        <v>1221</v>
      </c>
      <c r="C549" t="s">
        <v>1222</v>
      </c>
    </row>
    <row r="550" spans="1:3">
      <c r="A550">
        <v>995</v>
      </c>
      <c r="B550" t="s">
        <v>1223</v>
      </c>
      <c r="C550" t="s">
        <v>1223</v>
      </c>
    </row>
    <row r="551" spans="1:3">
      <c r="A551">
        <v>892</v>
      </c>
      <c r="B551" t="s">
        <v>1224</v>
      </c>
      <c r="C551" t="s">
        <v>1225</v>
      </c>
    </row>
    <row r="552" spans="1:3">
      <c r="A552">
        <v>1127</v>
      </c>
      <c r="B552" t="s">
        <v>1226</v>
      </c>
      <c r="C552" t="s">
        <v>1227</v>
      </c>
    </row>
    <row r="553" spans="1:3">
      <c r="A553">
        <v>737</v>
      </c>
      <c r="B553" t="s">
        <v>1228</v>
      </c>
      <c r="C553" t="s">
        <v>1229</v>
      </c>
    </row>
    <row r="554" spans="1:3">
      <c r="A554">
        <v>1089</v>
      </c>
      <c r="B554" t="s">
        <v>1230</v>
      </c>
      <c r="C554" t="s">
        <v>1231</v>
      </c>
    </row>
    <row r="555" spans="1:3">
      <c r="A555">
        <v>837</v>
      </c>
      <c r="B555" t="s">
        <v>1232</v>
      </c>
      <c r="C555" t="s">
        <v>1233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4D13-CB6C-49DC-B2D2-C1264B0D53B7}">
  <sheetPr codeName="FixedLists"/>
  <dimension ref="A1:AR35"/>
  <sheetViews>
    <sheetView workbookViewId="0">
      <selection activeCell="I17" sqref="I17"/>
    </sheetView>
  </sheetViews>
  <sheetFormatPr defaultColWidth="8.875" defaultRowHeight="14.25"/>
  <cols>
    <col min="1" max="1" width="4.5" customWidth="1"/>
    <col min="2" max="2" width="19.875" bestFit="1" customWidth="1"/>
    <col min="3" max="3" width="7" customWidth="1"/>
    <col min="4" max="5" width="2.875" customWidth="1"/>
    <col min="6" max="6" width="4.5" customWidth="1"/>
    <col min="7" max="7" width="16.5" bestFit="1" customWidth="1"/>
    <col min="8" max="8" width="14.5" customWidth="1"/>
    <col min="9" max="10" width="2.875" customWidth="1"/>
    <col min="11" max="11" width="10.375" customWidth="1"/>
    <col min="12" max="12" width="30" bestFit="1" customWidth="1"/>
    <col min="13" max="14" width="2.875" customWidth="1"/>
    <col min="15" max="15" width="4.5" customWidth="1"/>
    <col min="16" max="16" width="17.625" bestFit="1" customWidth="1"/>
    <col min="17" max="17" width="18.875" bestFit="1" customWidth="1"/>
    <col min="18" max="19" width="2.875" customWidth="1"/>
    <col min="20" max="20" width="4.5" customWidth="1"/>
    <col min="21" max="21" width="8.125" customWidth="1"/>
    <col min="22" max="23" width="2.875" customWidth="1"/>
    <col min="24" max="24" width="11.5" bestFit="1" customWidth="1"/>
    <col min="25" max="25" width="14.5" bestFit="1" customWidth="1"/>
    <col min="26" max="26" width="37.5" bestFit="1" customWidth="1"/>
    <col min="27" max="28" width="2.875" customWidth="1"/>
    <col min="29" max="29" width="4.5" customWidth="1"/>
    <col min="30" max="30" width="7.125" customWidth="1"/>
    <col min="31" max="31" width="12.375" customWidth="1"/>
    <col min="32" max="33" width="2.875" customWidth="1"/>
    <col min="34" max="34" width="10.5" customWidth="1"/>
    <col min="35" max="36" width="2.875" customWidth="1"/>
    <col min="37" max="37" width="10.5" customWidth="1"/>
    <col min="38" max="38" width="9.5" customWidth="1"/>
    <col min="39" max="40" width="2.875" customWidth="1"/>
    <col min="41" max="41" width="23" bestFit="1" customWidth="1"/>
    <col min="42" max="43" width="2.875" customWidth="1"/>
    <col min="44" max="44" width="137.5" bestFit="1" customWidth="1"/>
  </cols>
  <sheetData>
    <row r="1" spans="1:44" ht="15">
      <c r="A1" s="8" t="s">
        <v>191</v>
      </c>
      <c r="B1" s="8" t="s">
        <v>1234</v>
      </c>
      <c r="C1" s="8" t="s">
        <v>1235</v>
      </c>
      <c r="F1" t="s">
        <v>191</v>
      </c>
      <c r="G1" t="s">
        <v>1236</v>
      </c>
      <c r="H1" t="s">
        <v>1237</v>
      </c>
      <c r="I1" s="3"/>
      <c r="J1" s="4"/>
      <c r="K1" s="5" t="s">
        <v>1238</v>
      </c>
      <c r="L1" s="6" t="s">
        <v>1239</v>
      </c>
      <c r="O1" t="s">
        <v>191</v>
      </c>
      <c r="P1" t="s">
        <v>1240</v>
      </c>
      <c r="Q1" t="s">
        <v>1241</v>
      </c>
      <c r="T1" t="s">
        <v>191</v>
      </c>
      <c r="U1" t="s">
        <v>5</v>
      </c>
      <c r="X1" t="s">
        <v>1</v>
      </c>
      <c r="Y1" t="s">
        <v>1242</v>
      </c>
      <c r="Z1" t="s">
        <v>1243</v>
      </c>
      <c r="AC1" t="s">
        <v>191</v>
      </c>
      <c r="AD1" t="s">
        <v>1244</v>
      </c>
      <c r="AE1" t="s">
        <v>1245</v>
      </c>
      <c r="AH1" t="s">
        <v>1246</v>
      </c>
      <c r="AK1" t="s">
        <v>1247</v>
      </c>
      <c r="AL1" t="s">
        <v>1248</v>
      </c>
      <c r="AO1" t="s">
        <v>1249</v>
      </c>
      <c r="AR1" t="s">
        <v>1250</v>
      </c>
    </row>
    <row r="2" spans="1:44" ht="15">
      <c r="A2" s="9">
        <v>1</v>
      </c>
      <c r="B2" s="10" t="s">
        <v>1251</v>
      </c>
      <c r="C2" s="10" t="s">
        <v>1252</v>
      </c>
      <c r="F2">
        <v>0</v>
      </c>
      <c r="G2" t="s">
        <v>1253</v>
      </c>
      <c r="H2" t="s">
        <v>1253</v>
      </c>
      <c r="I2" s="1"/>
      <c r="J2" s="2"/>
      <c r="K2" s="7">
        <v>1</v>
      </c>
      <c r="L2" s="6" t="s">
        <v>1254</v>
      </c>
      <c r="O2">
        <v>1</v>
      </c>
      <c r="P2" t="s">
        <v>1255</v>
      </c>
      <c r="Q2" t="s">
        <v>1256</v>
      </c>
      <c r="T2">
        <v>1</v>
      </c>
      <c r="U2" t="s">
        <v>31</v>
      </c>
      <c r="X2">
        <v>2</v>
      </c>
      <c r="Y2" t="s">
        <v>40</v>
      </c>
      <c r="Z2" t="s">
        <v>1257</v>
      </c>
      <c r="AC2">
        <v>1</v>
      </c>
      <c r="AD2" t="s">
        <v>1258</v>
      </c>
      <c r="AE2">
        <v>1380</v>
      </c>
      <c r="AH2" t="s">
        <v>185</v>
      </c>
      <c r="AK2">
        <v>0</v>
      </c>
      <c r="AL2">
        <v>0</v>
      </c>
      <c r="AO2" t="s">
        <v>1259</v>
      </c>
      <c r="AR2" t="s">
        <v>1260</v>
      </c>
    </row>
    <row r="3" spans="1:44" ht="15">
      <c r="A3" s="9">
        <v>2</v>
      </c>
      <c r="B3" s="10" t="s">
        <v>1261</v>
      </c>
      <c r="C3" s="10" t="s">
        <v>1262</v>
      </c>
      <c r="F3">
        <v>1</v>
      </c>
      <c r="G3" t="s">
        <v>15</v>
      </c>
      <c r="H3" t="s">
        <v>83</v>
      </c>
      <c r="I3" s="1"/>
      <c r="J3" s="2"/>
      <c r="K3" s="7">
        <v>2</v>
      </c>
      <c r="L3" s="6" t="s">
        <v>1263</v>
      </c>
      <c r="O3">
        <v>4</v>
      </c>
      <c r="P3" t="s">
        <v>1251</v>
      </c>
      <c r="Q3" t="s">
        <v>1264</v>
      </c>
      <c r="T3">
        <v>2</v>
      </c>
      <c r="U3" t="s">
        <v>1265</v>
      </c>
      <c r="X3">
        <v>3</v>
      </c>
      <c r="Y3" t="s">
        <v>11</v>
      </c>
      <c r="Z3" t="s">
        <v>1266</v>
      </c>
      <c r="AC3">
        <v>2</v>
      </c>
      <c r="AD3" t="s">
        <v>1267</v>
      </c>
      <c r="AE3">
        <v>420</v>
      </c>
      <c r="AH3" t="s">
        <v>72</v>
      </c>
      <c r="AK3">
        <v>0.5</v>
      </c>
      <c r="AL3">
        <v>1</v>
      </c>
      <c r="AO3" t="s">
        <v>1268</v>
      </c>
      <c r="AR3" t="s">
        <v>1269</v>
      </c>
    </row>
    <row r="4" spans="1:44" ht="15">
      <c r="A4" s="9">
        <v>3</v>
      </c>
      <c r="B4" s="10" t="s">
        <v>1270</v>
      </c>
      <c r="C4" s="10" t="s">
        <v>1270</v>
      </c>
      <c r="F4">
        <v>2</v>
      </c>
      <c r="G4" t="s">
        <v>1271</v>
      </c>
      <c r="H4" t="s">
        <v>1272</v>
      </c>
      <c r="I4" s="1"/>
      <c r="K4" s="6">
        <v>3</v>
      </c>
      <c r="L4" s="6" t="s">
        <v>1273</v>
      </c>
      <c r="O4">
        <v>5</v>
      </c>
      <c r="P4" t="s">
        <v>1274</v>
      </c>
      <c r="Q4" t="s">
        <v>1275</v>
      </c>
      <c r="T4">
        <v>3</v>
      </c>
      <c r="U4" t="s">
        <v>1276</v>
      </c>
      <c r="X4">
        <v>4</v>
      </c>
      <c r="Y4" t="s">
        <v>28</v>
      </c>
      <c r="Z4" t="s">
        <v>1277</v>
      </c>
      <c r="AC4">
        <v>3</v>
      </c>
      <c r="AD4" t="s">
        <v>1278</v>
      </c>
      <c r="AE4">
        <v>450</v>
      </c>
      <c r="AK4">
        <v>1</v>
      </c>
      <c r="AL4">
        <v>2</v>
      </c>
      <c r="AR4" t="s">
        <v>1279</v>
      </c>
    </row>
    <row r="5" spans="1:44" ht="15">
      <c r="A5" s="9">
        <v>4</v>
      </c>
      <c r="B5" s="10" t="s">
        <v>1274</v>
      </c>
      <c r="C5" s="10" t="s">
        <v>1280</v>
      </c>
      <c r="F5">
        <v>4</v>
      </c>
      <c r="G5" t="s">
        <v>48</v>
      </c>
      <c r="H5" t="s">
        <v>1281</v>
      </c>
      <c r="I5" s="1"/>
      <c r="O5">
        <v>6</v>
      </c>
      <c r="P5" t="s">
        <v>1282</v>
      </c>
      <c r="Q5" t="s">
        <v>1283</v>
      </c>
      <c r="T5">
        <v>4</v>
      </c>
      <c r="U5" t="s">
        <v>1284</v>
      </c>
      <c r="X5">
        <v>5</v>
      </c>
      <c r="Y5" t="s">
        <v>32</v>
      </c>
      <c r="Z5" t="s">
        <v>1285</v>
      </c>
      <c r="AC5">
        <v>4</v>
      </c>
      <c r="AD5" t="s">
        <v>1286</v>
      </c>
      <c r="AE5">
        <v>480</v>
      </c>
      <c r="AK5">
        <v>1.5</v>
      </c>
      <c r="AL5">
        <v>3</v>
      </c>
      <c r="AR5" t="s">
        <v>1287</v>
      </c>
    </row>
    <row r="6" spans="1:44" ht="15">
      <c r="A6" s="9">
        <v>5</v>
      </c>
      <c r="B6" s="10" t="s">
        <v>1282</v>
      </c>
      <c r="C6" s="10" t="s">
        <v>1288</v>
      </c>
      <c r="F6">
        <v>5</v>
      </c>
      <c r="G6" t="s">
        <v>21</v>
      </c>
      <c r="H6" t="s">
        <v>1289</v>
      </c>
      <c r="I6" s="1"/>
      <c r="O6">
        <v>7</v>
      </c>
      <c r="P6" t="s">
        <v>1290</v>
      </c>
      <c r="Q6" t="s">
        <v>1291</v>
      </c>
      <c r="T6">
        <v>5</v>
      </c>
      <c r="U6" t="s">
        <v>1292</v>
      </c>
      <c r="X6">
        <v>6</v>
      </c>
      <c r="Y6" t="s">
        <v>469</v>
      </c>
      <c r="Z6" t="s">
        <v>1293</v>
      </c>
      <c r="AC6">
        <v>5</v>
      </c>
      <c r="AD6" t="s">
        <v>1294</v>
      </c>
      <c r="AE6">
        <v>510</v>
      </c>
      <c r="AK6">
        <v>2</v>
      </c>
      <c r="AL6">
        <v>4</v>
      </c>
      <c r="AR6" t="s">
        <v>1295</v>
      </c>
    </row>
    <row r="7" spans="1:44" ht="15">
      <c r="A7" s="9">
        <v>6</v>
      </c>
      <c r="B7" s="10" t="s">
        <v>1296</v>
      </c>
      <c r="C7" s="10" t="s">
        <v>1297</v>
      </c>
      <c r="F7">
        <v>6</v>
      </c>
      <c r="G7" t="s">
        <v>16</v>
      </c>
      <c r="H7" t="s">
        <v>93</v>
      </c>
      <c r="I7" s="1"/>
      <c r="O7">
        <v>8</v>
      </c>
      <c r="P7" t="s">
        <v>1298</v>
      </c>
      <c r="Q7" t="s">
        <v>1299</v>
      </c>
      <c r="T7">
        <v>6</v>
      </c>
      <c r="U7" t="s">
        <v>1300</v>
      </c>
      <c r="X7">
        <v>7</v>
      </c>
      <c r="Y7" t="s">
        <v>1301</v>
      </c>
      <c r="Z7" t="s">
        <v>1302</v>
      </c>
      <c r="AC7">
        <v>6</v>
      </c>
      <c r="AD7" t="s">
        <v>1303</v>
      </c>
      <c r="AE7">
        <v>540</v>
      </c>
      <c r="AK7">
        <v>2.5</v>
      </c>
      <c r="AL7">
        <v>5</v>
      </c>
      <c r="AR7" t="s">
        <v>1304</v>
      </c>
    </row>
    <row r="8" spans="1:44" ht="15">
      <c r="A8" s="9">
        <v>7</v>
      </c>
      <c r="B8" s="10" t="s">
        <v>1305</v>
      </c>
      <c r="C8" s="10" t="s">
        <v>1305</v>
      </c>
      <c r="F8">
        <v>7</v>
      </c>
      <c r="G8" t="s">
        <v>19</v>
      </c>
      <c r="H8" t="s">
        <v>1306</v>
      </c>
      <c r="I8" s="1"/>
      <c r="O8">
        <v>9</v>
      </c>
      <c r="P8" t="s">
        <v>1307</v>
      </c>
      <c r="Q8" t="s">
        <v>1308</v>
      </c>
      <c r="T8">
        <v>7</v>
      </c>
      <c r="U8" t="s">
        <v>1309</v>
      </c>
      <c r="X8">
        <v>8</v>
      </c>
      <c r="Y8" t="s">
        <v>1310</v>
      </c>
      <c r="Z8" t="s">
        <v>1311</v>
      </c>
      <c r="AC8">
        <v>7</v>
      </c>
      <c r="AD8" t="s">
        <v>1312</v>
      </c>
      <c r="AE8">
        <v>570</v>
      </c>
      <c r="AK8">
        <v>3</v>
      </c>
      <c r="AL8">
        <v>6</v>
      </c>
    </row>
    <row r="9" spans="1:44" ht="15">
      <c r="A9" s="9">
        <v>8</v>
      </c>
      <c r="B9" s="10" t="s">
        <v>1313</v>
      </c>
      <c r="C9" s="10" t="s">
        <v>1314</v>
      </c>
      <c r="F9">
        <v>8</v>
      </c>
      <c r="G9" t="s">
        <v>39</v>
      </c>
      <c r="H9" t="s">
        <v>1315</v>
      </c>
      <c r="I9" s="1"/>
      <c r="O9">
        <v>10</v>
      </c>
      <c r="P9" t="s">
        <v>1316</v>
      </c>
      <c r="Q9" t="s">
        <v>1317</v>
      </c>
      <c r="T9">
        <v>8</v>
      </c>
      <c r="U9" t="s">
        <v>43</v>
      </c>
      <c r="X9">
        <v>9</v>
      </c>
      <c r="Y9" t="s">
        <v>1318</v>
      </c>
      <c r="Z9" t="s">
        <v>1319</v>
      </c>
      <c r="AC9">
        <v>8</v>
      </c>
      <c r="AD9" t="s">
        <v>1320</v>
      </c>
      <c r="AE9">
        <v>600</v>
      </c>
      <c r="AK9">
        <v>3.5</v>
      </c>
      <c r="AL9">
        <v>7</v>
      </c>
    </row>
    <row r="10" spans="1:44" ht="15">
      <c r="A10" s="11">
        <v>9</v>
      </c>
      <c r="B10" s="12" t="s">
        <v>1321</v>
      </c>
      <c r="C10" s="12" t="s">
        <v>1322</v>
      </c>
      <c r="F10">
        <v>9</v>
      </c>
      <c r="G10" t="s">
        <v>1323</v>
      </c>
      <c r="H10" t="s">
        <v>1324</v>
      </c>
      <c r="I10" s="1"/>
      <c r="O10">
        <v>11</v>
      </c>
      <c r="P10" t="s">
        <v>1325</v>
      </c>
      <c r="Q10" t="s">
        <v>1325</v>
      </c>
      <c r="T10">
        <v>9</v>
      </c>
      <c r="U10" t="s">
        <v>14</v>
      </c>
      <c r="X10">
        <v>10</v>
      </c>
      <c r="Y10" t="s">
        <v>1326</v>
      </c>
      <c r="Z10" t="s">
        <v>1327</v>
      </c>
      <c r="AC10">
        <v>9</v>
      </c>
      <c r="AD10" t="s">
        <v>1328</v>
      </c>
      <c r="AE10">
        <v>630</v>
      </c>
      <c r="AK10">
        <v>4</v>
      </c>
      <c r="AL10">
        <v>8</v>
      </c>
    </row>
    <row r="11" spans="1:44" ht="15">
      <c r="A11" s="11">
        <v>10</v>
      </c>
      <c r="B11" s="12" t="s">
        <v>1329</v>
      </c>
      <c r="C11" s="12" t="s">
        <v>1330</v>
      </c>
      <c r="F11">
        <v>10</v>
      </c>
      <c r="G11" t="s">
        <v>1331</v>
      </c>
      <c r="H11" t="s">
        <v>1332</v>
      </c>
      <c r="I11" s="1"/>
      <c r="T11">
        <v>10</v>
      </c>
      <c r="U11" t="s">
        <v>1333</v>
      </c>
      <c r="X11">
        <v>11</v>
      </c>
      <c r="Y11" t="s">
        <v>36</v>
      </c>
      <c r="Z11" t="s">
        <v>1334</v>
      </c>
      <c r="AC11">
        <v>10</v>
      </c>
      <c r="AD11" t="s">
        <v>1335</v>
      </c>
      <c r="AE11">
        <v>660</v>
      </c>
      <c r="AK11">
        <v>4.5</v>
      </c>
      <c r="AL11">
        <v>9</v>
      </c>
    </row>
    <row r="12" spans="1:44" ht="15">
      <c r="A12" s="11">
        <v>11</v>
      </c>
      <c r="B12" s="12" t="s">
        <v>1336</v>
      </c>
      <c r="C12" s="12" t="s">
        <v>1336</v>
      </c>
      <c r="F12">
        <v>11</v>
      </c>
      <c r="G12" t="s">
        <v>1337</v>
      </c>
      <c r="H12" t="s">
        <v>1337</v>
      </c>
      <c r="I12" s="1"/>
      <c r="T12">
        <v>11</v>
      </c>
      <c r="U12" t="s">
        <v>88</v>
      </c>
      <c r="X12">
        <v>12</v>
      </c>
      <c r="Y12" t="s">
        <v>1338</v>
      </c>
      <c r="Z12" t="s">
        <v>1339</v>
      </c>
      <c r="AC12">
        <v>11</v>
      </c>
      <c r="AD12" t="s">
        <v>1340</v>
      </c>
      <c r="AE12">
        <v>690</v>
      </c>
      <c r="AK12">
        <v>5</v>
      </c>
      <c r="AL12">
        <v>10</v>
      </c>
    </row>
    <row r="13" spans="1:44" ht="15">
      <c r="A13" s="11">
        <v>12</v>
      </c>
      <c r="B13" s="12" t="s">
        <v>1323</v>
      </c>
      <c r="C13" s="12" t="s">
        <v>1324</v>
      </c>
      <c r="F13">
        <v>12</v>
      </c>
      <c r="G13" t="s">
        <v>1341</v>
      </c>
      <c r="H13" t="s">
        <v>1342</v>
      </c>
      <c r="I13" s="1"/>
      <c r="T13">
        <v>12</v>
      </c>
      <c r="U13" t="s">
        <v>1343</v>
      </c>
      <c r="X13">
        <v>13</v>
      </c>
      <c r="Y13" t="s">
        <v>93</v>
      </c>
      <c r="Z13" t="s">
        <v>1344</v>
      </c>
      <c r="AC13">
        <v>12</v>
      </c>
      <c r="AD13" t="s">
        <v>1345</v>
      </c>
      <c r="AE13">
        <v>720</v>
      </c>
      <c r="AK13">
        <v>5.5</v>
      </c>
      <c r="AL13">
        <v>11</v>
      </c>
    </row>
    <row r="14" spans="1:44" ht="15">
      <c r="A14" s="11">
        <v>13</v>
      </c>
      <c r="B14" s="12" t="s">
        <v>1346</v>
      </c>
      <c r="C14" s="12" t="s">
        <v>1346</v>
      </c>
      <c r="F14">
        <v>13</v>
      </c>
      <c r="G14" t="s">
        <v>1347</v>
      </c>
      <c r="H14" t="s">
        <v>1348</v>
      </c>
      <c r="I14" s="1"/>
      <c r="T14">
        <v>13</v>
      </c>
      <c r="U14" t="s">
        <v>1349</v>
      </c>
      <c r="X14">
        <v>14</v>
      </c>
      <c r="Y14" t="s">
        <v>1350</v>
      </c>
      <c r="Z14" t="s">
        <v>1351</v>
      </c>
      <c r="AC14">
        <v>13</v>
      </c>
      <c r="AD14" t="s">
        <v>1352</v>
      </c>
      <c r="AE14">
        <v>750</v>
      </c>
      <c r="AK14">
        <v>6</v>
      </c>
      <c r="AL14">
        <v>12</v>
      </c>
    </row>
    <row r="15" spans="1:44" ht="15">
      <c r="A15" s="9">
        <v>14</v>
      </c>
      <c r="B15" s="10"/>
      <c r="C15" s="10"/>
      <c r="F15">
        <v>14</v>
      </c>
      <c r="G15" t="s">
        <v>1353</v>
      </c>
      <c r="H15" t="s">
        <v>1353</v>
      </c>
      <c r="I15" s="1"/>
      <c r="T15">
        <v>14</v>
      </c>
      <c r="U15" t="s">
        <v>20</v>
      </c>
      <c r="X15">
        <v>15</v>
      </c>
      <c r="Y15" t="s">
        <v>1354</v>
      </c>
      <c r="Z15" t="s">
        <v>1355</v>
      </c>
      <c r="AC15">
        <v>14</v>
      </c>
      <c r="AD15" t="s">
        <v>1356</v>
      </c>
      <c r="AE15">
        <v>780</v>
      </c>
      <c r="AK15">
        <v>6.5</v>
      </c>
      <c r="AL15">
        <v>13</v>
      </c>
    </row>
    <row r="16" spans="1:44" ht="15">
      <c r="F16">
        <v>15</v>
      </c>
      <c r="G16" t="s">
        <v>1357</v>
      </c>
      <c r="H16" t="s">
        <v>1358</v>
      </c>
      <c r="I16" s="1"/>
      <c r="T16">
        <v>15</v>
      </c>
      <c r="U16" t="s">
        <v>1359</v>
      </c>
      <c r="X16">
        <v>16</v>
      </c>
      <c r="Y16" t="s">
        <v>1360</v>
      </c>
      <c r="Z16" t="s">
        <v>1361</v>
      </c>
      <c r="AC16">
        <v>15</v>
      </c>
      <c r="AD16" t="s">
        <v>1362</v>
      </c>
      <c r="AE16">
        <v>810</v>
      </c>
      <c r="AK16">
        <v>7</v>
      </c>
      <c r="AL16">
        <v>14</v>
      </c>
    </row>
    <row r="17" spans="9:38" ht="15">
      <c r="I17" s="1"/>
      <c r="T17">
        <v>16</v>
      </c>
      <c r="U17" t="s">
        <v>1363</v>
      </c>
      <c r="X17">
        <v>17</v>
      </c>
      <c r="Y17" t="s">
        <v>1364</v>
      </c>
      <c r="Z17" t="s">
        <v>1365</v>
      </c>
      <c r="AC17">
        <v>16</v>
      </c>
      <c r="AD17" t="s">
        <v>1366</v>
      </c>
      <c r="AE17">
        <v>840</v>
      </c>
      <c r="AK17">
        <v>7.5</v>
      </c>
      <c r="AL17">
        <v>15</v>
      </c>
    </row>
    <row r="18" spans="9:38" ht="15">
      <c r="I18" s="1"/>
      <c r="T18">
        <v>17</v>
      </c>
      <c r="U18" t="s">
        <v>35</v>
      </c>
      <c r="X18">
        <v>18</v>
      </c>
      <c r="Y18" t="s">
        <v>1367</v>
      </c>
      <c r="Z18" t="s">
        <v>1368</v>
      </c>
      <c r="AC18">
        <v>17</v>
      </c>
      <c r="AD18" t="s">
        <v>1369</v>
      </c>
      <c r="AE18">
        <v>870</v>
      </c>
      <c r="AK18">
        <v>8</v>
      </c>
      <c r="AL18">
        <v>16</v>
      </c>
    </row>
    <row r="19" spans="9:38" ht="15">
      <c r="I19" s="1"/>
      <c r="T19">
        <v>18</v>
      </c>
      <c r="U19" t="s">
        <v>1370</v>
      </c>
      <c r="X19">
        <v>19</v>
      </c>
      <c r="Y19" t="s">
        <v>1371</v>
      </c>
      <c r="Z19" t="s">
        <v>1372</v>
      </c>
      <c r="AC19">
        <v>18</v>
      </c>
      <c r="AD19" t="s">
        <v>1373</v>
      </c>
      <c r="AE19">
        <v>900</v>
      </c>
      <c r="AK19">
        <v>8.5</v>
      </c>
      <c r="AL19">
        <v>17</v>
      </c>
    </row>
    <row r="20" spans="9:38">
      <c r="T20">
        <v>19</v>
      </c>
      <c r="U20" t="s">
        <v>1374</v>
      </c>
      <c r="X20">
        <v>20</v>
      </c>
      <c r="Y20" t="s">
        <v>30</v>
      </c>
      <c r="Z20" t="s">
        <v>1375</v>
      </c>
      <c r="AC20">
        <v>19</v>
      </c>
      <c r="AD20" t="s">
        <v>1376</v>
      </c>
      <c r="AE20">
        <v>930</v>
      </c>
      <c r="AK20">
        <v>9</v>
      </c>
      <c r="AL20">
        <v>18</v>
      </c>
    </row>
    <row r="21" spans="9:38">
      <c r="T21">
        <v>20</v>
      </c>
      <c r="U21" t="s">
        <v>1377</v>
      </c>
      <c r="X21">
        <v>21</v>
      </c>
      <c r="Y21" t="s">
        <v>1378</v>
      </c>
      <c r="Z21" t="s">
        <v>1379</v>
      </c>
      <c r="AC21">
        <v>20</v>
      </c>
      <c r="AD21" t="s">
        <v>1380</v>
      </c>
      <c r="AE21">
        <v>960</v>
      </c>
      <c r="AK21">
        <v>9.5</v>
      </c>
      <c r="AL21">
        <v>19</v>
      </c>
    </row>
    <row r="22" spans="9:38">
      <c r="T22">
        <v>21</v>
      </c>
      <c r="U22" t="s">
        <v>1381</v>
      </c>
      <c r="AC22">
        <v>21</v>
      </c>
      <c r="AD22" t="s">
        <v>1382</v>
      </c>
      <c r="AE22">
        <v>990</v>
      </c>
      <c r="AK22">
        <v>10</v>
      </c>
      <c r="AL22">
        <v>20</v>
      </c>
    </row>
    <row r="23" spans="9:38">
      <c r="T23">
        <v>22</v>
      </c>
      <c r="U23" t="s">
        <v>1383</v>
      </c>
      <c r="AC23">
        <v>22</v>
      </c>
      <c r="AD23" t="s">
        <v>1384</v>
      </c>
      <c r="AE23">
        <v>1020</v>
      </c>
      <c r="AK23">
        <v>10.5</v>
      </c>
      <c r="AL23">
        <v>21</v>
      </c>
    </row>
    <row r="24" spans="9:38">
      <c r="T24">
        <v>23</v>
      </c>
      <c r="U24" t="s">
        <v>1385</v>
      </c>
      <c r="AC24">
        <v>23</v>
      </c>
      <c r="AD24" t="s">
        <v>1386</v>
      </c>
      <c r="AE24">
        <v>1050</v>
      </c>
      <c r="AK24">
        <v>11</v>
      </c>
      <c r="AL24">
        <v>22</v>
      </c>
    </row>
    <row r="25" spans="9:38">
      <c r="T25">
        <v>24</v>
      </c>
      <c r="U25" t="s">
        <v>63</v>
      </c>
      <c r="AC25">
        <v>24</v>
      </c>
      <c r="AD25" t="s">
        <v>1387</v>
      </c>
      <c r="AE25">
        <v>1080</v>
      </c>
      <c r="AK25">
        <v>11.5</v>
      </c>
      <c r="AL25">
        <v>23</v>
      </c>
    </row>
    <row r="26" spans="9:38">
      <c r="T26">
        <v>25</v>
      </c>
      <c r="U26" t="s">
        <v>1388</v>
      </c>
      <c r="AC26">
        <v>25</v>
      </c>
      <c r="AD26" t="s">
        <v>1389</v>
      </c>
      <c r="AE26">
        <v>1110</v>
      </c>
      <c r="AK26">
        <v>12</v>
      </c>
      <c r="AL26">
        <v>24</v>
      </c>
    </row>
    <row r="27" spans="9:38">
      <c r="T27">
        <v>26</v>
      </c>
      <c r="U27" t="s">
        <v>56</v>
      </c>
      <c r="AC27">
        <v>26</v>
      </c>
      <c r="AD27" t="s">
        <v>1390</v>
      </c>
      <c r="AE27">
        <v>1140</v>
      </c>
      <c r="AK27">
        <v>12.5</v>
      </c>
      <c r="AL27">
        <v>25</v>
      </c>
    </row>
    <row r="28" spans="9:38">
      <c r="T28">
        <v>27</v>
      </c>
      <c r="U28" t="s">
        <v>58</v>
      </c>
      <c r="AC28">
        <v>27</v>
      </c>
      <c r="AD28" t="s">
        <v>1391</v>
      </c>
      <c r="AE28">
        <v>1170</v>
      </c>
      <c r="AK28">
        <v>13</v>
      </c>
      <c r="AL28">
        <v>26</v>
      </c>
    </row>
    <row r="29" spans="9:38">
      <c r="T29">
        <v>28</v>
      </c>
      <c r="U29" t="s">
        <v>55</v>
      </c>
      <c r="AC29">
        <v>28</v>
      </c>
      <c r="AD29" t="s">
        <v>1392</v>
      </c>
      <c r="AE29">
        <v>1200</v>
      </c>
      <c r="AK29">
        <v>13.5</v>
      </c>
      <c r="AL29">
        <v>27</v>
      </c>
    </row>
    <row r="30" spans="9:38">
      <c r="T30">
        <v>29</v>
      </c>
      <c r="U30" t="s">
        <v>1353</v>
      </c>
      <c r="AC30">
        <v>29</v>
      </c>
      <c r="AD30" t="s">
        <v>1393</v>
      </c>
      <c r="AE30">
        <v>1230</v>
      </c>
      <c r="AK30">
        <v>14</v>
      </c>
      <c r="AL30">
        <v>28</v>
      </c>
    </row>
    <row r="31" spans="9:38">
      <c r="AC31">
        <v>30</v>
      </c>
      <c r="AD31" t="s">
        <v>1394</v>
      </c>
      <c r="AE31">
        <v>1260</v>
      </c>
      <c r="AK31">
        <v>14.5</v>
      </c>
      <c r="AL31">
        <v>29</v>
      </c>
    </row>
    <row r="32" spans="9:38">
      <c r="AC32">
        <v>31</v>
      </c>
      <c r="AD32" t="s">
        <v>1395</v>
      </c>
      <c r="AE32">
        <v>1290</v>
      </c>
      <c r="AK32">
        <v>15</v>
      </c>
      <c r="AL32">
        <v>30</v>
      </c>
    </row>
    <row r="33" spans="29:38">
      <c r="AC33">
        <v>32</v>
      </c>
      <c r="AD33" t="s">
        <v>1396</v>
      </c>
      <c r="AE33">
        <v>1320</v>
      </c>
      <c r="AK33">
        <v>15.5</v>
      </c>
      <c r="AL33">
        <v>31</v>
      </c>
    </row>
    <row r="34" spans="29:38">
      <c r="AC34">
        <v>33</v>
      </c>
      <c r="AD34" t="s">
        <v>1397</v>
      </c>
      <c r="AE34">
        <v>1350</v>
      </c>
      <c r="AK34">
        <v>16</v>
      </c>
      <c r="AL34">
        <v>32</v>
      </c>
    </row>
    <row r="35" spans="29:38">
      <c r="AC35">
        <v>34</v>
      </c>
      <c r="AD35" t="s">
        <v>1398</v>
      </c>
      <c r="AE35">
        <v>1380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6ebcb90-ac09-4851-ae00-ef226ac9e3b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829646B9AD290408CC1B110F9D29276" ma:contentTypeVersion="10" ma:contentTypeDescription="Create a new document." ma:contentTypeScope="" ma:versionID="88f3803ba1e74b349f06c61b64a8f877">
  <xsd:schema xmlns:xsd="http://www.w3.org/2001/XMLSchema" xmlns:xs="http://www.w3.org/2001/XMLSchema" xmlns:p="http://schemas.microsoft.com/office/2006/metadata/properties" xmlns:ns3="a6ebcb90-ac09-4851-ae00-ef226ac9e3bb" targetNamespace="http://schemas.microsoft.com/office/2006/metadata/properties" ma:root="true" ma:fieldsID="0130344781ba88ebf59f2eb4ae8623f1" ns3:_="">
    <xsd:import namespace="a6ebcb90-ac09-4851-ae00-ef226ac9e3b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bcb90-ac09-4851-ae00-ef226ac9e3b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AF20A54-0AF4-46AA-9E11-AFAF9198C6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B083280-BD49-4F57-8B2E-F0E3A982BD64}">
  <ds:schemaRefs>
    <ds:schemaRef ds:uri="http://schemas.microsoft.com/office/2006/metadata/properties"/>
    <ds:schemaRef ds:uri="http://purl.org/dc/terms/"/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a6ebcb90-ac09-4851-ae00-ef226ac9e3bb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4D616B7-5188-4DE6-9583-70423E1013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ebcb90-ac09-4851-ae00-ef226ac9e3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Programmes</vt:lpstr>
      <vt:lpstr>Courses</vt:lpstr>
      <vt:lpstr>Staff</vt:lpstr>
      <vt:lpstr>FixedLists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Tedjamukti Tobias</dc:creator>
  <cp:keywords/>
  <dc:description/>
  <cp:lastModifiedBy>Tobias Tedjamukti</cp:lastModifiedBy>
  <cp:revision/>
  <dcterms:created xsi:type="dcterms:W3CDTF">2025-09-01T01:06:44Z</dcterms:created>
  <dcterms:modified xsi:type="dcterms:W3CDTF">2025-09-12T22:02:35Z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0x0101000829646B9AD290408CC1B110F9D29276</vt:lpwstr>
  </property>
</Properties>
</file>