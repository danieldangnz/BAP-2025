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emahau-my.sharepoint.com/personal/tedjat1_student_eit_ac_nz/Documents/"/>
    </mc:Choice>
  </mc:AlternateContent>
  <xr:revisionPtr revIDLastSave="531" documentId="8_{66140293-062B-4628-BAA9-87CAD8AF1A88}" xr6:coauthVersionLast="36" xr6:coauthVersionMax="47" xr10:uidLastSave="{77CD2392-ABD5-4944-943A-6C6578FC3976}"/>
  <bookViews>
    <workbookView xWindow="-120" yWindow="-120" windowWidth="25440" windowHeight="15390" tabRatio="565" activeTab="1" xr2:uid="{E20453C3-19A2-469D-B268-F65ECF0FF85C}"/>
  </bookViews>
  <sheets>
    <sheet name="Menu" sheetId="1" r:id="rId1"/>
    <sheet name="Programmes" sheetId="3" r:id="rId2"/>
    <sheet name="FixedLists" sheetId="4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3" l="1"/>
  <c r="G16" i="3" s="1"/>
  <c r="J16" i="3" s="1"/>
  <c r="I16" i="3"/>
  <c r="K16" i="3"/>
  <c r="E15" i="3"/>
  <c r="G15" i="3" s="1"/>
  <c r="J15" i="3" s="1"/>
  <c r="I15" i="3"/>
  <c r="K15" i="3"/>
  <c r="E14" i="3"/>
  <c r="G14" i="3" s="1"/>
  <c r="J14" i="3" s="1"/>
  <c r="I14" i="3"/>
  <c r="K14" i="3"/>
  <c r="E13" i="3" l="1"/>
  <c r="G13" i="3" s="1"/>
  <c r="J13" i="3" s="1"/>
  <c r="I13" i="3"/>
  <c r="K13" i="3"/>
  <c r="K3" i="3" l="1"/>
  <c r="K4" i="3"/>
  <c r="K5" i="3"/>
  <c r="K6" i="3"/>
  <c r="K7" i="3"/>
  <c r="K8" i="3"/>
  <c r="K9" i="3"/>
  <c r="K10" i="3"/>
  <c r="K11" i="3"/>
  <c r="K12" i="3"/>
  <c r="K2" i="3"/>
  <c r="I3" i="3"/>
  <c r="I4" i="3"/>
  <c r="I5" i="3"/>
  <c r="I6" i="3"/>
  <c r="I7" i="3"/>
  <c r="I8" i="3"/>
  <c r="I9" i="3"/>
  <c r="I10" i="3"/>
  <c r="I11" i="3"/>
  <c r="I12" i="3"/>
  <c r="I2" i="3"/>
  <c r="E3" i="3"/>
  <c r="G3" i="3" s="1"/>
  <c r="J3" i="3" s="1"/>
  <c r="E2" i="3"/>
  <c r="G2" i="3" s="1"/>
  <c r="J2" i="3" s="1"/>
  <c r="E4" i="3"/>
  <c r="G4" i="3" s="1"/>
  <c r="J4" i="3" s="1"/>
  <c r="E5" i="3"/>
  <c r="G5" i="3" s="1"/>
  <c r="J5" i="3" s="1"/>
  <c r="E6" i="3"/>
  <c r="G6" i="3" s="1"/>
  <c r="J6" i="3" s="1"/>
  <c r="E7" i="3"/>
  <c r="G7" i="3" s="1"/>
  <c r="J7" i="3" s="1"/>
  <c r="E8" i="3"/>
  <c r="G8" i="3" s="1"/>
  <c r="J8" i="3" s="1"/>
  <c r="E9" i="3"/>
  <c r="G9" i="3" s="1"/>
  <c r="J9" i="3" s="1"/>
  <c r="E10" i="3"/>
  <c r="G10" i="3" s="1"/>
  <c r="J10" i="3" s="1"/>
  <c r="E11" i="3"/>
  <c r="G11" i="3" s="1"/>
  <c r="J11" i="3" s="1"/>
  <c r="E12" i="3"/>
  <c r="G12" i="3" s="1"/>
  <c r="J12" i="3" s="1"/>
</calcChain>
</file>

<file path=xl/sharedStrings.xml><?xml version="1.0" encoding="utf-8"?>
<sst xmlns="http://schemas.openxmlformats.org/spreadsheetml/2006/main" count="300" uniqueCount="223">
  <si>
    <t>Section</t>
  </si>
  <si>
    <t>BRU</t>
  </si>
  <si>
    <t>Business Relationship Unit</t>
  </si>
  <si>
    <t>Business</t>
  </si>
  <si>
    <t>School of Business</t>
  </si>
  <si>
    <t>Comput</t>
  </si>
  <si>
    <t>School of Computing</t>
  </si>
  <si>
    <t>EDSS</t>
  </si>
  <si>
    <t>Education &amp; Social Services</t>
  </si>
  <si>
    <t>ELC</t>
  </si>
  <si>
    <t>English Language Centre</t>
  </si>
  <si>
    <t>FCT</t>
  </si>
  <si>
    <t>Faculty of Commerce &amp; Technology</t>
  </si>
  <si>
    <t>FEHH</t>
  </si>
  <si>
    <t>Faculty of Education, Humanities and Health</t>
  </si>
  <si>
    <t>HlthSportSci</t>
  </si>
  <si>
    <t>School of Health &amp; Sport Sciences</t>
  </si>
  <si>
    <t>IS</t>
  </si>
  <si>
    <t>IdeaSchool</t>
  </si>
  <si>
    <t>Nursing</t>
  </si>
  <si>
    <t>School of Nursing</t>
  </si>
  <si>
    <t>SPI</t>
  </si>
  <si>
    <t>School of Primary Industries</t>
  </si>
  <si>
    <t>TC</t>
  </si>
  <si>
    <t>Tairawhiti</t>
  </si>
  <si>
    <t>Toiho</t>
  </si>
  <si>
    <t>Toihoukura</t>
  </si>
  <si>
    <t>TourHosp</t>
  </si>
  <si>
    <t>School of Tourism and Hospitality</t>
  </si>
  <si>
    <t>TradeTech</t>
  </si>
  <si>
    <t>School of Trades &amp; Technology</t>
  </si>
  <si>
    <t>TUW</t>
  </si>
  <si>
    <t>School of Te Uranga Waka</t>
  </si>
  <si>
    <t>VET</t>
  </si>
  <si>
    <t>Centre for Veterinary Nursing</t>
  </si>
  <si>
    <t>Vit &amp; Wine</t>
  </si>
  <si>
    <t>School of Vit &amp; Wine</t>
  </si>
  <si>
    <t>Bachelor of Business Studies</t>
  </si>
  <si>
    <t>BBS</t>
  </si>
  <si>
    <t>HB</t>
  </si>
  <si>
    <t>Feb</t>
  </si>
  <si>
    <t>Taradale</t>
  </si>
  <si>
    <t>Palmerston Rd</t>
  </si>
  <si>
    <t>Bachelor of Accounting</t>
  </si>
  <si>
    <t>BoA</t>
  </si>
  <si>
    <t>SS</t>
  </si>
  <si>
    <t>Stout St</t>
  </si>
  <si>
    <t>W</t>
  </si>
  <si>
    <t>Jul</t>
  </si>
  <si>
    <t>Wairoa</t>
  </si>
  <si>
    <t>New Zealand Certificate in Business (Accounting Support Services) (L4)</t>
  </si>
  <si>
    <t>CBASS</t>
  </si>
  <si>
    <t>New Zealand Diploma in Business L5</t>
  </si>
  <si>
    <t>NZDB</t>
  </si>
  <si>
    <t>School-based Activities</t>
  </si>
  <si>
    <t>SBA</t>
  </si>
  <si>
    <t>Test Programme</t>
  </si>
  <si>
    <t>Test</t>
  </si>
  <si>
    <t>1</t>
  </si>
  <si>
    <t>ID</t>
  </si>
  <si>
    <t>Type</t>
  </si>
  <si>
    <t>Code</t>
  </si>
  <si>
    <t>Lecture</t>
  </si>
  <si>
    <t>Lec</t>
  </si>
  <si>
    <t>Tutorial</t>
  </si>
  <si>
    <t>Tut</t>
  </si>
  <si>
    <t>Lab</t>
  </si>
  <si>
    <t>Workshop</t>
  </si>
  <si>
    <t>Wkshp</t>
  </si>
  <si>
    <t>Offsite</t>
  </si>
  <si>
    <t>Off</t>
  </si>
  <si>
    <t>Other</t>
  </si>
  <si>
    <t>O</t>
  </si>
  <si>
    <t>Exam</t>
  </si>
  <si>
    <t>Assessment</t>
  </si>
  <si>
    <t>Assess</t>
  </si>
  <si>
    <t>Practical</t>
  </si>
  <si>
    <t>Prac</t>
  </si>
  <si>
    <t>Self Directed Session</t>
  </si>
  <si>
    <t>SD</t>
  </si>
  <si>
    <t>Clinic</t>
  </si>
  <si>
    <t>Online</t>
  </si>
  <si>
    <t>OL</t>
  </si>
  <si>
    <t>Noho</t>
  </si>
  <si>
    <t>0</t>
  </si>
  <si>
    <t>Pregion</t>
  </si>
  <si>
    <t>FullProgCode</t>
  </si>
  <si>
    <t>FullPDescript</t>
  </si>
  <si>
    <t>ProgStudSet</t>
  </si>
  <si>
    <t>Prog1Code</t>
  </si>
  <si>
    <t>CampusName</t>
  </si>
  <si>
    <t>CampusCode</t>
  </si>
  <si>
    <t>-</t>
  </si>
  <si>
    <t>Hastings</t>
  </si>
  <si>
    <t>H</t>
  </si>
  <si>
    <t>Waipukurau</t>
  </si>
  <si>
    <t>CHB</t>
  </si>
  <si>
    <t>Ruatoria</t>
  </si>
  <si>
    <t>R</t>
  </si>
  <si>
    <t>Auckland</t>
  </si>
  <si>
    <t>AK</t>
  </si>
  <si>
    <t>ISH</t>
  </si>
  <si>
    <t>Maraenui</t>
  </si>
  <si>
    <t>M</t>
  </si>
  <si>
    <t>Tokomaru</t>
  </si>
  <si>
    <t>Tk</t>
  </si>
  <si>
    <t>NA</t>
  </si>
  <si>
    <t>Alternate Sites HB</t>
  </si>
  <si>
    <t>AS</t>
  </si>
  <si>
    <t>HolidayID</t>
  </si>
  <si>
    <t>Cancel the activity</t>
  </si>
  <si>
    <t>Ignore the holiday</t>
  </si>
  <si>
    <t>Reschedule to another day/week</t>
  </si>
  <si>
    <t>RoomType</t>
  </si>
  <si>
    <t>RoomLabel</t>
  </si>
  <si>
    <t>Computer</t>
  </si>
  <si>
    <t>- Computer</t>
  </si>
  <si>
    <t>- Lecture</t>
  </si>
  <si>
    <t>-Workshop</t>
  </si>
  <si>
    <t>-Offsite</t>
  </si>
  <si>
    <t>Specialist</t>
  </si>
  <si>
    <t>-Specialist</t>
  </si>
  <si>
    <t>Classroom</t>
  </si>
  <si>
    <t>- Classroom</t>
  </si>
  <si>
    <t>No Room Required</t>
  </si>
  <si>
    <t>- No Room Required</t>
  </si>
  <si>
    <t>Laboratory</t>
  </si>
  <si>
    <t>-Laboratory</t>
  </si>
  <si>
    <t>Type of Room</t>
  </si>
  <si>
    <t>Intake</t>
  </si>
  <si>
    <t>2</t>
  </si>
  <si>
    <t>3</t>
  </si>
  <si>
    <t>4</t>
  </si>
  <si>
    <t>5</t>
  </si>
  <si>
    <t>6</t>
  </si>
  <si>
    <t>7</t>
  </si>
  <si>
    <t>Jan</t>
  </si>
  <si>
    <t>Mar</t>
  </si>
  <si>
    <t>Apr</t>
  </si>
  <si>
    <t>May</t>
  </si>
  <si>
    <t>Jun</t>
  </si>
  <si>
    <t>Aug</t>
  </si>
  <si>
    <t>Sept</t>
  </si>
  <si>
    <t>Oct</t>
  </si>
  <si>
    <t>Nov</t>
  </si>
  <si>
    <t>Dec</t>
  </si>
  <si>
    <t>Apr24</t>
  </si>
  <si>
    <t>May24</t>
  </si>
  <si>
    <t>Jun24</t>
  </si>
  <si>
    <t>Jul24</t>
  </si>
  <si>
    <t>Aug24</t>
  </si>
  <si>
    <t>Sept24</t>
  </si>
  <si>
    <t>Oct24</t>
  </si>
  <si>
    <t>Nov24</t>
  </si>
  <si>
    <t>Dec24</t>
  </si>
  <si>
    <t>Time</t>
  </si>
  <si>
    <t>SPlusTime</t>
  </si>
  <si>
    <t>None</t>
  </si>
  <si>
    <t>07:00</t>
  </si>
  <si>
    <t>07:30</t>
  </si>
  <si>
    <t>08:00</t>
  </si>
  <si>
    <t>08:30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</si>
  <si>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</si>
  <si>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</si>
  <si>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</si>
  <si>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</si>
  <si>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</si>
  <si>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</si>
  <si>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</si>
  <si>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</si>
  <si>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</si>
  <si>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</si>
  <si>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</si>
  <si>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</si>
  <si>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</si>
  <si>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</si>
  <si>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</si>
  <si>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</si>
  <si>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17:00</t>
  </si>
  <si>
    <t>17:30</t>
  </si>
  <si>
    <t>18:00</t>
  </si>
  <si>
    <t>18:30</t>
  </si>
  <si>
    <t>19:00</t>
  </si>
  <si>
    <t>19:30</t>
  </si>
  <si>
    <t>20:00</t>
  </si>
  <si>
    <t>20:30</t>
  </si>
  <si>
    <t>21:00</t>
  </si>
  <si>
    <t>21:30</t>
  </si>
  <si>
    <t>22:00</t>
  </si>
  <si>
    <t>22:30</t>
  </si>
  <si>
    <t>23:00</t>
  </si>
  <si>
    <t>Status</t>
  </si>
  <si>
    <t>Working</t>
  </si>
  <si>
    <t>Completed</t>
  </si>
  <si>
    <t>Duration</t>
  </si>
  <si>
    <t>Periods</t>
  </si>
  <si>
    <t>Same Time</t>
  </si>
  <si>
    <t xml:space="preserve">Make this the same time </t>
  </si>
  <si>
    <t xml:space="preserve">Same time not needed </t>
  </si>
  <si>
    <t>RoomTypeInfo</t>
  </si>
  <si>
    <t>Computer rooms generally have the same software so do not require attributes to be selected.  Any non-standard software can be listed in Other Details.</t>
  </si>
  <si>
    <t>This Activity needs the following lab type.</t>
  </si>
  <si>
    <t>This Activity needs the following Workshop.</t>
  </si>
  <si>
    <t>This Activity needs the following type of Specialist space.</t>
  </si>
  <si>
    <t>Lecture spaces are all tiered and have the same equipment so do not require attributes to be selected.</t>
  </si>
  <si>
    <t>Select from here if this activity needs more than the standard Whiteboard, Data Projector or TV.</t>
  </si>
  <si>
    <t>Action</t>
  </si>
  <si>
    <t>Campus</t>
  </si>
  <si>
    <t>Programme Title</t>
  </si>
  <si>
    <t>SectionID</t>
  </si>
  <si>
    <t>SectionCode</t>
  </si>
  <si>
    <t>School of Test</t>
  </si>
  <si>
    <t>Test2</t>
  </si>
  <si>
    <t>Second school test</t>
  </si>
  <si>
    <t>Base Code</t>
  </si>
  <si>
    <t>Changed</t>
  </si>
  <si>
    <t>cha</t>
  </si>
  <si>
    <t>Second Create Test</t>
  </si>
  <si>
    <t>puiop</t>
  </si>
  <si>
    <t>SoN</t>
  </si>
  <si>
    <t>dfghdfghdfghdfgh</t>
  </si>
  <si>
    <t>dfgh</t>
  </si>
  <si>
    <t>vbnmvbnm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</si>
</sst>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20"/>
      <color rgb="FF000000"/>
      <name val="Arial"/>
      <family val="2"/>
    </font>
    <font>
      <sz val="11"/>
      <color theme="0"/>
      <name val="Aptos Narrow"/>
      <scheme val="minor"/>
    </font>
    <font>
      <sz val="11"/>
      <color theme="1"/>
      <name val="Aptos Narrow"/>
      <scheme val="minor"/>
    </font>
    <font>
      <sz val="11"/>
      <color indexed="8"/>
      <name val="Aptos Narrow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3" fillId="0" borderId="0"/>
  </cellStyleXfs>
  <cellXfs count="15">
    <xf numFmtId="0" fontId="0" fillId="0" borderId="0" xfId="0"/>
    <xf numFmtId="1" fontId="2" fillId="0" borderId="0" xfId="3" applyNumberFormat="1" applyFont="1" applyAlignment="1">
      <alignment horizontal="right"/>
    </xf>
    <xf numFmtId="0" fontId="2" fillId="0" borderId="0" xfId="3" applyFont="1"/>
    <xf numFmtId="1" fontId="2" fillId="0" borderId="0" xfId="3" applyNumberFormat="1" applyFont="1" applyAlignment="1">
      <alignment horizontal="center"/>
    </xf>
    <xf numFmtId="0" fontId="2" fillId="0" borderId="0" xfId="3" applyFont="1" applyAlignment="1">
      <alignment horizontal="center"/>
    </xf>
    <xf numFmtId="0" fontId="5" fillId="0" borderId="0" xfId="3" applyFont="1" applyAlignment="1">
      <alignment horizontal="center"/>
    </xf>
    <xf numFmtId="0" fontId="6" fillId="0" borderId="0" xfId="0" applyFont="1"/>
    <xf numFmtId="0" fontId="7" fillId="0" borderId="0" xfId="3" applyFont="1"/>
    <xf numFmtId="9" fontId="5" fillId="0" borderId="0" xfId="1" applyFont="1" applyFill="1" applyBorder="1" applyAlignment="1">
      <alignment horizontal="center"/>
    </xf>
    <xf numFmtId="1" fontId="7" fillId="0" borderId="0" xfId="1" applyNumberFormat="1" applyFont="1" applyFill="1" applyBorder="1" applyAlignment="1">
      <alignment horizontal="right"/>
    </xf>
    <xf numFmtId="9" fontId="7" fillId="0" borderId="0" xfId="1" applyFont="1" applyFill="1" applyBorder="1" applyAlignment="1"/>
    <xf numFmtId="1" fontId="7" fillId="0" borderId="0" xfId="2" applyNumberFormat="1" applyFont="1" applyAlignment="1">
      <alignment horizontal="right"/>
    </xf>
    <xf numFmtId="0" fontId="7" fillId="0" borderId="0" xfId="2" applyFont="1"/>
    <xf numFmtId="0" fontId="0" fillId="0" borderId="0" xfId="0" applyNumberFormat="1"/>
    <xf numFmtId="0" fontId="0" fillId="2" borderId="0" xfId="0" applyFill="1"/>
  </cellXfs>
  <cellStyles count="4">
    <cellStyle name="Normal" xfId="0" builtinId="0"/>
    <cellStyle name="Normal_Sections" xfId="3" xr:uid="{E722CE45-A1A4-470B-A637-19233E351694}"/>
    <cellStyle name="Normal_Sheet1" xfId="2" xr:uid="{2AC9400E-742E-4B2C-B2BF-2B29F9B92980}"/>
    <cellStyle name="Percent" xfId="1" builtinId="5"/>
  </cellStyles>
  <dxfs count="10">
    <dxf>
      <font>
        <strike val="0"/>
        <outline val="0"/>
        <shadow val="0"/>
        <u val="none"/>
        <vertAlign val="baseline"/>
        <sz val="11"/>
        <name val="Aptos Narrow"/>
        <scheme val="minor"/>
      </font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</dxf>
  </dxfs>
  <tableStyles count="0" defaultTableStyle="TableStyleMedium2" defaultPivotStyle="PivotStyleLight16"/>
  <colors>
    <mruColors>
      <color rgb="FF1E4CCC"/>
      <color rgb="FF132F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7</xdr:row>
          <xdr:rowOff>152400</xdr:rowOff>
        </xdr:from>
        <xdr:to>
          <xdr:col>4</xdr:col>
          <xdr:colOff>419100</xdr:colOff>
          <xdr:row>11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NZ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Programme Information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9</xdr:col>
      <xdr:colOff>476250</xdr:colOff>
      <xdr:row>5</xdr:row>
      <xdr:rowOff>9525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6648450" cy="914400"/>
        </a:xfrm>
        <a:prstGeom prst="rect">
          <a:avLst/>
        </a:prstGeom>
        <a:solidFill>
          <a:srgbClr val="132F7F"/>
        </a:solidFill>
        <a:ln>
          <a:solidFill>
            <a:srgbClr val="1E4C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2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TIGrS</a:t>
          </a:r>
          <a:r>
            <a:rPr lang="en-NZ" sz="20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Excel</a:t>
          </a:r>
          <a:endParaRPr lang="en-NZ" sz="20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oneCellAnchor>
    <xdr:from>
      <xdr:col>5</xdr:col>
      <xdr:colOff>161925</xdr:colOff>
      <xdr:row>8</xdr:row>
      <xdr:rowOff>95249</xdr:rowOff>
    </xdr:from>
    <xdr:ext cx="2838450" cy="43678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590925" y="1543049"/>
          <a:ext cx="283845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NZ" sz="1100"/>
            <a:t>View and work</a:t>
          </a:r>
          <a:r>
            <a:rPr lang="en-NZ" sz="1100" baseline="0"/>
            <a:t> on exisitng Programmes, or add in  new Programmes</a:t>
          </a:r>
          <a:endParaRPr lang="en-NZ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C2F82E7-90E0-486C-AB33-B1C042DB3A45}" name="tblProg" displayName="tblProg" ref="A1:K16" totalsRowShown="0">
  <autoFilter ref="A1:K16" xr:uid="{0C2F82E7-90E0-486C-AB33-B1C042DB3A45}"/>
  <tableColumns count="11">
    <tableColumn id="1" xr3:uid="{74E3ECB3-4ABF-4FE9-9AC9-EC5796A63669}" name="0"/>
    <tableColumn id="2" xr3:uid="{2592758F-8694-434C-9CA4-2034AE01F356}" name="SectionID"/>
    <tableColumn id="3" xr3:uid="{814FF368-9E97-4B7C-8356-99A3F64C19AA}" name="Programme Title"/>
    <tableColumn id="4" xr3:uid="{E256FC7A-675F-48DE-B5E6-15F073BB53DE}" name="Base Code"/>
    <tableColumn id="5" xr3:uid="{66E588D3-7305-437B-9066-5D1FA560CF46}" name="Pregion" dataDxfId="9">
      <calculatedColumnFormula>INDEX(tblCampus[CampusCode], MATCH(tblProg[[#This Row],[Campus]], tblCampus[CampusName], 0))</calculatedColumnFormula>
    </tableColumn>
    <tableColumn id="6" xr3:uid="{43653B84-2094-4BFA-8024-CE0FB40630D0}" name="Intake"/>
    <tableColumn id="7" xr3:uid="{CFA0F65C-0CAA-4789-94B2-F02EBF0A0FF2}" name="FullProgCode">
      <calculatedColumnFormula>tblProg[[#This Row],[Base Code]]&amp;"/"&amp;tblProg[[#This Row],[Pregion]]&amp;"/"&amp;tblProg[[#This Row],[Intake]]</calculatedColumnFormula>
    </tableColumn>
    <tableColumn id="8" xr3:uid="{F2D8136E-BEF2-4147-8557-782CF927BB68}" name="Campus"/>
    <tableColumn id="9" xr3:uid="{6100F85F-297F-45E8-A63A-45958634F2A8}" name="FullPDescript">
      <calculatedColumnFormula>tblProg[[#This Row],[Programme Title]]&amp;" - "&amp;tblProg[[#This Row],[Campus]]&amp;" - "&amp;tblProg[[#This Row],[Intake]]</calculatedColumnFormula>
    </tableColumn>
    <tableColumn id="10" xr3:uid="{0770842F-8422-4369-B412-E1248C6A1A3A}" name="ProgStudSet">
      <calculatedColumnFormula>tblProg[[#This Row],[FullProgCode]]&amp;"/1"</calculatedColumnFormula>
    </tableColumn>
    <tableColumn id="11" xr3:uid="{8B03DD60-6694-41DB-ADE5-98712D72F343}" name="Prog1Code">
      <calculatedColumnFormula>tblProg[[#This Row],[Base Code]]&amp;"/"&amp;tblProg[[#This Row],[Campus]]&amp;"/"&amp;tblProg[[#This Row],[Intake]]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A927ABD-64A4-49E4-A5E6-FA07D296197E}" name="tblSection" displayName="tblSection" ref="X1:Z21" totalsRowShown="0">
  <autoFilter ref="X1:Z21" xr:uid="{9A927ABD-64A4-49E4-A5E6-FA07D296197E}"/>
  <tableColumns count="3">
    <tableColumn id="1" xr3:uid="{91A2B393-49D7-4392-98CF-196ED98CE14B}" name="SectionID"/>
    <tableColumn id="2" xr3:uid="{4F863ED3-F0D5-4B0B-9A48-61729D1FFF05}" name="SectionCode"/>
    <tableColumn id="3" xr3:uid="{0AB797A3-2653-498E-97C0-7742A94D746B}" name="Sec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A800F3D-03BB-499C-A976-F94FA359D525}" name="tblActType" displayName="tblActType" ref="A1:C15" totalsRowShown="0" headerRowDxfId="8" dataDxfId="7" headerRowCellStyle="Percent">
  <autoFilter ref="A1:C15" xr:uid="{DB998D92-321B-4589-BA95-71FEB2C79293}"/>
  <tableColumns count="3">
    <tableColumn id="1" xr3:uid="{3E069DB2-B125-40E7-BF51-63949776F327}" name="ID" dataDxfId="6" dataCellStyle="Normal_Sheet1"/>
    <tableColumn id="2" xr3:uid="{2CCF351F-760C-430A-8F46-280DE1060AA0}" name="Type" dataDxfId="5" dataCellStyle="Normal_Sheet1"/>
    <tableColumn id="3" xr3:uid="{CA2126F8-68CE-4906-AA64-F92EB3EFD5D6}" name="Code" dataDxfId="4" dataCellStyle="Normal_Sheet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4C2FEE-31B3-4295-8AA9-2F855E1D3850}" name="tblCampus" displayName="tblCampus" ref="F1:H16" totalsRowShown="0">
  <autoFilter ref="F1:H16" xr:uid="{BEE3FDA9-DF33-4F36-9A00-EDF969C9EADE}"/>
  <tableColumns count="3">
    <tableColumn id="1" xr3:uid="{F653BA79-ACB6-4D75-8569-D5646A119457}" name="ID"/>
    <tableColumn id="2" xr3:uid="{69E1D8C5-63B8-4D62-A1D1-6EC8FA4E527A}" name="CampusName"/>
    <tableColumn id="3" xr3:uid="{2D9DB53E-AB7A-4766-8848-B51ABCD8AA3D}" name="CampusCod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594178-AB39-4E2D-BC17-E9EF1561CBA7}" name="tblHoliday" displayName="tblHoliday" ref="K1:L4" totalsRowShown="0" headerRowDxfId="3" dataDxfId="2">
  <autoFilter ref="K1:L4" xr:uid="{85D26F3C-D53C-4837-A72A-DB6CC6FFBB4D}"/>
  <tableColumns count="2">
    <tableColumn id="1" xr3:uid="{9832D07C-4E3C-4F18-B276-FC433E8AD827}" name="HolidayID" dataDxfId="1"/>
    <tableColumn id="2" xr3:uid="{6427AA4C-7304-452B-AB6C-B07BF27D8FCC}" name="Action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B172411-D914-4328-82A1-A82FAC6CA87E}" name="tblRmType" displayName="tblRmType" ref="O1:Q10" totalsRowShown="0">
  <autoFilter ref="O1:Q10" xr:uid="{1C9BA570-EB09-4247-915D-60A28AF944F3}"/>
  <tableColumns count="3">
    <tableColumn id="1" xr3:uid="{3AB6F9AD-DD68-4851-969C-1FC131AC2063}" name="ID"/>
    <tableColumn id="2" xr3:uid="{A2F03370-E6A9-4792-8FBE-785AFF99DA98}" name="RoomType"/>
    <tableColumn id="3" xr3:uid="{75AB00D3-ABE8-4E8E-8486-041B62BB3E62}" name="RoomLabe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D3CEB72-88D5-4CB3-A229-3A2D50F47F5B}" name="tblIntake" displayName="tblIntake" ref="T1:U30" totalsRowShown="0">
  <autoFilter ref="T1:U30" xr:uid="{A27A9A48-030B-4C5B-B9BD-298EDEABBE0E}"/>
  <tableColumns count="2">
    <tableColumn id="1" xr3:uid="{DB848C80-6102-46EC-875C-BCD686E39FA3}" name="ID"/>
    <tableColumn id="2" xr3:uid="{7457A113-A513-41F9-9FAE-42C4761E4670}" name="Intak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E7FDAEB-891B-4237-8212-5E0D13901031}" name="tblTime" displayName="tblTime" ref="AC1:AE35" totalsRowShown="0">
  <autoFilter ref="AC1:AE35" xr:uid="{D3820957-203B-48BF-AF75-D20EACE7ADDD}"/>
  <tableColumns count="3">
    <tableColumn id="1" xr3:uid="{987DDE5D-AF95-499E-A086-DE31D951BFE2}" name="ID"/>
    <tableColumn id="2" xr3:uid="{4C14D287-E89E-41E0-A103-D046295FA4B7}" name="Time"/>
    <tableColumn id="3" xr3:uid="{BB5B0A29-7362-4A02-B736-C462889667A7}" name="SPlusTim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24EDE56-7CD2-4C38-A909-0C80B09AFF49}" name="tblDuration" displayName="tblDuration" ref="AK1:AL34" totalsRowShown="0">
  <autoFilter ref="AK1:AL34" xr:uid="{777579DB-25A1-4B7E-877F-D634D456DBF2}"/>
  <tableColumns count="2">
    <tableColumn id="1" xr3:uid="{342AB58F-D987-494D-9850-A107EEAD57B7}" name="Duration"/>
    <tableColumn id="2" xr3:uid="{42F96933-EF97-45DF-A374-5E63022E39C8}" name="Period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47B7A64-C5E1-4568-9A32-E9845F6E94D4}" name="tblSameTime" displayName="tblSameTime" ref="AO1:AO3" totalsRowShown="0">
  <autoFilter ref="AO1:AO3" xr:uid="{355E0AE8-8E47-4A1B-B18D-49A285522D2B}"/>
  <tableColumns count="1">
    <tableColumn id="1" xr3:uid="{776506B3-DA2A-4019-9EAC-DF507D18DFBA}" name="Same Tim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64BB9C6-43FF-43EE-A1E1-E58B1096B15C}" name="tblRmTypeInfo" displayName="tblRmTypeInfo" ref="AR1:AR7" totalsRowShown="0">
  <autoFilter ref="AR1:AR7" xr:uid="{E6124023-516A-473D-82AD-1E5D22165CF2}"/>
  <tableColumns count="1">
    <tableColumn id="1" xr3:uid="{1C685634-D30D-4010-8DBD-D5006267E833}" name="RoomTypeInfo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4AE6744-4052-490D-BE97-171E3EE7F695}" name="tblStatus" displayName="tblStatus" ref="AH1:AH3" totalsRowShown="0">
  <autoFilter ref="AH1:AH3" xr:uid="{3998A05B-E18F-4AC5-B8A8-39F9B39D881E}"/>
  <tableColumns count="1">
    <tableColumn id="1" xr3:uid="{0315E833-4417-4801-823F-73CC68EC641E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C53D-03A4-4595-BE06-3E08C6DCDBA1}">
  <sheetPr codeName="Menu"/>
  <dimension ref="A1"/>
  <sheetViews>
    <sheetView workbookViewId="0">
      <selection activeCell="J18" sqref="J18"/>
    </sheetView>
  </sheetViews>
  <sheetFormatPr defaultRowHeight="14.25"/>
  <cols>
    <col min="1" max="16384" width="9" style="14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FrmProgMain">
                <anchor moveWithCells="1">
                  <from>
                    <xdr:col>0</xdr:col>
                    <xdr:colOff>323850</xdr:colOff>
                    <xdr:row>7</xdr:row>
                    <xdr:rowOff>152400</xdr:rowOff>
                  </from>
                  <to>
                    <xdr:col>4</xdr:col>
                    <xdr:colOff>419100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8D32A-2E22-4BDF-9B69-DD3C5D94DD0D}">
  <sheetPr codeName="Programmes"/>
  <dimension ref="A1:K16"/>
  <sheetViews>
    <sheetView tabSelected="1" workbookViewId="0">
      <selection activeCell="B13" sqref="B13"/>
    </sheetView>
  </sheetViews>
  <sheetFormatPr defaultRowHeight="14.25"/>
  <cols>
    <col min="1" max="1" width="7" bestFit="1" customWidth="1"/>
    <col min="2" max="2" width="15.75" customWidth="1"/>
    <col min="3" max="3" width="64.375" bestFit="1" customWidth="1"/>
    <col min="4" max="4" width="12.875" bestFit="1" customWidth="1"/>
    <col min="5" max="5" width="10" customWidth="1"/>
    <col min="6" max="6" width="6.375" customWidth="1"/>
    <col min="7" max="7" width="15.25" customWidth="1"/>
    <col min="8" max="8" width="14" bestFit="1" customWidth="1"/>
    <col min="9" max="9" width="79" bestFit="1" customWidth="1"/>
    <col min="10" max="10" width="15.25" bestFit="1" customWidth="1"/>
    <col min="11" max="11" width="23.75" bestFit="1" customWidth="1"/>
  </cols>
  <sheetData>
    <row r="1" spans="1:11">
      <c r="A1" t="s">
        <v>84</v>
      </c>
      <c r="B1" t="s">
        <v>209</v>
      </c>
      <c r="C1" t="s">
        <v>208</v>
      </c>
      <c r="D1" t="s">
        <v>214</v>
      </c>
      <c r="E1" t="s">
        <v>85</v>
      </c>
      <c r="F1" t="s">
        <v>129</v>
      </c>
      <c r="G1" t="s">
        <v>86</v>
      </c>
      <c r="H1" t="s">
        <v>207</v>
      </c>
      <c r="I1" t="s">
        <v>87</v>
      </c>
      <c r="J1" t="s">
        <v>88</v>
      </c>
      <c r="K1" t="s">
        <v>89</v>
      </c>
    </row>
    <row r="2" spans="1:11">
      <c r="A2">
        <v>72</v>
      </c>
      <c r="B2" t="s">
        <v>3</v>
      </c>
      <c r="C2" t="s">
        <v>37</v>
      </c>
      <c r="D2" t="s">
        <v>38</v>
      </c>
      <c r="E2" t="str">
        <f>INDEX(tblCampus[CampusCode], MATCH(tblProg[[#This Row],[Campus]], tblCampus[CampusName], 0))</f>
        <v>HB</v>
      </c>
      <c r="F2" t="s">
        <v>40</v>
      </c>
      <c r="G2" t="str">
        <f>tblProg[[#This Row],[Base Code]]&amp;"/"&amp;tblProg[[#This Row],[Pregion]]&amp;"/"&amp;tblProg[[#This Row],[Intake]]</f>
        <v>BBS/HB/Feb</v>
      </c>
      <c r="H2" t="s">
        <v>41</v>
      </c>
      <c r="I2" t="str">
        <f>tblProg[[#This Row],[Programme Title]]&amp;" - "&amp;tblProg[[#This Row],[Campus]]&amp;" - "&amp;tblProg[[#This Row],[Intake]]</f>
        <v>Bachelor of Business Studies - Taradale - Feb</v>
      </c>
      <c r="J2" t="str">
        <f>tblProg[[#This Row],[FullProgCode]]&amp;"/1"</f>
        <v>BBS/HB/Feb/1</v>
      </c>
      <c r="K2" t="str">
        <f>tblProg[[#This Row],[Base Code]]&amp;"/"&amp;tblProg[[#This Row],[Campus]]&amp;"/"&amp;tblProg[[#This Row],[Intake]]</f>
        <v>BBS/Taradale/Feb</v>
      </c>
    </row>
    <row r="3" spans="1:11">
      <c r="A3">
        <v>73</v>
      </c>
      <c r="B3" t="s">
        <v>3</v>
      </c>
      <c r="C3" t="s">
        <v>37</v>
      </c>
      <c r="D3" t="s">
        <v>38</v>
      </c>
      <c r="E3" t="str">
        <f>INDEX(tblCampus[CampusCode], MATCH(tblProg[[#This Row],[Campus]], tblCampus[CampusName], 0))</f>
        <v>TC</v>
      </c>
      <c r="F3" t="s">
        <v>40</v>
      </c>
      <c r="G3" t="str">
        <f>tblProg[[#This Row],[Base Code]]&amp;"/"&amp;tblProg[[#This Row],[Pregion]]&amp;"/"&amp;tblProg[[#This Row],[Intake]]</f>
        <v>BBS/TC/Feb</v>
      </c>
      <c r="H3" t="s">
        <v>42</v>
      </c>
      <c r="I3" t="str">
        <f>tblProg[[#This Row],[Programme Title]]&amp;" - "&amp;tblProg[[#This Row],[Campus]]&amp;" - "&amp;tblProg[[#This Row],[Intake]]</f>
        <v>Bachelor of Business Studies - Palmerston Rd - Feb</v>
      </c>
      <c r="J3" t="str">
        <f>tblProg[[#This Row],[FullProgCode]]&amp;"/1"</f>
        <v>BBS/TC/Feb/1</v>
      </c>
      <c r="K3" t="str">
        <f>tblProg[[#This Row],[Base Code]]&amp;"/"&amp;tblProg[[#This Row],[Campus]]&amp;"/"&amp;tblProg[[#This Row],[Intake]]</f>
        <v>BBS/Palmerston Rd/Feb</v>
      </c>
    </row>
    <row r="4" spans="1:11">
      <c r="A4">
        <v>100001</v>
      </c>
      <c r="B4" t="s">
        <v>3</v>
      </c>
      <c r="C4" t="s">
        <v>43</v>
      </c>
      <c r="D4" t="s">
        <v>44</v>
      </c>
      <c r="E4" t="str">
        <f>INDEX(tblCampus[CampusCode], MATCH(tblProg[[#This Row],[Campus]], tblCampus[CampusName], 0))</f>
        <v>HB</v>
      </c>
      <c r="F4" t="s">
        <v>40</v>
      </c>
      <c r="G4" t="str">
        <f>tblProg[[#This Row],[Base Code]]&amp;"/"&amp;tblProg[[#This Row],[Pregion]]&amp;"/"&amp;tblProg[[#This Row],[Intake]]</f>
        <v>BoA/HB/Feb</v>
      </c>
      <c r="H4" t="s">
        <v>41</v>
      </c>
      <c r="I4" t="str">
        <f>tblProg[[#This Row],[Programme Title]]&amp;" - "&amp;tblProg[[#This Row],[Campus]]&amp;" - "&amp;tblProg[[#This Row],[Intake]]</f>
        <v>Bachelor of Accounting - Taradale - Feb</v>
      </c>
      <c r="J4" t="str">
        <f>tblProg[[#This Row],[FullProgCode]]&amp;"/1"</f>
        <v>BoA/HB/Feb/1</v>
      </c>
      <c r="K4" t="str">
        <f>tblProg[[#This Row],[Base Code]]&amp;"/"&amp;tblProg[[#This Row],[Campus]]&amp;"/"&amp;tblProg[[#This Row],[Intake]]</f>
        <v>BoA/Taradale/Feb</v>
      </c>
    </row>
    <row r="5" spans="1:11">
      <c r="A5">
        <v>100002</v>
      </c>
      <c r="B5" t="s">
        <v>3</v>
      </c>
      <c r="C5" t="s">
        <v>43</v>
      </c>
      <c r="D5" t="s">
        <v>44</v>
      </c>
      <c r="E5" t="str">
        <f>INDEX(tblCampus[CampusCode], MATCH(tblProg[[#This Row],[Campus]], tblCampus[CampusName], 0))</f>
        <v>SS</v>
      </c>
      <c r="F5" t="s">
        <v>40</v>
      </c>
      <c r="G5" t="str">
        <f>tblProg[[#This Row],[Base Code]]&amp;"/"&amp;tblProg[[#This Row],[Pregion]]&amp;"/"&amp;tblProg[[#This Row],[Intake]]</f>
        <v>BoA/SS/Feb</v>
      </c>
      <c r="H5" t="s">
        <v>46</v>
      </c>
      <c r="I5" t="str">
        <f>tblProg[[#This Row],[Programme Title]]&amp;" - "&amp;tblProg[[#This Row],[Campus]]&amp;" - "&amp;tblProg[[#This Row],[Intake]]</f>
        <v>Bachelor of Accounting - Stout St - Feb</v>
      </c>
      <c r="J5" t="str">
        <f>tblProg[[#This Row],[FullProgCode]]&amp;"/1"</f>
        <v>BoA/SS/Feb/1</v>
      </c>
      <c r="K5" t="str">
        <f>tblProg[[#This Row],[Base Code]]&amp;"/"&amp;tblProg[[#This Row],[Campus]]&amp;"/"&amp;tblProg[[#This Row],[Intake]]</f>
        <v>BoA/Stout St/Feb</v>
      </c>
    </row>
    <row r="6" spans="1:11">
      <c r="A6">
        <v>100007</v>
      </c>
      <c r="B6" t="s">
        <v>3</v>
      </c>
      <c r="C6" t="s">
        <v>43</v>
      </c>
      <c r="D6" t="s">
        <v>44</v>
      </c>
      <c r="E6" t="str">
        <f>INDEX(tblCampus[CampusCode], MATCH(tblProg[[#This Row],[Campus]], tblCampus[CampusName], 0))</f>
        <v>W</v>
      </c>
      <c r="F6" t="s">
        <v>48</v>
      </c>
      <c r="G6" t="str">
        <f>tblProg[[#This Row],[Base Code]]&amp;"/"&amp;tblProg[[#This Row],[Pregion]]&amp;"/"&amp;tblProg[[#This Row],[Intake]]</f>
        <v>BoA/W/Jul</v>
      </c>
      <c r="H6" t="s">
        <v>49</v>
      </c>
      <c r="I6" t="str">
        <f>tblProg[[#This Row],[Programme Title]]&amp;" - "&amp;tblProg[[#This Row],[Campus]]&amp;" - "&amp;tblProg[[#This Row],[Intake]]</f>
        <v>Bachelor of Accounting - Wairoa - Jul</v>
      </c>
      <c r="J6" t="str">
        <f>tblProg[[#This Row],[FullProgCode]]&amp;"/1"</f>
        <v>BoA/W/Jul/1</v>
      </c>
      <c r="K6" t="str">
        <f>tblProg[[#This Row],[Base Code]]&amp;"/"&amp;tblProg[[#This Row],[Campus]]&amp;"/"&amp;tblProg[[#This Row],[Intake]]</f>
        <v>BoA/Wairoa/Jul</v>
      </c>
    </row>
    <row r="7" spans="1:11">
      <c r="A7">
        <v>79</v>
      </c>
      <c r="B7" t="s">
        <v>3</v>
      </c>
      <c r="C7" t="s">
        <v>50</v>
      </c>
      <c r="D7" t="s">
        <v>51</v>
      </c>
      <c r="E7" t="str">
        <f>INDEX(tblCampus[CampusCode], MATCH(tblProg[[#This Row],[Campus]], tblCampus[CampusName], 0))</f>
        <v>HB</v>
      </c>
      <c r="F7" t="s">
        <v>40</v>
      </c>
      <c r="G7" t="str">
        <f>tblProg[[#This Row],[Base Code]]&amp;"/"&amp;tblProg[[#This Row],[Pregion]]&amp;"/"&amp;tblProg[[#This Row],[Intake]]</f>
        <v>CBASS/HB/Feb</v>
      </c>
      <c r="H7" t="s">
        <v>41</v>
      </c>
      <c r="I7" t="str">
        <f>tblProg[[#This Row],[Programme Title]]&amp;" - "&amp;tblProg[[#This Row],[Campus]]&amp;" - "&amp;tblProg[[#This Row],[Intake]]</f>
        <v>New Zealand Certificate in Business (Accounting Support Services) (L4) - Taradale - Feb</v>
      </c>
      <c r="J7" t="str">
        <f>tblProg[[#This Row],[FullProgCode]]&amp;"/1"</f>
        <v>CBASS/HB/Feb/1</v>
      </c>
      <c r="K7" t="str">
        <f>tblProg[[#This Row],[Base Code]]&amp;"/"&amp;tblProg[[#This Row],[Campus]]&amp;"/"&amp;tblProg[[#This Row],[Intake]]</f>
        <v>CBASS/Taradale/Feb</v>
      </c>
    </row>
    <row r="8" spans="1:11">
      <c r="A8">
        <v>82</v>
      </c>
      <c r="B8" t="s">
        <v>3</v>
      </c>
      <c r="C8" t="s">
        <v>52</v>
      </c>
      <c r="D8" t="s">
        <v>53</v>
      </c>
      <c r="E8" t="str">
        <f>INDEX(tblCampus[CampusCode], MATCH(tblProg[[#This Row],[Campus]], tblCampus[CampusName], 0))</f>
        <v>HB</v>
      </c>
      <c r="F8" t="s">
        <v>40</v>
      </c>
      <c r="G8" t="str">
        <f>tblProg[[#This Row],[Base Code]]&amp;"/"&amp;tblProg[[#This Row],[Pregion]]&amp;"/"&amp;tblProg[[#This Row],[Intake]]</f>
        <v>NZDB/HB/Feb</v>
      </c>
      <c r="H8" t="s">
        <v>41</v>
      </c>
      <c r="I8" t="str">
        <f>tblProg[[#This Row],[Programme Title]]&amp;" - "&amp;tblProg[[#This Row],[Campus]]&amp;" - "&amp;tblProg[[#This Row],[Intake]]</f>
        <v>New Zealand Diploma in Business L5 - Taradale - Feb</v>
      </c>
      <c r="J8" t="str">
        <f>tblProg[[#This Row],[FullProgCode]]&amp;"/1"</f>
        <v>NZDB/HB/Feb/1</v>
      </c>
      <c r="K8" t="str">
        <f>tblProg[[#This Row],[Base Code]]&amp;"/"&amp;tblProg[[#This Row],[Campus]]&amp;"/"&amp;tblProg[[#This Row],[Intake]]</f>
        <v>NZDB/Taradale/Feb</v>
      </c>
    </row>
    <row r="9" spans="1:11">
      <c r="A9">
        <v>81</v>
      </c>
      <c r="B9" t="s">
        <v>3</v>
      </c>
      <c r="C9" t="s">
        <v>52</v>
      </c>
      <c r="D9" t="s">
        <v>53</v>
      </c>
      <c r="E9" t="str">
        <f>INDEX(tblCampus[CampusCode], MATCH(tblProg[[#This Row],[Campus]], tblCampus[CampusName], 0))</f>
        <v>TC</v>
      </c>
      <c r="F9" t="s">
        <v>40</v>
      </c>
      <c r="G9" t="str">
        <f>tblProg[[#This Row],[Base Code]]&amp;"/"&amp;tblProg[[#This Row],[Pregion]]&amp;"/"&amp;tblProg[[#This Row],[Intake]]</f>
        <v>NZDB/TC/Feb</v>
      </c>
      <c r="H9" t="s">
        <v>42</v>
      </c>
      <c r="I9" t="str">
        <f>tblProg[[#This Row],[Programme Title]]&amp;" - "&amp;tblProg[[#This Row],[Campus]]&amp;" - "&amp;tblProg[[#This Row],[Intake]]</f>
        <v>New Zealand Diploma in Business L5 - Palmerston Rd - Feb</v>
      </c>
      <c r="J9" t="str">
        <f>tblProg[[#This Row],[FullProgCode]]&amp;"/1"</f>
        <v>NZDB/TC/Feb/1</v>
      </c>
      <c r="K9" t="str">
        <f>tblProg[[#This Row],[Base Code]]&amp;"/"&amp;tblProg[[#This Row],[Campus]]&amp;"/"&amp;tblProg[[#This Row],[Intake]]</f>
        <v>NZDB/Palmerston Rd/Feb</v>
      </c>
    </row>
    <row r="10" spans="1:11">
      <c r="A10">
        <v>100003</v>
      </c>
      <c r="B10" t="s">
        <v>3</v>
      </c>
      <c r="C10" t="s">
        <v>54</v>
      </c>
      <c r="D10" t="s">
        <v>55</v>
      </c>
      <c r="E10" t="str">
        <f>INDEX(tblCampus[CampusCode], MATCH(tblProg[[#This Row],[Campus]], tblCampus[CampusName], 0))</f>
        <v>HB</v>
      </c>
      <c r="F10" t="s">
        <v>40</v>
      </c>
      <c r="G10" t="str">
        <f>tblProg[[#This Row],[Base Code]]&amp;"/"&amp;tblProg[[#This Row],[Pregion]]&amp;"/"&amp;tblProg[[#This Row],[Intake]]</f>
        <v>SBA/HB/Feb</v>
      </c>
      <c r="H10" t="s">
        <v>41</v>
      </c>
      <c r="I10" t="str">
        <f>tblProg[[#This Row],[Programme Title]]&amp;" - "&amp;tblProg[[#This Row],[Campus]]&amp;" - "&amp;tblProg[[#This Row],[Intake]]</f>
        <v>School-based Activities - Taradale - Feb</v>
      </c>
      <c r="J10" t="str">
        <f>tblProg[[#This Row],[FullProgCode]]&amp;"/1"</f>
        <v>SBA/HB/Feb/1</v>
      </c>
      <c r="K10" t="str">
        <f>tblProg[[#This Row],[Base Code]]&amp;"/"&amp;tblProg[[#This Row],[Campus]]&amp;"/"&amp;tblProg[[#This Row],[Intake]]</f>
        <v>SBA/Taradale/Feb</v>
      </c>
    </row>
    <row r="11" spans="1:11">
      <c r="A11">
        <v>100004</v>
      </c>
      <c r="B11" t="s">
        <v>3</v>
      </c>
      <c r="C11" t="s">
        <v>54</v>
      </c>
      <c r="D11" t="s">
        <v>55</v>
      </c>
      <c r="E11" t="str">
        <f>INDEX(tblCampus[CampusCode], MATCH(tblProg[[#This Row],[Campus]], tblCampus[CampusName], 0))</f>
        <v>TC</v>
      </c>
      <c r="F11" t="s">
        <v>40</v>
      </c>
      <c r="G11" t="str">
        <f>tblProg[[#This Row],[Base Code]]&amp;"/"&amp;tblProg[[#This Row],[Pregion]]&amp;"/"&amp;tblProg[[#This Row],[Intake]]</f>
        <v>SBA/TC/Feb</v>
      </c>
      <c r="H11" t="s">
        <v>42</v>
      </c>
      <c r="I11" t="str">
        <f>tblProg[[#This Row],[Programme Title]]&amp;" - "&amp;tblProg[[#This Row],[Campus]]&amp;" - "&amp;tblProg[[#This Row],[Intake]]</f>
        <v>School-based Activities - Palmerston Rd - Feb</v>
      </c>
      <c r="J11" t="str">
        <f>tblProg[[#This Row],[FullProgCode]]&amp;"/1"</f>
        <v>SBA/TC/Feb/1</v>
      </c>
      <c r="K11" t="str">
        <f>tblProg[[#This Row],[Base Code]]&amp;"/"&amp;tblProg[[#This Row],[Campus]]&amp;"/"&amp;tblProg[[#This Row],[Intake]]</f>
        <v>SBA/Palmerston Rd/Feb</v>
      </c>
    </row>
    <row r="12" spans="1:11">
      <c r="A12">
        <v>200012</v>
      </c>
      <c r="B12" t="s">
        <v>5</v>
      </c>
      <c r="C12" t="s">
        <v>56</v>
      </c>
      <c r="D12" t="s">
        <v>57</v>
      </c>
      <c r="E12" t="str">
        <f>INDEX(tblCampus[CampusCode], MATCH(tblProg[[#This Row],[Campus]], tblCampus[CampusName], 0))</f>
        <v>HB</v>
      </c>
      <c r="F12" t="s">
        <v>58</v>
      </c>
      <c r="G12" t="str">
        <f>tblProg[[#This Row],[Base Code]]&amp;"/"&amp;tblProg[[#This Row],[Pregion]]&amp;"/"&amp;tblProg[[#This Row],[Intake]]</f>
        <v>Test/HB/1</v>
      </c>
      <c r="H12" t="s">
        <v>41</v>
      </c>
      <c r="I12" t="str">
        <f>tblProg[[#This Row],[Programme Title]]&amp;" - "&amp;tblProg[[#This Row],[Campus]]&amp;" - "&amp;tblProg[[#This Row],[Intake]]</f>
        <v>Test Programme - Taradale - 1</v>
      </c>
      <c r="J12" t="str">
        <f>tblProg[[#This Row],[FullProgCode]]&amp;"/1"</f>
        <v>Test/HB/1/1</v>
      </c>
      <c r="K12" t="str">
        <f>tblProg[[#This Row],[Base Code]]&amp;"/"&amp;tblProg[[#This Row],[Campus]]&amp;"/"&amp;tblProg[[#This Row],[Intake]]</f>
        <v>Test/Taradale/1</v>
      </c>
    </row>
    <row r="13" spans="1:11">
      <c r="A13">
        <v>200013</v>
      </c>
      <c r="B13" t="s">
        <v>7</v>
      </c>
      <c r="C13" t="s">
        <v>215</v>
      </c>
      <c r="D13" t="s">
        <v>216</v>
      </c>
      <c r="E13" s="13" t="str">
        <f>INDEX(tblCampus[CampusCode], MATCH(tblProg[[#This Row],[Campus]], tblCampus[CampusName], 0))</f>
        <v>SS</v>
      </c>
      <c r="F13" t="s">
        <v>143</v>
      </c>
      <c r="G13" t="str">
        <f>tblProg[[#This Row],[Base Code]]&amp;"/"&amp;tblProg[[#This Row],[Pregion]]&amp;"/"&amp;tblProg[[#This Row],[Intake]]</f>
        <v>cha/SS/Oct</v>
      </c>
      <c r="H13" t="s">
        <v>46</v>
      </c>
      <c r="I13" t="str">
        <f>tblProg[[#This Row],[Programme Title]]&amp;" - "&amp;tblProg[[#This Row],[Campus]]&amp;" - "&amp;tblProg[[#This Row],[Intake]]</f>
        <v>Changed - Stout St - Oct</v>
      </c>
      <c r="J13" t="str">
        <f>tblProg[[#This Row],[FullProgCode]]&amp;"/1"</f>
        <v>cha/SS/Oct/1</v>
      </c>
      <c r="K13" t="str">
        <f>tblProg[[#This Row],[Base Code]]&amp;"/"&amp;tblProg[[#This Row],[Campus]]&amp;"/"&amp;tblProg[[#This Row],[Intake]]</f>
        <v>cha/Stout St/Oct</v>
      </c>
    </row>
    <row r="14" spans="1:11">
      <c r="A14">
        <v>200014</v>
      </c>
      <c r="B14" t="s">
        <v>19</v>
      </c>
      <c r="C14" t="s">
        <v>222</v>
      </c>
      <c r="D14" t="s">
        <v>219</v>
      </c>
      <c r="E14" s="13" t="str">
        <f>INDEX(tblCampus[CampusCode], MATCH(tblProg[[#This Row],[Campus]], tblCampus[CampusName], 0))</f>
        <v>R</v>
      </c>
      <c r="F14" t="s">
        <v>143</v>
      </c>
      <c r="G14" t="str">
        <f>tblProg[[#This Row],[Base Code]]&amp;"/"&amp;tblProg[[#This Row],[Pregion]]&amp;"/"&amp;tblProg[[#This Row],[Intake]]</f>
        <v>SoN/R/Oct</v>
      </c>
      <c r="H14" t="s">
        <v>97</v>
      </c>
      <c r="I14" t="str">
        <f>tblProg[[#This Row],[Programme Title]]&amp;" - "&amp;tblProg[[#This Row],[Campus]]&amp;" - "&amp;tblProg[[#This Row],[Intake]]</f>
        <v>vbnmvbnm - Ruatoria - Oct</v>
      </c>
      <c r="J14" t="str">
        <f>tblProg[[#This Row],[FullProgCode]]&amp;"/1"</f>
        <v>SoN/R/Oct/1</v>
      </c>
      <c r="K14" t="str">
        <f>tblProg[[#This Row],[Base Code]]&amp;"/"&amp;tblProg[[#This Row],[Campus]]&amp;"/"&amp;tblProg[[#This Row],[Intake]]</f>
        <v>SoN/Ruatoria/Oct</v>
      </c>
    </row>
    <row r="15" spans="1:11">
      <c r="A15">
        <v>200015</v>
      </c>
      <c r="B15" t="s">
        <v>1</v>
      </c>
      <c r="C15" t="s">
        <v>217</v>
      </c>
      <c r="D15" t="s">
        <v>218</v>
      </c>
      <c r="E15" s="13" t="str">
        <f>INDEX(tblCampus[CampusCode], MATCH(tblProg[[#This Row],[Campus]], tblCampus[CampusName], 0))</f>
        <v>W</v>
      </c>
      <c r="F15" t="s">
        <v>136</v>
      </c>
      <c r="G15" t="str">
        <f>tblProg[[#This Row],[Base Code]]&amp;"/"&amp;tblProg[[#This Row],[Pregion]]&amp;"/"&amp;tblProg[[#This Row],[Intake]]</f>
        <v>puiop/W/Jan</v>
      </c>
      <c r="H15" t="s">
        <v>49</v>
      </c>
      <c r="I15" t="str">
        <f>tblProg[[#This Row],[Programme Title]]&amp;" - "&amp;tblProg[[#This Row],[Campus]]&amp;" - "&amp;tblProg[[#This Row],[Intake]]</f>
        <v>Second Create Test - Wairoa - Jan</v>
      </c>
      <c r="J15" t="str">
        <f>tblProg[[#This Row],[FullProgCode]]&amp;"/1"</f>
        <v>puiop/W/Jan/1</v>
      </c>
      <c r="K15" t="str">
        <f>tblProg[[#This Row],[Base Code]]&amp;"/"&amp;tblProg[[#This Row],[Campus]]&amp;"/"&amp;tblProg[[#This Row],[Intake]]</f>
        <v>puiop/Wairoa/Jan</v>
      </c>
    </row>
    <row r="16" spans="1:11">
      <c r="A16">
        <v>200017</v>
      </c>
      <c r="B16" t="s">
        <v>3</v>
      </c>
      <c r="C16" t="s">
        <v>220</v>
      </c>
      <c r="D16" t="s">
        <v>221</v>
      </c>
      <c r="E16" s="13" t="str">
        <f>INDEX(tblCampus[CampusCode], MATCH(tblProg[[#This Row],[Campus]], tblCampus[CampusName], 0))</f>
        <v>HB</v>
      </c>
      <c r="F16" t="s">
        <v>40</v>
      </c>
      <c r="G16" t="str">
        <f>tblProg[[#This Row],[Base Code]]&amp;"/"&amp;tblProg[[#This Row],[Pregion]]&amp;"/"&amp;tblProg[[#This Row],[Intake]]</f>
        <v>dfgh/HB/Feb</v>
      </c>
      <c r="H16" t="s">
        <v>41</v>
      </c>
      <c r="I16" t="str">
        <f>tblProg[[#This Row],[Programme Title]]&amp;" - "&amp;tblProg[[#This Row],[Campus]]&amp;" - "&amp;tblProg[[#This Row],[Intake]]</f>
        <v>dfghdfghdfghdfgh - Taradale - Feb</v>
      </c>
      <c r="J16" t="str">
        <f>tblProg[[#This Row],[FullProgCode]]&amp;"/1"</f>
        <v>dfgh/HB/Feb/1</v>
      </c>
      <c r="K16" t="str">
        <f>tblProg[[#This Row],[Base Code]]&amp;"/"&amp;tblProg[[#This Row],[Campus]]&amp;"/"&amp;tblProg[[#This Row],[Intake]]</f>
        <v>dfgh/Taradale/Feb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74D13-CB6C-49DC-B2D2-C1264B0D53B7}">
  <sheetPr codeName="FixedLists"/>
  <dimension ref="A1:AR35"/>
  <sheetViews>
    <sheetView workbookViewId="0">
      <selection activeCell="I17" sqref="I17"/>
    </sheetView>
  </sheetViews>
  <sheetFormatPr defaultRowHeight="14.25"/>
  <cols>
    <col min="1" max="1" width="4.375" customWidth="1"/>
    <col min="2" max="2" width="19.875" bestFit="1" customWidth="1"/>
    <col min="3" max="3" width="7" customWidth="1"/>
    <col min="4" max="5" width="2.875" customWidth="1"/>
    <col min="6" max="6" width="4.625" customWidth="1"/>
    <col min="7" max="7" width="16.375" bestFit="1" customWidth="1"/>
    <col min="8" max="8" width="14.625" customWidth="1"/>
    <col min="9" max="10" width="2.875" customWidth="1"/>
    <col min="11" max="11" width="10.25" customWidth="1"/>
    <col min="12" max="12" width="30" bestFit="1" customWidth="1"/>
    <col min="13" max="14" width="2.875" customWidth="1"/>
    <col min="15" max="15" width="4.625" customWidth="1"/>
    <col min="16" max="16" width="17.75" bestFit="1" customWidth="1"/>
    <col min="17" max="17" width="18.875" bestFit="1" customWidth="1"/>
    <col min="18" max="19" width="2.875" customWidth="1"/>
    <col min="20" max="20" width="4.625" customWidth="1"/>
    <col min="21" max="21" width="8.125" customWidth="1"/>
    <col min="22" max="23" width="2.875" customWidth="1"/>
    <col min="24" max="24" width="11.375" bestFit="1" customWidth="1"/>
    <col min="25" max="25" width="14.375" bestFit="1" customWidth="1"/>
    <col min="26" max="26" width="37.375" bestFit="1" customWidth="1"/>
    <col min="27" max="28" width="2.875" customWidth="1"/>
    <col min="29" max="29" width="4.625" customWidth="1"/>
    <col min="30" max="30" width="7.125" customWidth="1"/>
    <col min="31" max="31" width="12.25" customWidth="1"/>
    <col min="32" max="33" width="2.875" customWidth="1"/>
    <col min="34" max="34" width="10.375" customWidth="1"/>
    <col min="35" max="36" width="2.875" customWidth="1"/>
    <col min="37" max="37" width="10.375" customWidth="1"/>
    <col min="38" max="38" width="9.625" customWidth="1"/>
    <col min="39" max="40" width="2.875" customWidth="1"/>
    <col min="41" max="41" width="23" bestFit="1" customWidth="1"/>
    <col min="42" max="43" width="2.875" customWidth="1"/>
    <col min="44" max="44" width="137.375" bestFit="1" customWidth="1"/>
  </cols>
  <sheetData>
    <row r="1" spans="1:44" ht="15">
      <c r="A1" s="8" t="s">
        <v>59</v>
      </c>
      <c r="B1" s="8" t="s">
        <v>60</v>
      </c>
      <c r="C1" s="8" t="s">
        <v>61</v>
      </c>
      <c r="F1" t="s">
        <v>59</v>
      </c>
      <c r="G1" t="s">
        <v>90</v>
      </c>
      <c r="H1" t="s">
        <v>91</v>
      </c>
      <c r="I1" s="3"/>
      <c r="J1" s="4"/>
      <c r="K1" s="5" t="s">
        <v>109</v>
      </c>
      <c r="L1" s="6" t="s">
        <v>206</v>
      </c>
      <c r="O1" t="s">
        <v>59</v>
      </c>
      <c r="P1" t="s">
        <v>113</v>
      </c>
      <c r="Q1" t="s">
        <v>114</v>
      </c>
      <c r="T1" t="s">
        <v>59</v>
      </c>
      <c r="U1" t="s">
        <v>129</v>
      </c>
      <c r="X1" t="s">
        <v>209</v>
      </c>
      <c r="Y1" t="s">
        <v>210</v>
      </c>
      <c r="Z1" t="s">
        <v>0</v>
      </c>
      <c r="AC1" t="s">
        <v>59</v>
      </c>
      <c r="AD1" t="s">
        <v>155</v>
      </c>
      <c r="AE1" t="s">
        <v>156</v>
      </c>
      <c r="AH1" t="s">
        <v>191</v>
      </c>
      <c r="AK1" t="s">
        <v>194</v>
      </c>
      <c r="AL1" t="s">
        <v>195</v>
      </c>
      <c r="AO1" t="s">
        <v>196</v>
      </c>
      <c r="AR1" t="s">
        <v>199</v>
      </c>
    </row>
    <row r="2" spans="1:44" ht="15">
      <c r="A2" s="9">
        <v>1</v>
      </c>
      <c r="B2" s="10" t="s">
        <v>62</v>
      </c>
      <c r="C2" s="10" t="s">
        <v>63</v>
      </c>
      <c r="F2">
        <v>0</v>
      </c>
      <c r="G2" t="s">
        <v>92</v>
      </c>
      <c r="H2" t="s">
        <v>92</v>
      </c>
      <c r="I2" s="1"/>
      <c r="J2" s="2"/>
      <c r="K2" s="7">
        <v>1</v>
      </c>
      <c r="L2" s="6" t="s">
        <v>110</v>
      </c>
      <c r="O2">
        <v>1</v>
      </c>
      <c r="P2" t="s">
        <v>115</v>
      </c>
      <c r="Q2" t="s">
        <v>116</v>
      </c>
      <c r="T2">
        <v>1</v>
      </c>
      <c r="U2" t="s">
        <v>58</v>
      </c>
      <c r="X2">
        <v>2</v>
      </c>
      <c r="Y2" t="s">
        <v>1</v>
      </c>
      <c r="Z2" t="s">
        <v>2</v>
      </c>
      <c r="AC2">
        <v>1</v>
      </c>
      <c r="AD2" t="s">
        <v>157</v>
      </c>
      <c r="AE2">
        <v>1380</v>
      </c>
      <c r="AH2" t="s">
        <v>192</v>
      </c>
      <c r="AK2">
        <v>0</v>
      </c>
      <c r="AL2">
        <v>0</v>
      </c>
      <c r="AO2" t="s">
        <v>197</v>
      </c>
      <c r="AR2" t="s">
        <v>200</v>
      </c>
    </row>
    <row r="3" spans="1:44" ht="15">
      <c r="A3" s="9">
        <v>2</v>
      </c>
      <c r="B3" s="10" t="s">
        <v>64</v>
      </c>
      <c r="C3" s="10" t="s">
        <v>65</v>
      </c>
      <c r="F3">
        <v>1</v>
      </c>
      <c r="G3" t="s">
        <v>41</v>
      </c>
      <c r="H3" t="s">
        <v>39</v>
      </c>
      <c r="I3" s="1"/>
      <c r="J3" s="2"/>
      <c r="K3" s="7">
        <v>2</v>
      </c>
      <c r="L3" s="6" t="s">
        <v>111</v>
      </c>
      <c r="O3">
        <v>4</v>
      </c>
      <c r="P3" t="s">
        <v>62</v>
      </c>
      <c r="Q3" t="s">
        <v>117</v>
      </c>
      <c r="T3">
        <v>2</v>
      </c>
      <c r="U3" t="s">
        <v>130</v>
      </c>
      <c r="X3">
        <v>3</v>
      </c>
      <c r="Y3" t="s">
        <v>3</v>
      </c>
      <c r="Z3" t="s">
        <v>4</v>
      </c>
      <c r="AC3">
        <v>2</v>
      </c>
      <c r="AD3" t="s">
        <v>158</v>
      </c>
      <c r="AE3">
        <v>420</v>
      </c>
      <c r="AH3" t="s">
        <v>193</v>
      </c>
      <c r="AK3">
        <v>0.5</v>
      </c>
      <c r="AL3">
        <v>1</v>
      </c>
      <c r="AO3" t="s">
        <v>198</v>
      </c>
      <c r="AR3" t="s">
        <v>201</v>
      </c>
    </row>
    <row r="4" spans="1:44" ht="15">
      <c r="A4" s="9">
        <v>3</v>
      </c>
      <c r="B4" s="10" t="s">
        <v>66</v>
      </c>
      <c r="C4" s="10" t="s">
        <v>66</v>
      </c>
      <c r="F4">
        <v>2</v>
      </c>
      <c r="G4" t="s">
        <v>93</v>
      </c>
      <c r="H4" t="s">
        <v>94</v>
      </c>
      <c r="I4" s="1"/>
      <c r="K4" s="6">
        <v>3</v>
      </c>
      <c r="L4" s="6" t="s">
        <v>112</v>
      </c>
      <c r="O4">
        <v>5</v>
      </c>
      <c r="P4" t="s">
        <v>67</v>
      </c>
      <c r="Q4" t="s">
        <v>118</v>
      </c>
      <c r="T4">
        <v>3</v>
      </c>
      <c r="U4" t="s">
        <v>131</v>
      </c>
      <c r="X4">
        <v>4</v>
      </c>
      <c r="Y4" t="s">
        <v>5</v>
      </c>
      <c r="Z4" t="s">
        <v>6</v>
      </c>
      <c r="AC4">
        <v>3</v>
      </c>
      <c r="AD4" t="s">
        <v>159</v>
      </c>
      <c r="AE4">
        <v>450</v>
      </c>
      <c r="AK4">
        <v>1</v>
      </c>
      <c r="AL4">
        <v>2</v>
      </c>
      <c r="AR4" t="s">
        <v>202</v>
      </c>
    </row>
    <row r="5" spans="1:44" ht="15">
      <c r="A5" s="9">
        <v>4</v>
      </c>
      <c r="B5" s="10" t="s">
        <v>67</v>
      </c>
      <c r="C5" s="10" t="s">
        <v>68</v>
      </c>
      <c r="F5">
        <v>4</v>
      </c>
      <c r="G5" t="s">
        <v>95</v>
      </c>
      <c r="H5" t="s">
        <v>96</v>
      </c>
      <c r="I5" s="1"/>
      <c r="O5">
        <v>6</v>
      </c>
      <c r="P5" t="s">
        <v>69</v>
      </c>
      <c r="Q5" t="s">
        <v>119</v>
      </c>
      <c r="T5">
        <v>4</v>
      </c>
      <c r="U5" t="s">
        <v>132</v>
      </c>
      <c r="X5">
        <v>5</v>
      </c>
      <c r="Y5" t="s">
        <v>7</v>
      </c>
      <c r="Z5" t="s">
        <v>8</v>
      </c>
      <c r="AC5">
        <v>4</v>
      </c>
      <c r="AD5" t="s">
        <v>160</v>
      </c>
      <c r="AE5">
        <v>480</v>
      </c>
      <c r="AK5">
        <v>1.5</v>
      </c>
      <c r="AL5">
        <v>3</v>
      </c>
      <c r="AR5" t="s">
        <v>203</v>
      </c>
    </row>
    <row r="6" spans="1:44" ht="15">
      <c r="A6" s="9">
        <v>5</v>
      </c>
      <c r="B6" s="10" t="s">
        <v>69</v>
      </c>
      <c r="C6" s="10" t="s">
        <v>70</v>
      </c>
      <c r="F6">
        <v>5</v>
      </c>
      <c r="G6" t="s">
        <v>49</v>
      </c>
      <c r="H6" t="s">
        <v>47</v>
      </c>
      <c r="I6" s="1"/>
      <c r="O6">
        <v>7</v>
      </c>
      <c r="P6" t="s">
        <v>120</v>
      </c>
      <c r="Q6" t="s">
        <v>121</v>
      </c>
      <c r="T6">
        <v>5</v>
      </c>
      <c r="U6" t="s">
        <v>133</v>
      </c>
      <c r="X6">
        <v>6</v>
      </c>
      <c r="Y6" t="s">
        <v>9</v>
      </c>
      <c r="Z6" t="s">
        <v>10</v>
      </c>
      <c r="AC6">
        <v>5</v>
      </c>
      <c r="AD6" t="s">
        <v>161</v>
      </c>
      <c r="AE6">
        <v>510</v>
      </c>
      <c r="AK6">
        <v>2</v>
      </c>
      <c r="AL6">
        <v>4</v>
      </c>
      <c r="AR6" t="s">
        <v>204</v>
      </c>
    </row>
    <row r="7" spans="1:44" ht="15">
      <c r="A7" s="9">
        <v>6</v>
      </c>
      <c r="B7" s="10" t="s">
        <v>71</v>
      </c>
      <c r="C7" s="10" t="s">
        <v>72</v>
      </c>
      <c r="F7">
        <v>6</v>
      </c>
      <c r="G7" t="s">
        <v>42</v>
      </c>
      <c r="H7" t="s">
        <v>23</v>
      </c>
      <c r="I7" s="1"/>
      <c r="O7">
        <v>8</v>
      </c>
      <c r="P7" t="s">
        <v>122</v>
      </c>
      <c r="Q7" t="s">
        <v>123</v>
      </c>
      <c r="T7">
        <v>6</v>
      </c>
      <c r="U7" t="s">
        <v>134</v>
      </c>
      <c r="X7">
        <v>7</v>
      </c>
      <c r="Y7" t="s">
        <v>11</v>
      </c>
      <c r="Z7" t="s">
        <v>12</v>
      </c>
      <c r="AC7">
        <v>6</v>
      </c>
      <c r="AD7" t="s">
        <v>162</v>
      </c>
      <c r="AE7">
        <v>540</v>
      </c>
      <c r="AK7">
        <v>2.5</v>
      </c>
      <c r="AL7">
        <v>5</v>
      </c>
      <c r="AR7" t="s">
        <v>205</v>
      </c>
    </row>
    <row r="8" spans="1:44" ht="15">
      <c r="A8" s="9">
        <v>7</v>
      </c>
      <c r="B8" s="10" t="s">
        <v>73</v>
      </c>
      <c r="C8" s="10" t="s">
        <v>73</v>
      </c>
      <c r="F8">
        <v>7</v>
      </c>
      <c r="G8" t="s">
        <v>46</v>
      </c>
      <c r="H8" t="s">
        <v>45</v>
      </c>
      <c r="I8" s="1"/>
      <c r="O8">
        <v>9</v>
      </c>
      <c r="P8" t="s">
        <v>124</v>
      </c>
      <c r="Q8" t="s">
        <v>125</v>
      </c>
      <c r="T8">
        <v>7</v>
      </c>
      <c r="U8" t="s">
        <v>135</v>
      </c>
      <c r="X8">
        <v>8</v>
      </c>
      <c r="Y8" t="s">
        <v>13</v>
      </c>
      <c r="Z8" t="s">
        <v>14</v>
      </c>
      <c r="AC8">
        <v>7</v>
      </c>
      <c r="AD8" t="s">
        <v>163</v>
      </c>
      <c r="AE8">
        <v>570</v>
      </c>
      <c r="AK8">
        <v>3</v>
      </c>
      <c r="AL8">
        <v>6</v>
      </c>
    </row>
    <row r="9" spans="1:44" ht="15">
      <c r="A9" s="9">
        <v>8</v>
      </c>
      <c r="B9" s="10" t="s">
        <v>74</v>
      </c>
      <c r="C9" s="10" t="s">
        <v>75</v>
      </c>
      <c r="F9">
        <v>8</v>
      </c>
      <c r="G9" t="s">
        <v>97</v>
      </c>
      <c r="H9" t="s">
        <v>98</v>
      </c>
      <c r="I9" s="1"/>
      <c r="O9">
        <v>10</v>
      </c>
      <c r="P9" t="s">
        <v>126</v>
      </c>
      <c r="Q9" t="s">
        <v>127</v>
      </c>
      <c r="T9">
        <v>8</v>
      </c>
      <c r="U9" t="s">
        <v>136</v>
      </c>
      <c r="X9">
        <v>9</v>
      </c>
      <c r="Y9" t="s">
        <v>15</v>
      </c>
      <c r="Z9" t="s">
        <v>16</v>
      </c>
      <c r="AC9">
        <v>8</v>
      </c>
      <c r="AD9" t="s">
        <v>164</v>
      </c>
      <c r="AE9">
        <v>600</v>
      </c>
      <c r="AK9">
        <v>3.5</v>
      </c>
      <c r="AL9">
        <v>7</v>
      </c>
    </row>
    <row r="10" spans="1:44" ht="15">
      <c r="A10" s="11">
        <v>9</v>
      </c>
      <c r="B10" s="12" t="s">
        <v>76</v>
      </c>
      <c r="C10" s="12" t="s">
        <v>77</v>
      </c>
      <c r="F10">
        <v>9</v>
      </c>
      <c r="G10" t="s">
        <v>81</v>
      </c>
      <c r="H10" t="s">
        <v>82</v>
      </c>
      <c r="I10" s="1"/>
      <c r="O10">
        <v>11</v>
      </c>
      <c r="P10" t="s">
        <v>128</v>
      </c>
      <c r="Q10" t="s">
        <v>128</v>
      </c>
      <c r="T10">
        <v>9</v>
      </c>
      <c r="U10" t="s">
        <v>40</v>
      </c>
      <c r="X10">
        <v>10</v>
      </c>
      <c r="Y10" t="s">
        <v>17</v>
      </c>
      <c r="Z10" t="s">
        <v>18</v>
      </c>
      <c r="AC10">
        <v>9</v>
      </c>
      <c r="AD10" t="s">
        <v>165</v>
      </c>
      <c r="AE10">
        <v>630</v>
      </c>
      <c r="AK10">
        <v>4</v>
      </c>
      <c r="AL10">
        <v>8</v>
      </c>
    </row>
    <row r="11" spans="1:44" ht="15">
      <c r="A11" s="11">
        <v>10</v>
      </c>
      <c r="B11" s="12" t="s">
        <v>78</v>
      </c>
      <c r="C11" s="12" t="s">
        <v>79</v>
      </c>
      <c r="F11">
        <v>10</v>
      </c>
      <c r="G11" t="s">
        <v>99</v>
      </c>
      <c r="H11" t="s">
        <v>100</v>
      </c>
      <c r="I11" s="1"/>
      <c r="T11">
        <v>10</v>
      </c>
      <c r="U11" t="s">
        <v>137</v>
      </c>
      <c r="X11">
        <v>11</v>
      </c>
      <c r="Y11" t="s">
        <v>19</v>
      </c>
      <c r="Z11" t="s">
        <v>20</v>
      </c>
      <c r="AC11">
        <v>10</v>
      </c>
      <c r="AD11" t="s">
        <v>166</v>
      </c>
      <c r="AE11">
        <v>660</v>
      </c>
      <c r="AK11">
        <v>4.5</v>
      </c>
      <c r="AL11">
        <v>9</v>
      </c>
    </row>
    <row r="12" spans="1:44" ht="15">
      <c r="A12" s="11">
        <v>11</v>
      </c>
      <c r="B12" s="12" t="s">
        <v>80</v>
      </c>
      <c r="C12" s="12" t="s">
        <v>80</v>
      </c>
      <c r="F12">
        <v>11</v>
      </c>
      <c r="G12" t="s">
        <v>101</v>
      </c>
      <c r="H12" t="s">
        <v>101</v>
      </c>
      <c r="I12" s="1"/>
      <c r="T12">
        <v>11</v>
      </c>
      <c r="U12" t="s">
        <v>138</v>
      </c>
      <c r="X12">
        <v>12</v>
      </c>
      <c r="Y12" t="s">
        <v>21</v>
      </c>
      <c r="Z12" t="s">
        <v>22</v>
      </c>
      <c r="AC12">
        <v>11</v>
      </c>
      <c r="AD12" t="s">
        <v>167</v>
      </c>
      <c r="AE12">
        <v>690</v>
      </c>
      <c r="AK12">
        <v>5</v>
      </c>
      <c r="AL12">
        <v>10</v>
      </c>
    </row>
    <row r="13" spans="1:44" ht="15">
      <c r="A13" s="11">
        <v>12</v>
      </c>
      <c r="B13" s="12" t="s">
        <v>81</v>
      </c>
      <c r="C13" s="12" t="s">
        <v>82</v>
      </c>
      <c r="F13">
        <v>12</v>
      </c>
      <c r="G13" t="s">
        <v>102</v>
      </c>
      <c r="H13" t="s">
        <v>103</v>
      </c>
      <c r="I13" s="1"/>
      <c r="T13">
        <v>12</v>
      </c>
      <c r="U13" t="s">
        <v>139</v>
      </c>
      <c r="X13">
        <v>13</v>
      </c>
      <c r="Y13" t="s">
        <v>23</v>
      </c>
      <c r="Z13" t="s">
        <v>24</v>
      </c>
      <c r="AC13">
        <v>12</v>
      </c>
      <c r="AD13" t="s">
        <v>168</v>
      </c>
      <c r="AE13">
        <v>720</v>
      </c>
      <c r="AK13">
        <v>5.5</v>
      </c>
      <c r="AL13">
        <v>11</v>
      </c>
    </row>
    <row r="14" spans="1:44" ht="15">
      <c r="A14" s="11">
        <v>13</v>
      </c>
      <c r="B14" s="12" t="s">
        <v>83</v>
      </c>
      <c r="C14" s="12" t="s">
        <v>83</v>
      </c>
      <c r="F14">
        <v>13</v>
      </c>
      <c r="G14" t="s">
        <v>104</v>
      </c>
      <c r="H14" t="s">
        <v>105</v>
      </c>
      <c r="I14" s="1"/>
      <c r="T14">
        <v>13</v>
      </c>
      <c r="U14" t="s">
        <v>140</v>
      </c>
      <c r="X14">
        <v>14</v>
      </c>
      <c r="Y14" t="s">
        <v>25</v>
      </c>
      <c r="Z14" t="s">
        <v>26</v>
      </c>
      <c r="AC14">
        <v>13</v>
      </c>
      <c r="AD14" t="s">
        <v>169</v>
      </c>
      <c r="AE14">
        <v>750</v>
      </c>
      <c r="AK14">
        <v>6</v>
      </c>
      <c r="AL14">
        <v>12</v>
      </c>
    </row>
    <row r="15" spans="1:44" ht="15">
      <c r="A15" s="9">
        <v>14</v>
      </c>
      <c r="B15" s="10"/>
      <c r="C15" s="10"/>
      <c r="F15">
        <v>14</v>
      </c>
      <c r="G15" t="s">
        <v>106</v>
      </c>
      <c r="H15" t="s">
        <v>106</v>
      </c>
      <c r="I15" s="1"/>
      <c r="T15">
        <v>14</v>
      </c>
      <c r="U15" t="s">
        <v>48</v>
      </c>
      <c r="X15">
        <v>15</v>
      </c>
      <c r="Y15" t="s">
        <v>27</v>
      </c>
      <c r="Z15" t="s">
        <v>28</v>
      </c>
      <c r="AC15">
        <v>14</v>
      </c>
      <c r="AD15" t="s">
        <v>170</v>
      </c>
      <c r="AE15">
        <v>780</v>
      </c>
      <c r="AK15">
        <v>6.5</v>
      </c>
      <c r="AL15">
        <v>13</v>
      </c>
    </row>
    <row r="16" spans="1:44" ht="15">
      <c r="F16">
        <v>15</v>
      </c>
      <c r="G16" t="s">
        <v>107</v>
      </c>
      <c r="H16" t="s">
        <v>108</v>
      </c>
      <c r="I16" s="1"/>
      <c r="T16">
        <v>15</v>
      </c>
      <c r="U16" t="s">
        <v>141</v>
      </c>
      <c r="X16">
        <v>16</v>
      </c>
      <c r="Y16" t="s">
        <v>29</v>
      </c>
      <c r="Z16" t="s">
        <v>30</v>
      </c>
      <c r="AC16">
        <v>15</v>
      </c>
      <c r="AD16" t="s">
        <v>171</v>
      </c>
      <c r="AE16">
        <v>810</v>
      </c>
      <c r="AK16">
        <v>7</v>
      </c>
      <c r="AL16">
        <v>14</v>
      </c>
    </row>
    <row r="17" spans="9:38" ht="15">
      <c r="I17" s="1"/>
      <c r="T17">
        <v>16</v>
      </c>
      <c r="U17" t="s">
        <v>142</v>
      </c>
      <c r="X17">
        <v>17</v>
      </c>
      <c r="Y17" t="s">
        <v>31</v>
      </c>
      <c r="Z17" t="s">
        <v>32</v>
      </c>
      <c r="AC17">
        <v>16</v>
      </c>
      <c r="AD17" t="s">
        <v>172</v>
      </c>
      <c r="AE17">
        <v>840</v>
      </c>
      <c r="AK17">
        <v>7.5</v>
      </c>
      <c r="AL17">
        <v>15</v>
      </c>
    </row>
    <row r="18" spans="9:38" ht="15">
      <c r="I18" s="1"/>
      <c r="T18">
        <v>17</v>
      </c>
      <c r="U18" t="s">
        <v>143</v>
      </c>
      <c r="X18">
        <v>18</v>
      </c>
      <c r="Y18" t="s">
        <v>33</v>
      </c>
      <c r="Z18" t="s">
        <v>34</v>
      </c>
      <c r="AC18">
        <v>17</v>
      </c>
      <c r="AD18" t="s">
        <v>173</v>
      </c>
      <c r="AE18">
        <v>870</v>
      </c>
      <c r="AK18">
        <v>8</v>
      </c>
      <c r="AL18">
        <v>16</v>
      </c>
    </row>
    <row r="19" spans="9:38" ht="15">
      <c r="I19" s="1"/>
      <c r="T19">
        <v>18</v>
      </c>
      <c r="U19" t="s">
        <v>144</v>
      </c>
      <c r="X19">
        <v>19</v>
      </c>
      <c r="Y19" t="s">
        <v>35</v>
      </c>
      <c r="Z19" t="s">
        <v>36</v>
      </c>
      <c r="AC19">
        <v>18</v>
      </c>
      <c r="AD19" t="s">
        <v>174</v>
      </c>
      <c r="AE19">
        <v>900</v>
      </c>
      <c r="AK19">
        <v>8.5</v>
      </c>
      <c r="AL19">
        <v>17</v>
      </c>
    </row>
    <row r="20" spans="9:38">
      <c r="T20">
        <v>19</v>
      </c>
      <c r="U20" t="s">
        <v>145</v>
      </c>
      <c r="X20">
        <v>20</v>
      </c>
      <c r="Y20" t="s">
        <v>57</v>
      </c>
      <c r="Z20" t="s">
        <v>211</v>
      </c>
      <c r="AC20">
        <v>19</v>
      </c>
      <c r="AD20" t="s">
        <v>175</v>
      </c>
      <c r="AE20">
        <v>930</v>
      </c>
      <c r="AK20">
        <v>9</v>
      </c>
      <c r="AL20">
        <v>18</v>
      </c>
    </row>
    <row r="21" spans="9:38">
      <c r="T21">
        <v>20</v>
      </c>
      <c r="U21" t="s">
        <v>146</v>
      </c>
      <c r="X21">
        <v>21</v>
      </c>
      <c r="Y21" t="s">
        <v>212</v>
      </c>
      <c r="Z21" t="s">
        <v>213</v>
      </c>
      <c r="AC21">
        <v>20</v>
      </c>
      <c r="AD21" t="s">
        <v>176</v>
      </c>
      <c r="AE21">
        <v>960</v>
      </c>
      <c r="AK21">
        <v>9.5</v>
      </c>
      <c r="AL21">
        <v>19</v>
      </c>
    </row>
    <row r="22" spans="9:38">
      <c r="T22">
        <v>21</v>
      </c>
      <c r="U22" t="s">
        <v>147</v>
      </c>
      <c r="AC22">
        <v>21</v>
      </c>
      <c r="AD22" t="s">
        <v>177</v>
      </c>
      <c r="AE22">
        <v>990</v>
      </c>
      <c r="AK22">
        <v>10</v>
      </c>
      <c r="AL22">
        <v>20</v>
      </c>
    </row>
    <row r="23" spans="9:38">
      <c r="T23">
        <v>22</v>
      </c>
      <c r="U23" t="s">
        <v>148</v>
      </c>
      <c r="AC23">
        <v>22</v>
      </c>
      <c r="AD23" t="s">
        <v>178</v>
      </c>
      <c r="AE23">
        <v>1020</v>
      </c>
      <c r="AK23">
        <v>10.5</v>
      </c>
      <c r="AL23">
        <v>21</v>
      </c>
    </row>
    <row r="24" spans="9:38">
      <c r="T24">
        <v>23</v>
      </c>
      <c r="U24" t="s">
        <v>149</v>
      </c>
      <c r="AC24">
        <v>23</v>
      </c>
      <c r="AD24" t="s">
        <v>179</v>
      </c>
      <c r="AE24">
        <v>1050</v>
      </c>
      <c r="AK24">
        <v>11</v>
      </c>
      <c r="AL24">
        <v>22</v>
      </c>
    </row>
    <row r="25" spans="9:38">
      <c r="T25">
        <v>24</v>
      </c>
      <c r="U25" t="s">
        <v>150</v>
      </c>
      <c r="AC25">
        <v>24</v>
      </c>
      <c r="AD25" t="s">
        <v>180</v>
      </c>
      <c r="AE25">
        <v>1080</v>
      </c>
      <c r="AK25">
        <v>11.5</v>
      </c>
      <c r="AL25">
        <v>23</v>
      </c>
    </row>
    <row r="26" spans="9:38">
      <c r="T26">
        <v>25</v>
      </c>
      <c r="U26" t="s">
        <v>151</v>
      </c>
      <c r="AC26">
        <v>25</v>
      </c>
      <c r="AD26" t="s">
        <v>181</v>
      </c>
      <c r="AE26">
        <v>1110</v>
      </c>
      <c r="AK26">
        <v>12</v>
      </c>
      <c r="AL26">
        <v>24</v>
      </c>
    </row>
    <row r="27" spans="9:38">
      <c r="T27">
        <v>26</v>
      </c>
      <c r="U27" t="s">
        <v>152</v>
      </c>
      <c r="AC27">
        <v>26</v>
      </c>
      <c r="AD27" t="s">
        <v>182</v>
      </c>
      <c r="AE27">
        <v>1140</v>
      </c>
      <c r="AK27">
        <v>12.5</v>
      </c>
      <c r="AL27">
        <v>25</v>
      </c>
    </row>
    <row r="28" spans="9:38">
      <c r="T28">
        <v>27</v>
      </c>
      <c r="U28" t="s">
        <v>153</v>
      </c>
      <c r="AC28">
        <v>27</v>
      </c>
      <c r="AD28" t="s">
        <v>183</v>
      </c>
      <c r="AE28">
        <v>1170</v>
      </c>
      <c r="AK28">
        <v>13</v>
      </c>
      <c r="AL28">
        <v>26</v>
      </c>
    </row>
    <row r="29" spans="9:38">
      <c r="T29">
        <v>28</v>
      </c>
      <c r="U29" t="s">
        <v>154</v>
      </c>
      <c r="AC29">
        <v>28</v>
      </c>
      <c r="AD29" t="s">
        <v>184</v>
      </c>
      <c r="AE29">
        <v>1200</v>
      </c>
      <c r="AK29">
        <v>13.5</v>
      </c>
      <c r="AL29">
        <v>27</v>
      </c>
    </row>
    <row r="30" spans="9:38">
      <c r="T30">
        <v>29</v>
      </c>
      <c r="U30" t="s">
        <v>106</v>
      </c>
      <c r="AC30">
        <v>29</v>
      </c>
      <c r="AD30" t="s">
        <v>185</v>
      </c>
      <c r="AE30">
        <v>1230</v>
      </c>
      <c r="AK30">
        <v>14</v>
      </c>
      <c r="AL30">
        <v>28</v>
      </c>
    </row>
    <row r="31" spans="9:38">
      <c r="AC31">
        <v>30</v>
      </c>
      <c r="AD31" t="s">
        <v>186</v>
      </c>
      <c r="AE31">
        <v>1260</v>
      </c>
      <c r="AK31">
        <v>14.5</v>
      </c>
      <c r="AL31">
        <v>29</v>
      </c>
    </row>
    <row r="32" spans="9:38">
      <c r="AC32">
        <v>31</v>
      </c>
      <c r="AD32" t="s">
        <v>187</v>
      </c>
      <c r="AE32">
        <v>1290</v>
      </c>
      <c r="AK32">
        <v>15</v>
      </c>
      <c r="AL32">
        <v>30</v>
      </c>
    </row>
    <row r="33" spans="29:38">
      <c r="AC33">
        <v>32</v>
      </c>
      <c r="AD33" t="s">
        <v>188</v>
      </c>
      <c r="AE33">
        <v>1320</v>
      </c>
      <c r="AK33">
        <v>15.5</v>
      </c>
      <c r="AL33">
        <v>31</v>
      </c>
    </row>
    <row r="34" spans="29:38">
      <c r="AC34">
        <v>33</v>
      </c>
      <c r="AD34" t="s">
        <v>189</v>
      </c>
      <c r="AE34">
        <v>1350</v>
      </c>
      <c r="AK34">
        <v>16</v>
      </c>
      <c r="AL34">
        <v>32</v>
      </c>
    </row>
    <row r="35" spans="29:38">
      <c r="AC35">
        <v>34</v>
      </c>
      <c r="AD35" t="s">
        <v>190</v>
      </c>
      <c r="AE35">
        <v>1380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829646B9AD290408CC1B110F9D29276" ma:contentTypeVersion="10" ma:contentTypeDescription="Create a new document." ma:contentTypeScope="" ma:versionID="88f3803ba1e74b349f06c61b64a8f877">
  <xsd:schema xmlns:xsd="http://www.w3.org/2001/XMLSchema" xmlns:xs="http://www.w3.org/2001/XMLSchema" xmlns:p="http://schemas.microsoft.com/office/2006/metadata/properties" xmlns:ns3="a6ebcb90-ac09-4851-ae00-ef226ac9e3bb" targetNamespace="http://schemas.microsoft.com/office/2006/metadata/properties" ma:root="true" ma:fieldsID="0130344781ba88ebf59f2eb4ae8623f1" ns3:_="">
    <xsd:import namespace="a6ebcb90-ac09-4851-ae00-ef226ac9e3b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ebcb90-ac09-4851-ae00-ef226ac9e3b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6ebcb90-ac09-4851-ae00-ef226ac9e3bb" xsi:nil="true"/>
  </documentManagement>
</p:properties>
</file>

<file path=customXml/itemProps1.xml><?xml version="1.0" encoding="utf-8"?>
<ds:datastoreItem xmlns:ds="http://schemas.openxmlformats.org/officeDocument/2006/customXml" ds:itemID="{54D616B7-5188-4DE6-9583-70423E10139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ebcb90-ac09-4851-ae00-ef226ac9e3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AF20A54-0AF4-46AA-9E11-AFAF9198C60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B083280-BD49-4F57-8B2E-F0E3A982BD64}">
  <ds:schemaRefs>
    <ds:schemaRef ds:uri="http://schemas.microsoft.com/office/infopath/2007/PartnerControls"/>
    <ds:schemaRef ds:uri="http://purl.org/dc/elements/1.1/"/>
    <ds:schemaRef ds:uri="a6ebcb90-ac09-4851-ae00-ef226ac9e3bb"/>
    <ds:schemaRef ds:uri="http://purl.org/dc/dcmitype/"/>
    <ds:schemaRef ds:uri="http://www.w3.org/XML/1998/namespace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Menu</vt:lpstr>
      <vt:lpstr>Programmes</vt:lpstr>
      <vt:lpstr>FixedLists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Tedjamukti Tobias</dc:creator>
  <cp:lastModifiedBy>Tedjamukti Tobias</cp:lastModifiedBy>
  <dcterms:created xsi:type="dcterms:W3CDTF">2025-09-01T01:06:44Z</dcterms:created>
  <dcterms:modified xsi:type="dcterms:W3CDTF">2025-09-04T10:14:21Z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0x0101000829646B9AD290408CC1B110F9D29276</vt:lpwstr>
  </property>
</Properties>
</file>