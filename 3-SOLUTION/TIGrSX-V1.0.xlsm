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mahau-my.sharepoint.com/personal/tedjat1_student_eit_ac_nz/Documents/"/>
    </mc:Choice>
  </mc:AlternateContent>
  <xr:revisionPtr revIDLastSave="1250" documentId="8_{66140293-062B-4628-BAA9-87CAD8AF1A88}" xr6:coauthVersionLast="36" xr6:coauthVersionMax="47" xr10:uidLastSave="{9BB8B169-364C-421B-A1F4-02C3C2ED7BD0}"/>
  <bookViews>
    <workbookView xWindow="-120" yWindow="-120" windowWidth="25440" windowHeight="15390" tabRatio="565" activeTab="2" xr2:uid="{E20453C3-19A2-469D-B268-F65ECF0FF85C}"/>
  </bookViews>
  <sheets>
    <sheet name="Programmes" sheetId="3" r:id="rId1"/>
    <sheet name="Courses" sheetId="6" r:id="rId2"/>
    <sheet name="Activities" sheetId="7" r:id="rId3"/>
    <sheet name="Staff" sheetId="5" r:id="rId4"/>
    <sheet name="FixedLists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4" i="6" l="1"/>
  <c r="I114" i="6" s="1"/>
  <c r="L114" i="6"/>
  <c r="O114" i="6"/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2" i="6"/>
  <c r="E29" i="3" l="1"/>
  <c r="G29" i="3" s="1"/>
  <c r="I29" i="3"/>
  <c r="K29" i="3"/>
  <c r="J29" i="3" l="1"/>
  <c r="N114" i="6"/>
  <c r="M114" i="6" s="1"/>
  <c r="E28" i="3"/>
  <c r="G28" i="3" s="1"/>
  <c r="J28" i="3" s="1"/>
  <c r="I28" i="3"/>
  <c r="K28" i="3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E27" i="3" l="1"/>
  <c r="G27" i="3" s="1"/>
  <c r="J27" i="3" s="1"/>
  <c r="I27" i="3"/>
  <c r="K27" i="3"/>
  <c r="E26" i="3"/>
  <c r="G26" i="3" s="1"/>
  <c r="J26" i="3" s="1"/>
  <c r="I26" i="3"/>
  <c r="K26" i="3"/>
  <c r="E25" i="3"/>
  <c r="G25" i="3" s="1"/>
  <c r="J25" i="3" s="1"/>
  <c r="I25" i="3"/>
  <c r="K25" i="3"/>
  <c r="E24" i="3" l="1"/>
  <c r="G24" i="3" s="1"/>
  <c r="J24" i="3" s="1"/>
  <c r="I24" i="3"/>
  <c r="K24" i="3"/>
  <c r="E23" i="3"/>
  <c r="G23" i="3" s="1"/>
  <c r="J23" i="3" s="1"/>
  <c r="I23" i="3"/>
  <c r="K23" i="3"/>
  <c r="E22" i="3"/>
  <c r="G22" i="3" s="1"/>
  <c r="J22" i="3" s="1"/>
  <c r="I22" i="3"/>
  <c r="K22" i="3"/>
  <c r="E21" i="3" l="1"/>
  <c r="G21" i="3" s="1"/>
  <c r="J21" i="3" s="1"/>
  <c r="I21" i="3"/>
  <c r="K21" i="3"/>
  <c r="E20" i="3" l="1"/>
  <c r="G20" i="3" s="1"/>
  <c r="J20" i="3" s="1"/>
  <c r="I20" i="3"/>
  <c r="K20" i="3"/>
  <c r="E19" i="3"/>
  <c r="G19" i="3" s="1"/>
  <c r="J19" i="3" s="1"/>
  <c r="I19" i="3"/>
  <c r="K19" i="3"/>
  <c r="E18" i="3" l="1"/>
  <c r="G18" i="3" s="1"/>
  <c r="J18" i="3" s="1"/>
  <c r="I18" i="3"/>
  <c r="K18" i="3"/>
  <c r="E17" i="3"/>
  <c r="G17" i="3" s="1"/>
  <c r="J17" i="3" s="1"/>
  <c r="I17" i="3"/>
  <c r="K17" i="3"/>
  <c r="E16" i="3" l="1"/>
  <c r="G16" i="3" s="1"/>
  <c r="J16" i="3" s="1"/>
  <c r="I16" i="3"/>
  <c r="K16" i="3"/>
  <c r="E15" i="3"/>
  <c r="G15" i="3" s="1"/>
  <c r="J15" i="3" s="1"/>
  <c r="I15" i="3"/>
  <c r="K15" i="3"/>
  <c r="E14" i="3"/>
  <c r="G14" i="3" s="1"/>
  <c r="J14" i="3" s="1"/>
  <c r="I14" i="3"/>
  <c r="K14" i="3"/>
  <c r="E13" i="3" l="1"/>
  <c r="G13" i="3" s="1"/>
  <c r="J13" i="3" s="1"/>
  <c r="I13" i="3"/>
  <c r="K13" i="3"/>
  <c r="K3" i="3" l="1"/>
  <c r="K4" i="3"/>
  <c r="K5" i="3"/>
  <c r="K6" i="3"/>
  <c r="K7" i="3"/>
  <c r="K8" i="3"/>
  <c r="K9" i="3"/>
  <c r="K10" i="3"/>
  <c r="K11" i="3"/>
  <c r="K12" i="3"/>
  <c r="K2" i="3"/>
  <c r="I3" i="3"/>
  <c r="I4" i="3"/>
  <c r="I5" i="3"/>
  <c r="I6" i="3"/>
  <c r="I7" i="3"/>
  <c r="I8" i="3"/>
  <c r="I9" i="3"/>
  <c r="I10" i="3"/>
  <c r="I11" i="3"/>
  <c r="I12" i="3"/>
  <c r="I2" i="3"/>
  <c r="E3" i="3"/>
  <c r="G3" i="3" s="1"/>
  <c r="E2" i="3"/>
  <c r="G2" i="3" s="1"/>
  <c r="E4" i="3"/>
  <c r="G4" i="3" s="1"/>
  <c r="E5" i="3"/>
  <c r="G5" i="3" s="1"/>
  <c r="E6" i="3"/>
  <c r="G6" i="3" s="1"/>
  <c r="J6" i="3" s="1"/>
  <c r="E7" i="3"/>
  <c r="G7" i="3" s="1"/>
  <c r="E8" i="3"/>
  <c r="G8" i="3" s="1"/>
  <c r="E9" i="3"/>
  <c r="G9" i="3" s="1"/>
  <c r="E10" i="3"/>
  <c r="G10" i="3" s="1"/>
  <c r="E11" i="3"/>
  <c r="G11" i="3" s="1"/>
  <c r="E12" i="3"/>
  <c r="G12" i="3" s="1"/>
  <c r="J12" i="3" s="1"/>
  <c r="J4" i="3" l="1"/>
  <c r="N39" i="6"/>
  <c r="M39" i="6" s="1"/>
  <c r="N24" i="6"/>
  <c r="M24" i="6" s="1"/>
  <c r="N19" i="6"/>
  <c r="M19" i="6" s="1"/>
  <c r="N35" i="6"/>
  <c r="M35" i="6" s="1"/>
  <c r="N43" i="6"/>
  <c r="M43" i="6" s="1"/>
  <c r="N28" i="6"/>
  <c r="M28" i="6" s="1"/>
  <c r="N37" i="6"/>
  <c r="M37" i="6" s="1"/>
  <c r="N45" i="6"/>
  <c r="M45" i="6" s="1"/>
  <c r="N32" i="6"/>
  <c r="M32" i="6" s="1"/>
  <c r="N33" i="6"/>
  <c r="M33" i="6" s="1"/>
  <c r="N26" i="6"/>
  <c r="M26" i="6" s="1"/>
  <c r="N22" i="6"/>
  <c r="M22" i="6" s="1"/>
  <c r="N30" i="6"/>
  <c r="M30" i="6" s="1"/>
  <c r="N41" i="6"/>
  <c r="M41" i="6" s="1"/>
  <c r="N18" i="6"/>
  <c r="M18" i="6" s="1"/>
  <c r="J2" i="3"/>
  <c r="N71" i="6"/>
  <c r="M71" i="6" s="1"/>
  <c r="N79" i="6"/>
  <c r="M79" i="6" s="1"/>
  <c r="N87" i="6"/>
  <c r="M87" i="6" s="1"/>
  <c r="N103" i="6"/>
  <c r="M103" i="6" s="1"/>
  <c r="N105" i="6"/>
  <c r="M105" i="6" s="1"/>
  <c r="N106" i="6"/>
  <c r="M106" i="6" s="1"/>
  <c r="N75" i="6"/>
  <c r="M75" i="6" s="1"/>
  <c r="N83" i="6"/>
  <c r="M83" i="6" s="1"/>
  <c r="N91" i="6"/>
  <c r="M91" i="6" s="1"/>
  <c r="N99" i="6"/>
  <c r="M99" i="6" s="1"/>
  <c r="N107" i="6"/>
  <c r="M107" i="6" s="1"/>
  <c r="N77" i="6"/>
  <c r="M77" i="6" s="1"/>
  <c r="N85" i="6"/>
  <c r="M85" i="6" s="1"/>
  <c r="N93" i="6"/>
  <c r="M93" i="6" s="1"/>
  <c r="N101" i="6"/>
  <c r="M101" i="6" s="1"/>
  <c r="N73" i="6"/>
  <c r="M73" i="6" s="1"/>
  <c r="N97" i="6"/>
  <c r="M97" i="6" s="1"/>
  <c r="N94" i="6"/>
  <c r="M94" i="6" s="1"/>
  <c r="N81" i="6"/>
  <c r="M81" i="6" s="1"/>
  <c r="N89" i="6"/>
  <c r="M89" i="6" s="1"/>
  <c r="J10" i="3"/>
  <c r="N108" i="6"/>
  <c r="M108" i="6" s="1"/>
  <c r="J3" i="3"/>
  <c r="N95" i="6"/>
  <c r="M95" i="6" s="1"/>
  <c r="N72" i="6"/>
  <c r="M72" i="6" s="1"/>
  <c r="N80" i="6"/>
  <c r="M80" i="6" s="1"/>
  <c r="N104" i="6"/>
  <c r="M104" i="6" s="1"/>
  <c r="N74" i="6"/>
  <c r="M74" i="6" s="1"/>
  <c r="N98" i="6"/>
  <c r="M98" i="6" s="1"/>
  <c r="N76" i="6"/>
  <c r="M76" i="6" s="1"/>
  <c r="N84" i="6"/>
  <c r="M84" i="6" s="1"/>
  <c r="N92" i="6"/>
  <c r="M92" i="6" s="1"/>
  <c r="N100" i="6"/>
  <c r="M100" i="6" s="1"/>
  <c r="N96" i="6"/>
  <c r="M96" i="6" s="1"/>
  <c r="N82" i="6"/>
  <c r="M82" i="6" s="1"/>
  <c r="N78" i="6"/>
  <c r="M78" i="6" s="1"/>
  <c r="N86" i="6"/>
  <c r="M86" i="6" s="1"/>
  <c r="N102" i="6"/>
  <c r="M102" i="6" s="1"/>
  <c r="N88" i="6"/>
  <c r="M88" i="6" s="1"/>
  <c r="N90" i="6"/>
  <c r="M90" i="6" s="1"/>
  <c r="J9" i="3"/>
  <c r="N15" i="6"/>
  <c r="M15" i="6" s="1"/>
  <c r="N55" i="6"/>
  <c r="M55" i="6" s="1"/>
  <c r="N49" i="6"/>
  <c r="M49" i="6" s="1"/>
  <c r="N58" i="6"/>
  <c r="M58" i="6" s="1"/>
  <c r="N8" i="6"/>
  <c r="M8" i="6" s="1"/>
  <c r="N9" i="6"/>
  <c r="M9" i="6" s="1"/>
  <c r="N11" i="6"/>
  <c r="M11" i="6" s="1"/>
  <c r="N67" i="6"/>
  <c r="M67" i="6" s="1"/>
  <c r="N52" i="6"/>
  <c r="M52" i="6" s="1"/>
  <c r="N61" i="6"/>
  <c r="M61" i="6" s="1"/>
  <c r="N14" i="6"/>
  <c r="M14" i="6" s="1"/>
  <c r="N70" i="6"/>
  <c r="M70" i="6" s="1"/>
  <c r="N111" i="6"/>
  <c r="M111" i="6" s="1"/>
  <c r="N64" i="6"/>
  <c r="M64" i="6" s="1"/>
  <c r="N17" i="6"/>
  <c r="M17" i="6" s="1"/>
  <c r="J7" i="3"/>
  <c r="N3" i="6"/>
  <c r="M3" i="6" s="1"/>
  <c r="N2" i="6"/>
  <c r="M2" i="6" s="1"/>
  <c r="N4" i="6"/>
  <c r="M4" i="6" s="1"/>
  <c r="N5" i="6"/>
  <c r="M5" i="6" s="1"/>
  <c r="N112" i="6"/>
  <c r="M112" i="6" s="1"/>
  <c r="N113" i="6"/>
  <c r="M113" i="6" s="1"/>
  <c r="J11" i="3"/>
  <c r="N109" i="6"/>
  <c r="M109" i="6" s="1"/>
  <c r="J8" i="3"/>
  <c r="N7" i="6"/>
  <c r="M7" i="6" s="1"/>
  <c r="N47" i="6"/>
  <c r="M47" i="6" s="1"/>
  <c r="N63" i="6"/>
  <c r="M63" i="6" s="1"/>
  <c r="N56" i="6"/>
  <c r="M56" i="6" s="1"/>
  <c r="N10" i="6"/>
  <c r="M10" i="6" s="1"/>
  <c r="N51" i="6"/>
  <c r="M51" i="6" s="1"/>
  <c r="N59" i="6"/>
  <c r="M59" i="6" s="1"/>
  <c r="N12" i="6"/>
  <c r="M12" i="6" s="1"/>
  <c r="N60" i="6"/>
  <c r="M60" i="6" s="1"/>
  <c r="N68" i="6"/>
  <c r="M68" i="6" s="1"/>
  <c r="N13" i="6"/>
  <c r="M13" i="6" s="1"/>
  <c r="N53" i="6"/>
  <c r="M53" i="6" s="1"/>
  <c r="N69" i="6"/>
  <c r="M69" i="6" s="1"/>
  <c r="N57" i="6"/>
  <c r="M57" i="6" s="1"/>
  <c r="N50" i="6"/>
  <c r="M50" i="6" s="1"/>
  <c r="N66" i="6"/>
  <c r="M66" i="6" s="1"/>
  <c r="N6" i="6"/>
  <c r="M6" i="6" s="1"/>
  <c r="N54" i="6"/>
  <c r="M54" i="6" s="1"/>
  <c r="N62" i="6"/>
  <c r="M62" i="6" s="1"/>
  <c r="N110" i="6"/>
  <c r="M110" i="6" s="1"/>
  <c r="N16" i="6"/>
  <c r="M16" i="6" s="1"/>
  <c r="N48" i="6"/>
  <c r="M48" i="6" s="1"/>
  <c r="N65" i="6"/>
  <c r="M65" i="6" s="1"/>
  <c r="J5" i="3"/>
  <c r="N23" i="6"/>
  <c r="M23" i="6" s="1"/>
  <c r="N31" i="6"/>
  <c r="M31" i="6" s="1"/>
  <c r="N40" i="6"/>
  <c r="M40" i="6" s="1"/>
  <c r="N25" i="6"/>
  <c r="M25" i="6" s="1"/>
  <c r="N34" i="6"/>
  <c r="M34" i="6" s="1"/>
  <c r="N27" i="6"/>
  <c r="M27" i="6" s="1"/>
  <c r="N20" i="6"/>
  <c r="M20" i="6" s="1"/>
  <c r="N36" i="6"/>
  <c r="M36" i="6" s="1"/>
  <c r="N44" i="6"/>
  <c r="M44" i="6" s="1"/>
  <c r="N21" i="6"/>
  <c r="M21" i="6" s="1"/>
  <c r="N29" i="6"/>
  <c r="M29" i="6" s="1"/>
  <c r="N38" i="6"/>
  <c r="M38" i="6" s="1"/>
  <c r="N46" i="6"/>
  <c r="M46" i="6" s="1"/>
  <c r="N42" i="6"/>
  <c r="M42" i="6" s="1"/>
  <c r="I2" i="6"/>
  <c r="O2" i="6"/>
  <c r="L2" i="6" l="1"/>
</calcChain>
</file>

<file path=xl/sharedStrings.xml><?xml version="1.0" encoding="utf-8"?>
<sst xmlns="http://schemas.openxmlformats.org/spreadsheetml/2006/main" count="8913" uniqueCount="1927">
  <si>
    <t>0</t>
  </si>
  <si>
    <t>SectionID</t>
  </si>
  <si>
    <t>Programme Title</t>
  </si>
  <si>
    <t>Base Code</t>
  </si>
  <si>
    <t>Pregion</t>
  </si>
  <si>
    <t>Intake</t>
  </si>
  <si>
    <t>FullProgCode</t>
  </si>
  <si>
    <t>Campus</t>
  </si>
  <si>
    <t>FullPDescript</t>
  </si>
  <si>
    <t>ProgStudSet</t>
  </si>
  <si>
    <t>Prog1Code</t>
  </si>
  <si>
    <t>Business</t>
  </si>
  <si>
    <t>Bachelor of Business Studies</t>
  </si>
  <si>
    <t>BBS</t>
  </si>
  <si>
    <t>Feb</t>
  </si>
  <si>
    <t>Taradale</t>
  </si>
  <si>
    <t>Palmerston Rd</t>
  </si>
  <si>
    <t>Bachelor of Accounting</t>
  </si>
  <si>
    <t>BoA</t>
  </si>
  <si>
    <t>Stout St</t>
  </si>
  <si>
    <t>Jul</t>
  </si>
  <si>
    <t>Wairoa</t>
  </si>
  <si>
    <t>New Zealand Certificate in Business (Accounting Support Services) (L4)</t>
  </si>
  <si>
    <t>CBASS</t>
  </si>
  <si>
    <t>New Zealand Diploma in Business L5</t>
  </si>
  <si>
    <t>NZDB</t>
  </si>
  <si>
    <t>School-based Activities</t>
  </si>
  <si>
    <t>SBA</t>
  </si>
  <si>
    <t>Comput</t>
  </si>
  <si>
    <t>Test Programme</t>
  </si>
  <si>
    <t>Test</t>
  </si>
  <si>
    <t>1</t>
  </si>
  <si>
    <t>EDSS</t>
  </si>
  <si>
    <t>Changed</t>
  </si>
  <si>
    <t>cha</t>
  </si>
  <si>
    <t>Oct</t>
  </si>
  <si>
    <t>Nursing</t>
  </si>
  <si>
    <t>vbnmvbnm</t>
  </si>
  <si>
    <t>SoN</t>
  </si>
  <si>
    <t>Ruatoria</t>
  </si>
  <si>
    <t>BRU</t>
  </si>
  <si>
    <t>Second Create Test</t>
  </si>
  <si>
    <t>puiop</t>
  </si>
  <si>
    <t>Jan</t>
  </si>
  <si>
    <t>dfghdfghdfghdfgh</t>
  </si>
  <si>
    <t>dfgh</t>
  </si>
  <si>
    <t>qwer</t>
  </si>
  <si>
    <t>qwe</t>
  </si>
  <si>
    <t>Waipukurau</t>
  </si>
  <si>
    <t>ghjk</t>
  </si>
  <si>
    <t>ghj</t>
  </si>
  <si>
    <t>vcxzcvzxcvzxcvzx</t>
  </si>
  <si>
    <t>zxc</t>
  </si>
  <si>
    <t>asdfasdfasdf</t>
  </si>
  <si>
    <t>asdf</t>
  </si>
  <si>
    <t>Dec24</t>
  </si>
  <si>
    <t>Oct24</t>
  </si>
  <si>
    <t>soct</t>
  </si>
  <si>
    <t>Nov24</t>
  </si>
  <si>
    <t>zxcv</t>
  </si>
  <si>
    <t>rty</t>
  </si>
  <si>
    <t>rewq</t>
  </si>
  <si>
    <t>ghghghghg</t>
  </si>
  <si>
    <t>Aug24</t>
  </si>
  <si>
    <t>hjkl</t>
  </si>
  <si>
    <t>asdflkjh</t>
  </si>
  <si>
    <t>CourseID</t>
  </si>
  <si>
    <t>CourseCode</t>
  </si>
  <si>
    <t>CRegion</t>
  </si>
  <si>
    <t>CIntake</t>
  </si>
  <si>
    <t>ProgNumb</t>
  </si>
  <si>
    <t>Completed</t>
  </si>
  <si>
    <t>CSection</t>
  </si>
  <si>
    <t>CourseFullCode</t>
  </si>
  <si>
    <t>OnlyMod</t>
  </si>
  <si>
    <t>Ccampus</t>
  </si>
  <si>
    <t>FullCDescript</t>
  </si>
  <si>
    <t>StudSet</t>
  </si>
  <si>
    <t>ProgFullCode</t>
  </si>
  <si>
    <t>Mod1Code</t>
  </si>
  <si>
    <t>Accrual Accounting</t>
  </si>
  <si>
    <t>AC4.01</t>
  </si>
  <si>
    <t>HB</t>
  </si>
  <si>
    <t>Accounting for Taxation</t>
  </si>
  <si>
    <t>AC4.02</t>
  </si>
  <si>
    <t>Accounting Software</t>
  </si>
  <si>
    <t>AC4.03</t>
  </si>
  <si>
    <t>Apr</t>
  </si>
  <si>
    <t>Payroll</t>
  </si>
  <si>
    <t>AC4.04</t>
  </si>
  <si>
    <t>Introduction to Accounting and Taxation</t>
  </si>
  <si>
    <t>ACCY5101</t>
  </si>
  <si>
    <t>TC</t>
  </si>
  <si>
    <t>Applied Accounting</t>
  </si>
  <si>
    <t>ACCY5102</t>
  </si>
  <si>
    <t>Analysis of Financial Information</t>
  </si>
  <si>
    <t>ACCY5103</t>
  </si>
  <si>
    <t>Budgets for Planning &amp; Control</t>
  </si>
  <si>
    <t>ACCY5104</t>
  </si>
  <si>
    <t>Commercial Law</t>
  </si>
  <si>
    <t>ACCY5105</t>
  </si>
  <si>
    <t>Economics</t>
  </si>
  <si>
    <t>ACCY5106</t>
  </si>
  <si>
    <t>Intermediate Management Accounting</t>
  </si>
  <si>
    <t>ACCY6101</t>
  </si>
  <si>
    <t>Intermediate Financial Accounting</t>
  </si>
  <si>
    <t>ACCY6102</t>
  </si>
  <si>
    <t>Taxation in Aotearoa New Zealand</t>
  </si>
  <si>
    <t>ACCY6103</t>
  </si>
  <si>
    <t>Introductiion to Finance</t>
  </si>
  <si>
    <t>ACCY6104</t>
  </si>
  <si>
    <t>Introduction to Finance</t>
  </si>
  <si>
    <t>Data Analytics</t>
  </si>
  <si>
    <t>ACCY6105</t>
  </si>
  <si>
    <t>Law of Business Entities</t>
  </si>
  <si>
    <t>ACCY6106</t>
  </si>
  <si>
    <t>Law of Business Entiities</t>
  </si>
  <si>
    <t>Research Methods</t>
  </si>
  <si>
    <t>ACCY6107</t>
  </si>
  <si>
    <t>Accounting Information Systems</t>
  </si>
  <si>
    <t>ACCY6108</t>
  </si>
  <si>
    <t>Advanced Management Accounting</t>
  </si>
  <si>
    <t>ACCY7101</t>
  </si>
  <si>
    <t>Advanced Financial Accounting</t>
  </si>
  <si>
    <t>ACCY7102</t>
  </si>
  <si>
    <t>Audit and Assurance</t>
  </si>
  <si>
    <t>ACCY7103</t>
  </si>
  <si>
    <t>Organisations in an Aotearoa New Zealand</t>
  </si>
  <si>
    <t>BSNS5001</t>
  </si>
  <si>
    <t>Business Environments</t>
  </si>
  <si>
    <t>BSNS5002</t>
  </si>
  <si>
    <t>Business Environmentsss</t>
  </si>
  <si>
    <t>Business Functions</t>
  </si>
  <si>
    <t>BSNS5003</t>
  </si>
  <si>
    <t>Change and Innovation</t>
  </si>
  <si>
    <t>BSNS5004</t>
  </si>
  <si>
    <t>Introduction to Leadership</t>
  </si>
  <si>
    <t>BSNS5401</t>
  </si>
  <si>
    <t>Operations Management and Compliance</t>
  </si>
  <si>
    <t>BSNS5402</t>
  </si>
  <si>
    <t>Business Planning</t>
  </si>
  <si>
    <t>BSNS5403</t>
  </si>
  <si>
    <t>Managing Projects</t>
  </si>
  <si>
    <t>BSNS5404</t>
  </si>
  <si>
    <t>Accounting and Finance for Managers</t>
  </si>
  <si>
    <t>LM6.01</t>
  </si>
  <si>
    <t>LM6.02</t>
  </si>
  <si>
    <t>International Business</t>
  </si>
  <si>
    <t>LM7.07</t>
  </si>
  <si>
    <t>Supply Chain Management</t>
  </si>
  <si>
    <t>MG6.01</t>
  </si>
  <si>
    <t>Designing and Improving Operations</t>
  </si>
  <si>
    <t>MG6.02</t>
  </si>
  <si>
    <t>Human Resource Management</t>
  </si>
  <si>
    <t>MG6.03</t>
  </si>
  <si>
    <t>Organisational Behaviour</t>
  </si>
  <si>
    <t>MG6.04</t>
  </si>
  <si>
    <t>Employment Relations</t>
  </si>
  <si>
    <t>MG6.05</t>
  </si>
  <si>
    <t>Strategic Management</t>
  </si>
  <si>
    <t>MG7.01</t>
  </si>
  <si>
    <t>Advanced Operations Management</t>
  </si>
  <si>
    <t>MG7.02</t>
  </si>
  <si>
    <t>Advanced Human Resource Management</t>
  </si>
  <si>
    <t>MG7.03</t>
  </si>
  <si>
    <t>Career Management</t>
  </si>
  <si>
    <t>MG7.04</t>
  </si>
  <si>
    <t>Entrepreneurship and Innovation</t>
  </si>
  <si>
    <t>MG7.05</t>
  </si>
  <si>
    <t>Marketing Management</t>
  </si>
  <si>
    <t>MK6.01</t>
  </si>
  <si>
    <t>Consumer Behaviour</t>
  </si>
  <si>
    <t>MK6.02</t>
  </si>
  <si>
    <t>Branding</t>
  </si>
  <si>
    <t>MK6.03</t>
  </si>
  <si>
    <t>Strategic Marketing</t>
  </si>
  <si>
    <t>MK7.01</t>
  </si>
  <si>
    <t>Marketing Research</t>
  </si>
  <si>
    <t>MK7.02</t>
  </si>
  <si>
    <t>Social Media Marketing</t>
  </si>
  <si>
    <t>MK7.10</t>
  </si>
  <si>
    <t>School-based Activitties</t>
  </si>
  <si>
    <t>afaf</t>
  </si>
  <si>
    <t>asfa</t>
  </si>
  <si>
    <t>Working</t>
  </si>
  <si>
    <t>acccececcc</t>
  </si>
  <si>
    <t>Blah Blah</t>
  </si>
  <si>
    <t>BLAH</t>
  </si>
  <si>
    <t>exceciec</t>
  </si>
  <si>
    <t>EX</t>
  </si>
  <si>
    <t>ID</t>
  </si>
  <si>
    <t>Staff</t>
  </si>
  <si>
    <t>Name</t>
  </si>
  <si>
    <t>A Burke</t>
  </si>
  <si>
    <t>Burke, A</t>
  </si>
  <si>
    <t>A Cranston</t>
  </si>
  <si>
    <t>Cranston, A</t>
  </si>
  <si>
    <t>A Nepe-Apatu</t>
  </si>
  <si>
    <t>Nepe-Apatu, A</t>
  </si>
  <si>
    <t>A White</t>
  </si>
  <si>
    <t>White, A</t>
  </si>
  <si>
    <t>Aaron McNaught</t>
  </si>
  <si>
    <t>McNaught, A</t>
  </si>
  <si>
    <t>Abbie March</t>
  </si>
  <si>
    <t>March, A</t>
  </si>
  <si>
    <t>Abby Davis</t>
  </si>
  <si>
    <t>Davis, A</t>
  </si>
  <si>
    <t>Accl4/5</t>
  </si>
  <si>
    <t>Adam Smith</t>
  </si>
  <si>
    <t>Smith, A</t>
  </si>
  <si>
    <t>Adrianna Grogan</t>
  </si>
  <si>
    <t>Grogan, A</t>
  </si>
  <si>
    <t>Ahuriri Houkamau</t>
  </si>
  <si>
    <t>Houkamau, A</t>
  </si>
  <si>
    <t>Akbar Hossain</t>
  </si>
  <si>
    <t>Hossain, A</t>
  </si>
  <si>
    <t>Al Akroyd</t>
  </si>
  <si>
    <t>Akroyd, A</t>
  </si>
  <si>
    <t>Alan Barton</t>
  </si>
  <si>
    <t>Barton, A</t>
  </si>
  <si>
    <t>Alan Tyrell</t>
  </si>
  <si>
    <t>Tyrrell, A</t>
  </si>
  <si>
    <t>Alannah Meyer</t>
  </si>
  <si>
    <t>Meyer, A</t>
  </si>
  <si>
    <t>Alesha Lewis</t>
  </si>
  <si>
    <t>Lewis, A</t>
  </si>
  <si>
    <t>Alexandra Dawson</t>
  </si>
  <si>
    <t>Dawson, A</t>
  </si>
  <si>
    <t>Alice Nevison</t>
  </si>
  <si>
    <t>Nevison, A</t>
  </si>
  <si>
    <t>Alinka Julian</t>
  </si>
  <si>
    <t>Julian, A</t>
  </si>
  <si>
    <t>Alison Clear</t>
  </si>
  <si>
    <t>Clear, A</t>
  </si>
  <si>
    <t>Aman Kaur</t>
  </si>
  <si>
    <t>Kaur, A</t>
  </si>
  <si>
    <t>Amanda Bowman</t>
  </si>
  <si>
    <t>Bowman, A</t>
  </si>
  <si>
    <t>Amanda Libeau</t>
  </si>
  <si>
    <t>Libeau, A</t>
  </si>
  <si>
    <t>Amanda McFarlane</t>
  </si>
  <si>
    <t>McFarlane, A</t>
  </si>
  <si>
    <t>Amber Ramsay</t>
  </si>
  <si>
    <t>Ramsay, A</t>
  </si>
  <si>
    <t>Amelia McQueen</t>
  </si>
  <si>
    <t>McQueen, A</t>
  </si>
  <si>
    <t>Amy Hopkinson-Styles</t>
  </si>
  <si>
    <t>Hopkinson-Styles, A</t>
  </si>
  <si>
    <t>Anabelle Jane</t>
  </si>
  <si>
    <t>Jane, A</t>
  </si>
  <si>
    <t>Anastasia Mozhaeva</t>
  </si>
  <si>
    <t>Mozhaeva, A</t>
  </si>
  <si>
    <t>Andrea Baikie</t>
  </si>
  <si>
    <t>Baikie, A</t>
  </si>
  <si>
    <t>Andrew Baker</t>
  </si>
  <si>
    <t>Baker, A</t>
  </si>
  <si>
    <t>Andrew Hume</t>
  </si>
  <si>
    <t>Hume, A</t>
  </si>
  <si>
    <t>Andrew McCrory</t>
  </si>
  <si>
    <t>McCrory, A</t>
  </si>
  <si>
    <t>Andy Sinclair</t>
  </si>
  <si>
    <t>Sinclair, A</t>
  </si>
  <si>
    <t>Angela Tibble</t>
  </si>
  <si>
    <t>Tibble, A</t>
  </si>
  <si>
    <t>Angela Yang</t>
  </si>
  <si>
    <t>Yang, A</t>
  </si>
  <si>
    <t>Anita Jagroop-Dearing</t>
  </si>
  <si>
    <t>Jagroop-Dearing, A</t>
  </si>
  <si>
    <t>Anna Charrington</t>
  </si>
  <si>
    <t>Charrington, A</t>
  </si>
  <si>
    <t>Anne Hiha</t>
  </si>
  <si>
    <t>Hiha, A</t>
  </si>
  <si>
    <t>Anne McGuire</t>
  </si>
  <si>
    <t>McGuire, A</t>
  </si>
  <si>
    <t>Ant Mackenzie</t>
  </si>
  <si>
    <t>Mackenzie, A</t>
  </si>
  <si>
    <t>Anthony Chiappin</t>
  </si>
  <si>
    <t>Chiappin, A</t>
  </si>
  <si>
    <t>Ashleigh Seagar</t>
  </si>
  <si>
    <t>Seagar, A</t>
  </si>
  <si>
    <t>Ashleigh Sheldrake</t>
  </si>
  <si>
    <t>Sheldrake, A</t>
  </si>
  <si>
    <t>Awhina English</t>
  </si>
  <si>
    <t>English, A</t>
  </si>
  <si>
    <t>B Horwell</t>
  </si>
  <si>
    <t>Horwell, B</t>
  </si>
  <si>
    <t>Barbara Stokes</t>
  </si>
  <si>
    <t>Stokes, B</t>
  </si>
  <si>
    <t>Barbara West</t>
  </si>
  <si>
    <t>West, B</t>
  </si>
  <si>
    <t>Bartlett, H</t>
  </si>
  <si>
    <t>Beernink, C</t>
  </si>
  <si>
    <t>Belinda Stovell</t>
  </si>
  <si>
    <t>Stovell, B</t>
  </si>
  <si>
    <t>Ben Aldrich</t>
  </si>
  <si>
    <t>Aldrich, B</t>
  </si>
  <si>
    <t>Ben Stevenson</t>
  </si>
  <si>
    <t>Stevenson, B</t>
  </si>
  <si>
    <t>Blackburn, C</t>
  </si>
  <si>
    <t>Bobbi-Lee Satchwell</t>
  </si>
  <si>
    <t>Satchwell, B</t>
  </si>
  <si>
    <t>Booth, E</t>
  </si>
  <si>
    <t>Boydie Hall</t>
  </si>
  <si>
    <t>Hall, B</t>
  </si>
  <si>
    <t>Brett Cranswick</t>
  </si>
  <si>
    <t>Cranswick, B</t>
  </si>
  <si>
    <t>Brett Graham</t>
  </si>
  <si>
    <t>Graham, B</t>
  </si>
  <si>
    <t>Brian MacLay</t>
  </si>
  <si>
    <t>McLay, B</t>
  </si>
  <si>
    <t>Brian Rio</t>
  </si>
  <si>
    <t>Rio, B</t>
  </si>
  <si>
    <t>Briar Davies</t>
  </si>
  <si>
    <t>Davies, B</t>
  </si>
  <si>
    <t>Bridget French-Hall</t>
  </si>
  <si>
    <t>French, B</t>
  </si>
  <si>
    <t>Bridget Sutherland</t>
  </si>
  <si>
    <t>Sutherland, B</t>
  </si>
  <si>
    <t>Brydon Nisbet</t>
  </si>
  <si>
    <t>Nisbet, B</t>
  </si>
  <si>
    <t>Business Contractor</t>
  </si>
  <si>
    <t>Bus, Contractor</t>
  </si>
  <si>
    <t>Byron Mabbett</t>
  </si>
  <si>
    <t>Mabbett, B</t>
  </si>
  <si>
    <t>C MacKenzie</t>
  </si>
  <si>
    <t>MacKenzie, C</t>
  </si>
  <si>
    <t>C Ratima</t>
  </si>
  <si>
    <t>Ratima, C</t>
  </si>
  <si>
    <t>C Vuicakau</t>
  </si>
  <si>
    <t>Vuicakau, C</t>
  </si>
  <si>
    <t>Caldwell, A</t>
  </si>
  <si>
    <t>Campbell Johnston</t>
  </si>
  <si>
    <t>Johnston, C</t>
  </si>
  <si>
    <t>Campbell, K</t>
  </si>
  <si>
    <t>Carl Paton</t>
  </si>
  <si>
    <t>Paton, C</t>
  </si>
  <si>
    <t>Carlos Mancer</t>
  </si>
  <si>
    <t>Mancer, C</t>
  </si>
  <si>
    <t>Carolyn Russell</t>
  </si>
  <si>
    <t>Russell, C</t>
  </si>
  <si>
    <t>Casey Aranui</t>
  </si>
  <si>
    <t>Aranui, C</t>
  </si>
  <si>
    <t>Celia Kurta</t>
  </si>
  <si>
    <t>Kurta, C</t>
  </si>
  <si>
    <t>Chad Tareha</t>
  </si>
  <si>
    <t>Tareha, C</t>
  </si>
  <si>
    <t>Chaffey-Aupouri, T</t>
  </si>
  <si>
    <t>Chance Rohe</t>
  </si>
  <si>
    <t>Rohe, C</t>
  </si>
  <si>
    <t>Chandre Honeth</t>
  </si>
  <si>
    <t>Honeth, C</t>
  </si>
  <si>
    <t>Chanel Ruawai</t>
  </si>
  <si>
    <t>Ruawai, C</t>
  </si>
  <si>
    <t>Charlotte Chisnell</t>
  </si>
  <si>
    <t>Chisnell, C</t>
  </si>
  <si>
    <t>Cheryl  Downie</t>
  </si>
  <si>
    <t>Downie, C</t>
  </si>
  <si>
    <t>Cheryl Newman</t>
  </si>
  <si>
    <t>Newman, C</t>
  </si>
  <si>
    <t>Chey Dearing</t>
  </si>
  <si>
    <t>Dearing, C</t>
  </si>
  <si>
    <t>Chris Bryant-Toi</t>
  </si>
  <si>
    <t>Bryant-Toi, C</t>
  </si>
  <si>
    <t>Chris Malcolm</t>
  </si>
  <si>
    <t>Malcolm, C</t>
  </si>
  <si>
    <t>Chris Olsen</t>
  </si>
  <si>
    <t>Olsen, C</t>
  </si>
  <si>
    <t>Chris Thorman</t>
  </si>
  <si>
    <t>Thorman, C</t>
  </si>
  <si>
    <t>Chris Toomey</t>
  </si>
  <si>
    <t>Toomey, C</t>
  </si>
  <si>
    <t>Chris Treacher</t>
  </si>
  <si>
    <t>Treacher, C</t>
  </si>
  <si>
    <t>Claire McCormick</t>
  </si>
  <si>
    <t>McCormick, C</t>
  </si>
  <si>
    <t>Clapham, A</t>
  </si>
  <si>
    <t>Clare Buckner</t>
  </si>
  <si>
    <t>Buckner, C</t>
  </si>
  <si>
    <t>Clare Wills</t>
  </si>
  <si>
    <t>Wills, C</t>
  </si>
  <si>
    <t>Clarke Allen</t>
  </si>
  <si>
    <t>Allen, C</t>
  </si>
  <si>
    <t>Claudia Maaka</t>
  </si>
  <si>
    <t>Maaka, C</t>
  </si>
  <si>
    <t>Clint Whitewood</t>
  </si>
  <si>
    <t>Whitewood, C</t>
  </si>
  <si>
    <t>Cole Petterson</t>
  </si>
  <si>
    <t>Petterson, C</t>
  </si>
  <si>
    <t>Community Computing, H</t>
  </si>
  <si>
    <t>Conrad Schumacher</t>
  </si>
  <si>
    <t>Schumacher, C</t>
  </si>
  <si>
    <t>Contractor for Post grad Health</t>
  </si>
  <si>
    <t>Contractor-PGH</t>
  </si>
  <si>
    <t>Corey McKenzie</t>
  </si>
  <si>
    <t>McKenzie, C</t>
  </si>
  <si>
    <t>Courtenay Booth</t>
  </si>
  <si>
    <t>Booth, C</t>
  </si>
  <si>
    <t>Courtney Blair</t>
  </si>
  <si>
    <t>Blair, C</t>
  </si>
  <si>
    <t>Courtney Cowan</t>
  </si>
  <si>
    <t>Cowan, C</t>
  </si>
  <si>
    <t>Craig Roberts</t>
  </si>
  <si>
    <t>Roberts, C</t>
  </si>
  <si>
    <t>Craig Wooley</t>
  </si>
  <si>
    <t>Wooley, C</t>
  </si>
  <si>
    <t>Crystal Edwards</t>
  </si>
  <si>
    <t>Edwards, C</t>
  </si>
  <si>
    <t>Crystal Herbert</t>
  </si>
  <si>
    <t>Herbert, C</t>
  </si>
  <si>
    <t>CSCP L4 - HB</t>
  </si>
  <si>
    <t>CSCP L4-HB</t>
  </si>
  <si>
    <t>CSCP L4-TC</t>
  </si>
  <si>
    <t>da Silva Vilhena, G</t>
  </si>
  <si>
    <t>Dan Gallagher</t>
  </si>
  <si>
    <t>Gallagher, D</t>
  </si>
  <si>
    <t>Dana Armstrong</t>
  </si>
  <si>
    <t>Armstrong, D</t>
  </si>
  <si>
    <t>Daniel Chamberlain</t>
  </si>
  <si>
    <t>Chamberlain, D</t>
  </si>
  <si>
    <t>Daniel Dang</t>
  </si>
  <si>
    <t>Dang, D</t>
  </si>
  <si>
    <t>Danielle Angland</t>
  </si>
  <si>
    <t>Angland, D</t>
  </si>
  <si>
    <t>Darren Markenstein</t>
  </si>
  <si>
    <t>Markenstein, D</t>
  </si>
  <si>
    <t>David Jordan</t>
  </si>
  <si>
    <t>Jordan, D</t>
  </si>
  <si>
    <t>David Skelton</t>
  </si>
  <si>
    <t>Skelton, D</t>
  </si>
  <si>
    <t>David Tanner</t>
  </si>
  <si>
    <t>Tanner, D</t>
  </si>
  <si>
    <t>Deb Stewart</t>
  </si>
  <si>
    <t>Stewart, D</t>
  </si>
  <si>
    <t>Debbie Leach</t>
  </si>
  <si>
    <t>Leach, D</t>
  </si>
  <si>
    <t>Denise Blanchard</t>
  </si>
  <si>
    <t>Blanchard, D</t>
  </si>
  <si>
    <t>Denise te Hau</t>
  </si>
  <si>
    <t>Te Hau, D</t>
  </si>
  <si>
    <t>Derek Lardelli</t>
  </si>
  <si>
    <t>Lardelli, D</t>
  </si>
  <si>
    <t>Desma Culshaw</t>
  </si>
  <si>
    <t>Culshaw, D</t>
  </si>
  <si>
    <t>Diana Desmond</t>
  </si>
  <si>
    <t>Desmond, D</t>
  </si>
  <si>
    <t>Diana Friis</t>
  </si>
  <si>
    <t>Friis, D</t>
  </si>
  <si>
    <t>Diana Kirton</t>
  </si>
  <si>
    <t>Kirton, D</t>
  </si>
  <si>
    <t>Diane Wilkie</t>
  </si>
  <si>
    <t>Wilkie, D</t>
  </si>
  <si>
    <t>Dobrila Lopez</t>
  </si>
  <si>
    <t>Lopez, D</t>
  </si>
  <si>
    <t>Dorothy Hayes</t>
  </si>
  <si>
    <t>Hayes, D</t>
  </si>
  <si>
    <t>Doug Neilson</t>
  </si>
  <si>
    <t>Neilson, D</t>
  </si>
  <si>
    <t>Dr Dinusha Jayathilake</t>
  </si>
  <si>
    <t>Jayathilake, D</t>
  </si>
  <si>
    <t>Earl Zapf</t>
  </si>
  <si>
    <t>Zapf, E</t>
  </si>
  <si>
    <t>Ed and Soc Sci, B</t>
  </si>
  <si>
    <t>Eddy, C</t>
  </si>
  <si>
    <t>Edmond Otis</t>
  </si>
  <si>
    <t>Otis, E</t>
  </si>
  <si>
    <t>Elayne Papps</t>
  </si>
  <si>
    <t>Papps, E</t>
  </si>
  <si>
    <t>ELC Tutor</t>
  </si>
  <si>
    <t>ELC</t>
  </si>
  <si>
    <t>Elise Montgomery</t>
  </si>
  <si>
    <t>Montgomery, E</t>
  </si>
  <si>
    <t>Elizabeth Mackenzie</t>
  </si>
  <si>
    <t>Mackenzie, E</t>
  </si>
  <si>
    <t>Emily Nelson</t>
  </si>
  <si>
    <t>Nelson, E</t>
  </si>
  <si>
    <t>Emma Martin</t>
  </si>
  <si>
    <t>Martin, E</t>
  </si>
  <si>
    <t>Emma McFadyen</t>
  </si>
  <si>
    <t>McFadyen, E</t>
  </si>
  <si>
    <t>Emre Erturk</t>
  </si>
  <si>
    <t>Erturk, E</t>
  </si>
  <si>
    <t>Erena Koopu</t>
  </si>
  <si>
    <t>Koopu, E</t>
  </si>
  <si>
    <t>Erika Smith</t>
  </si>
  <si>
    <t>Smith, Erika</t>
  </si>
  <si>
    <t>Erina Smith</t>
  </si>
  <si>
    <t>Smith, E</t>
  </si>
  <si>
    <t>Eve Natusch</t>
  </si>
  <si>
    <t>Natusch, E</t>
  </si>
  <si>
    <t>Evelyn Madsen</t>
  </si>
  <si>
    <t>Madsen, E</t>
  </si>
  <si>
    <t>Everett Ubiadas</t>
  </si>
  <si>
    <t>Ubiadas, E</t>
  </si>
  <si>
    <t>Farhad Mehdipour</t>
  </si>
  <si>
    <t>Mehdipour, F</t>
  </si>
  <si>
    <t>Fashion TC, C</t>
  </si>
  <si>
    <t>Fezz Petersen</t>
  </si>
  <si>
    <t>Petersen, F</t>
  </si>
  <si>
    <t>Fiona Barrett</t>
  </si>
  <si>
    <t>Barrett, F</t>
  </si>
  <si>
    <t>Fiona Howard</t>
  </si>
  <si>
    <t>Howard, F</t>
  </si>
  <si>
    <t>Fleur Leighton</t>
  </si>
  <si>
    <t>Leighton, F</t>
  </si>
  <si>
    <t>Fliss Pullman</t>
  </si>
  <si>
    <t>Pullman, F</t>
  </si>
  <si>
    <t>Floyd Pepper</t>
  </si>
  <si>
    <t>Pepper, F</t>
  </si>
  <si>
    <t>Gail Maxey</t>
  </si>
  <si>
    <t>Maxey, G</t>
  </si>
  <si>
    <t>Garth Cranefield</t>
  </si>
  <si>
    <t>Cranefield, G</t>
  </si>
  <si>
    <t>Gawain Fraser</t>
  </si>
  <si>
    <t>Fraser, G</t>
  </si>
  <si>
    <t>Gay Robertson</t>
  </si>
  <si>
    <t>Robertson, G</t>
  </si>
  <si>
    <t>George Reti</t>
  </si>
  <si>
    <t>Reti, G</t>
  </si>
  <si>
    <t>Gerard Henry</t>
  </si>
  <si>
    <t>Henry, G</t>
  </si>
  <si>
    <t>Gillian Postlewaight</t>
  </si>
  <si>
    <t>Postlewaight, G</t>
  </si>
  <si>
    <t>Glen Harkness</t>
  </si>
  <si>
    <t>Harkness, G</t>
  </si>
  <si>
    <t>Glen Robertshaw</t>
  </si>
  <si>
    <t>Robertshaw, G</t>
  </si>
  <si>
    <t>Glen Shadbolt</t>
  </si>
  <si>
    <t>Shadbolt, G</t>
  </si>
  <si>
    <t>Grace Brodie</t>
  </si>
  <si>
    <t>Brodie, G</t>
  </si>
  <si>
    <t>Graham Ward</t>
  </si>
  <si>
    <t>Ward, G</t>
  </si>
  <si>
    <t>Grant Petersen</t>
  </si>
  <si>
    <t>Petersen, G</t>
  </si>
  <si>
    <t>Guy de Latour</t>
  </si>
  <si>
    <t>de Lautour, G</t>
  </si>
  <si>
    <t>H Barlow</t>
  </si>
  <si>
    <t>Barlow, H</t>
  </si>
  <si>
    <t>H Robin</t>
  </si>
  <si>
    <t>Robin, H</t>
  </si>
  <si>
    <t>Haley Meechan</t>
  </si>
  <si>
    <t>Meechan, H</t>
  </si>
  <si>
    <t>Hamish Madden</t>
  </si>
  <si>
    <t>Madden, H</t>
  </si>
  <si>
    <t>Hannam, J</t>
  </si>
  <si>
    <t>Harley Benton</t>
  </si>
  <si>
    <t>Benton, H</t>
  </si>
  <si>
    <t>Haswell, E</t>
  </si>
  <si>
    <t>Hayley Osterfield</t>
  </si>
  <si>
    <t>Osterfield, H</t>
  </si>
  <si>
    <t>Heather Martin</t>
  </si>
  <si>
    <t>Martin, H</t>
  </si>
  <si>
    <t>Heather Tipene-Richards</t>
  </si>
  <si>
    <t>Tipene Richards, H</t>
  </si>
  <si>
    <t>Heidi Smithers</t>
  </si>
  <si>
    <t>Smithers, H</t>
  </si>
  <si>
    <t>Helen Ryan Stewart</t>
  </si>
  <si>
    <t>Ryan-Stewart, H</t>
  </si>
  <si>
    <t>Helen Stewart Mackenzie</t>
  </si>
  <si>
    <t>Stewart MacKenzie, H</t>
  </si>
  <si>
    <t>Hiria Tumoana</t>
  </si>
  <si>
    <t>Tumoana, H</t>
  </si>
  <si>
    <t>Howard Irving</t>
  </si>
  <si>
    <t>Irving, H</t>
  </si>
  <si>
    <t>Ian Allan</t>
  </si>
  <si>
    <t>Allan, I</t>
  </si>
  <si>
    <t>Ian Purdon</t>
  </si>
  <si>
    <t>Purdon, I</t>
  </si>
  <si>
    <t>Isaac Hughes</t>
  </si>
  <si>
    <t>Hughes, I</t>
  </si>
  <si>
    <t>Istvan Lengyel</t>
  </si>
  <si>
    <t>Lengyel, I</t>
  </si>
  <si>
    <t>J Nepe-Apatu</t>
  </si>
  <si>
    <t>Nepe-Apatu, J</t>
  </si>
  <si>
    <t>J Waller</t>
  </si>
  <si>
    <t>Waller, J</t>
  </si>
  <si>
    <t>Jack Pritchard</t>
  </si>
  <si>
    <t>Pritchard, J</t>
  </si>
  <si>
    <t>Jael Reiri</t>
  </si>
  <si>
    <t>Reiri, J</t>
  </si>
  <si>
    <t>Jaikaran Narula</t>
  </si>
  <si>
    <t>Narula, J</t>
  </si>
  <si>
    <t>James Smith</t>
  </si>
  <si>
    <t>Smith, J</t>
  </si>
  <si>
    <t>James Wylie</t>
  </si>
  <si>
    <t>Wylie, J</t>
  </si>
  <si>
    <t>Jamie Hanley</t>
  </si>
  <si>
    <t>Hanley, J</t>
  </si>
  <si>
    <t>Jan Lawrence</t>
  </si>
  <si>
    <t>Lawrence, J</t>
  </si>
  <si>
    <t>Jane Qin</t>
  </si>
  <si>
    <t>Qin, J</t>
  </si>
  <si>
    <t>Jane Soan</t>
  </si>
  <si>
    <t>Soan, J</t>
  </si>
  <si>
    <t>Janine Blamey</t>
  </si>
  <si>
    <t>Blamey, J</t>
  </si>
  <si>
    <t>Jay Hourani</t>
  </si>
  <si>
    <t>Hourani, J</t>
  </si>
  <si>
    <t>Jeff Reid</t>
  </si>
  <si>
    <t>Reid, Jeff</t>
  </si>
  <si>
    <t>Jeffery Adams</t>
  </si>
  <si>
    <t>Adams, J</t>
  </si>
  <si>
    <t>Jenny Satherley</t>
  </si>
  <si>
    <t>Satherley, J</t>
  </si>
  <si>
    <t>Jeremy Pruckmuller</t>
  </si>
  <si>
    <t>Pruckmuller, J</t>
  </si>
  <si>
    <t>Jerry Gull</t>
  </si>
  <si>
    <t>Gull, J</t>
  </si>
  <si>
    <t>Jidu Johny</t>
  </si>
  <si>
    <t>Johny, J</t>
  </si>
  <si>
    <t>Jill  Webster</t>
  </si>
  <si>
    <t>Webster, J</t>
  </si>
  <si>
    <t>Jill Dawson</t>
  </si>
  <si>
    <t>Dawson, J</t>
  </si>
  <si>
    <t>Jillian  Johnstone</t>
  </si>
  <si>
    <t>Johnstone, J</t>
  </si>
  <si>
    <t>Jo Duff</t>
  </si>
  <si>
    <t>Duff, J</t>
  </si>
  <si>
    <t>Joanna Frain</t>
  </si>
  <si>
    <t>Frain, J</t>
  </si>
  <si>
    <t>Joanne Rosandich</t>
  </si>
  <si>
    <t>Rosandich, J</t>
  </si>
  <si>
    <t>Jodee Reid</t>
  </si>
  <si>
    <t>Reid, J</t>
  </si>
  <si>
    <t>Jody Boston</t>
  </si>
  <si>
    <t>Boston, J</t>
  </si>
  <si>
    <t>Joe Pihema</t>
  </si>
  <si>
    <t>Pihema, J</t>
  </si>
  <si>
    <t>John Hill</t>
  </si>
  <si>
    <t>Hill, J</t>
  </si>
  <si>
    <t>John Jamieson</t>
  </si>
  <si>
    <t>Jamieson, J</t>
  </si>
  <si>
    <t>John Keech</t>
  </si>
  <si>
    <t>Keech, J</t>
  </si>
  <si>
    <t>John Thomas</t>
  </si>
  <si>
    <t>Thomas, J</t>
  </si>
  <si>
    <t>Jonathan Pickup</t>
  </si>
  <si>
    <t>Pickup, J</t>
  </si>
  <si>
    <t>Jonathan Sibley</t>
  </si>
  <si>
    <t>Sibley, J</t>
  </si>
  <si>
    <t>Jonelle Lister</t>
  </si>
  <si>
    <t>Lister, J</t>
  </si>
  <si>
    <t>Julie Whyte</t>
  </si>
  <si>
    <t>Whyte, J</t>
  </si>
  <si>
    <t>Justin Warena</t>
  </si>
  <si>
    <t>Warena, J</t>
  </si>
  <si>
    <t>K Khokra</t>
  </si>
  <si>
    <t>Khokra, K</t>
  </si>
  <si>
    <t>K Reedy</t>
  </si>
  <si>
    <t>Reedy, K</t>
  </si>
  <si>
    <t>Kaa Toataua</t>
  </si>
  <si>
    <t>Toataua, K</t>
  </si>
  <si>
    <t>Kaihoe Apiata</t>
  </si>
  <si>
    <t>Apiata, K</t>
  </si>
  <si>
    <t>Kare Tipa</t>
  </si>
  <si>
    <t>Tipa, K</t>
  </si>
  <si>
    <t>Karen Banks</t>
  </si>
  <si>
    <t>Banks, K</t>
  </si>
  <si>
    <t>Karen Fagan</t>
  </si>
  <si>
    <t>Fagan, k</t>
  </si>
  <si>
    <t>Karen Hegarty</t>
  </si>
  <si>
    <t>Hegarty, K</t>
  </si>
  <si>
    <t>Kate Murphy</t>
  </si>
  <si>
    <t>Murphy, K</t>
  </si>
  <si>
    <t>Katherine Harrison-Williams</t>
  </si>
  <si>
    <t>Williams, K</t>
  </si>
  <si>
    <t>Kathleen McCrory</t>
  </si>
  <si>
    <t>McCrory, K</t>
  </si>
  <si>
    <t>Kathy Monson</t>
  </si>
  <si>
    <t>Monson, K</t>
  </si>
  <si>
    <t>Katie Rongonui</t>
  </si>
  <si>
    <t>Rongonui, K</t>
  </si>
  <si>
    <t>Kaylee Whiteman</t>
  </si>
  <si>
    <t>Whiteman, K</t>
  </si>
  <si>
    <t>Kayleigh Oakham-Gui</t>
  </si>
  <si>
    <t>Oakham-Gui, K</t>
  </si>
  <si>
    <t>Keech, Anne</t>
  </si>
  <si>
    <t>Keech, A</t>
  </si>
  <si>
    <t>Keelan, D</t>
  </si>
  <si>
    <t>Kelly Durston</t>
  </si>
  <si>
    <t>Durston, K</t>
  </si>
  <si>
    <t>Ken Deihl</t>
  </si>
  <si>
    <t>Deihl, K</t>
  </si>
  <si>
    <t>Ken York</t>
  </si>
  <si>
    <t>York, K</t>
  </si>
  <si>
    <t>Kerry Corbett</t>
  </si>
  <si>
    <t>Corbett, K</t>
  </si>
  <si>
    <t>Kim Hagen-Hall</t>
  </si>
  <si>
    <t>Hagen-Hall, K</t>
  </si>
  <si>
    <t>Kirsten Westwood</t>
  </si>
  <si>
    <t>Westwood, K</t>
  </si>
  <si>
    <t>Kirsty Jones</t>
  </si>
  <si>
    <t>Jones, K</t>
  </si>
  <si>
    <t>Kitrina Kohleis</t>
  </si>
  <si>
    <t>Kohleis, K</t>
  </si>
  <si>
    <t>Korey Field</t>
  </si>
  <si>
    <t>Field, K</t>
  </si>
  <si>
    <t>Kris Harris</t>
  </si>
  <si>
    <t>Harris, K</t>
  </si>
  <si>
    <t>Kurawaka</t>
  </si>
  <si>
    <t>Laura Jeffares</t>
  </si>
  <si>
    <t>Jeffares, L</t>
  </si>
  <si>
    <t>Laura Parsons</t>
  </si>
  <si>
    <t>Parsons, L</t>
  </si>
  <si>
    <t>Lauren Hindmarsh</t>
  </si>
  <si>
    <t>Hindmarsh, L</t>
  </si>
  <si>
    <t>Lee Turner</t>
  </si>
  <si>
    <t>Turner, L</t>
  </si>
  <si>
    <t>Lee, M</t>
  </si>
  <si>
    <t>Leeanne Taylor</t>
  </si>
  <si>
    <t>Taylor, L</t>
  </si>
  <si>
    <t>Leigh Johnson</t>
  </si>
  <si>
    <t>Johnson, L</t>
  </si>
  <si>
    <t>Les Blair</t>
  </si>
  <si>
    <t>Blair, L</t>
  </si>
  <si>
    <t>Lewis-Te Houkamau, M</t>
  </si>
  <si>
    <t>Libby OBrien</t>
  </si>
  <si>
    <t>OBrien, L</t>
  </si>
  <si>
    <t>Linda Bruce</t>
  </si>
  <si>
    <t>Bruce, L</t>
  </si>
  <si>
    <t>Lindsay Hamilton</t>
  </si>
  <si>
    <t>Hamilton, L</t>
  </si>
  <si>
    <t>Lisa Farrand-Collins</t>
  </si>
  <si>
    <t>Farrand-Collins, L</t>
  </si>
  <si>
    <t>Lisa Turnbull</t>
  </si>
  <si>
    <t>Turnbull, L</t>
  </si>
  <si>
    <t>Lorenzo Pradel</t>
  </si>
  <si>
    <t>Pradel, L</t>
  </si>
  <si>
    <t>Louise MacKenzie</t>
  </si>
  <si>
    <t>MacKenzie, L</t>
  </si>
  <si>
    <t>Louise Pidd</t>
  </si>
  <si>
    <t>Pidd, L</t>
  </si>
  <si>
    <t>Luca Castaldo</t>
  </si>
  <si>
    <t>Castaldo, L</t>
  </si>
  <si>
    <t>Luke Batten</t>
  </si>
  <si>
    <t>Batten, L</t>
  </si>
  <si>
    <t>Lynette Fielding</t>
  </si>
  <si>
    <t>Fielding, L</t>
  </si>
  <si>
    <t>M Clark</t>
  </si>
  <si>
    <t>Clark, M</t>
  </si>
  <si>
    <t>M Karena</t>
  </si>
  <si>
    <t>Karena, M</t>
  </si>
  <si>
    <t>M Timu-Fusio</t>
  </si>
  <si>
    <t>Timu-Fosio, M</t>
  </si>
  <si>
    <t>M Wesche</t>
  </si>
  <si>
    <t>Wesche, M</t>
  </si>
  <si>
    <t>Maewa Para</t>
  </si>
  <si>
    <t>Para, M</t>
  </si>
  <si>
    <t>Mahsa Boroushaki</t>
  </si>
  <si>
    <t>Boroushaki, M</t>
  </si>
  <si>
    <t>Maiya Tsai</t>
  </si>
  <si>
    <t>Tsai, M</t>
  </si>
  <si>
    <t>Makarini Solomon</t>
  </si>
  <si>
    <t>Solomon, M</t>
  </si>
  <si>
    <t>Malot Sune</t>
  </si>
  <si>
    <t>Sune, M</t>
  </si>
  <si>
    <t>Manaia Warena</t>
  </si>
  <si>
    <t>Warena, M</t>
  </si>
  <si>
    <t>Mandy  Pentecost</t>
  </si>
  <si>
    <t>Pentecost, M</t>
  </si>
  <si>
    <t>Mandy Rudge</t>
  </si>
  <si>
    <t>Rudge, M</t>
  </si>
  <si>
    <t>Marcus Allen</t>
  </si>
  <si>
    <t>Allen, M</t>
  </si>
  <si>
    <t>Marei Norris</t>
  </si>
  <si>
    <t>Norris, M</t>
  </si>
  <si>
    <t>Margaret Smith</t>
  </si>
  <si>
    <t>Smith, M</t>
  </si>
  <si>
    <t>Margaret Young</t>
  </si>
  <si>
    <t>Young, Marg</t>
  </si>
  <si>
    <t>Maria Wynyard</t>
  </si>
  <si>
    <t>Wynyard, M</t>
  </si>
  <si>
    <t>Mark Caves</t>
  </si>
  <si>
    <t>Caves, M</t>
  </si>
  <si>
    <t>Mark Gooding</t>
  </si>
  <si>
    <t>Gooding, M</t>
  </si>
  <si>
    <t>Mark Morrell</t>
  </si>
  <si>
    <t>Morrell, M</t>
  </si>
  <si>
    <t>Mark Scott</t>
  </si>
  <si>
    <t>Scott, M</t>
  </si>
  <si>
    <t>Mark Vidulich</t>
  </si>
  <si>
    <t>Vidulich, M</t>
  </si>
  <si>
    <t>Marshall, J</t>
  </si>
  <si>
    <t>Maru, G</t>
  </si>
  <si>
    <t>Matewai Timu</t>
  </si>
  <si>
    <t>Timu, M</t>
  </si>
  <si>
    <t>Max Christie</t>
  </si>
  <si>
    <t>Christie, M</t>
  </si>
  <si>
    <t>Mazin  Bahho</t>
  </si>
  <si>
    <t>Bahho, M</t>
  </si>
  <si>
    <t>Megan Kanz</t>
  </si>
  <si>
    <t>Kanz, M</t>
  </si>
  <si>
    <t>Megan Woollard</t>
  </si>
  <si>
    <t>Woollard, M</t>
  </si>
  <si>
    <t>Megan Young</t>
  </si>
  <si>
    <t>Young, M</t>
  </si>
  <si>
    <t>Melissa Goodwin</t>
  </si>
  <si>
    <t>Goodwin, M</t>
  </si>
  <si>
    <t>Melissa Marfell</t>
  </si>
  <si>
    <t>Marfell, M</t>
  </si>
  <si>
    <t>Mere Waihi</t>
  </si>
  <si>
    <t>Waihi, M</t>
  </si>
  <si>
    <t>Michael Hawksworth</t>
  </si>
  <si>
    <t>Hawksworth, M</t>
  </si>
  <si>
    <t>Michael Roberts</t>
  </si>
  <si>
    <t>Roberts, M</t>
  </si>
  <si>
    <t>Michael Schofield</t>
  </si>
  <si>
    <t>Schofield, M</t>
  </si>
  <si>
    <t>Michelle Horwood</t>
  </si>
  <si>
    <t>Horwood, M</t>
  </si>
  <si>
    <t>Michelle Richardson</t>
  </si>
  <si>
    <t>Richardson, M</t>
  </si>
  <si>
    <t>Michelle Simbulan</t>
  </si>
  <si>
    <t>Simbulan, M</t>
  </si>
  <si>
    <t>Middlebank</t>
  </si>
  <si>
    <t>Mihi Aston</t>
  </si>
  <si>
    <t>Aston, M</t>
  </si>
  <si>
    <t>Mike Beedie</t>
  </si>
  <si>
    <t>Beedie, M</t>
  </si>
  <si>
    <t>Mike Chapman</t>
  </si>
  <si>
    <t>Chapman, M</t>
  </si>
  <si>
    <t>Mike Tapp</t>
  </si>
  <si>
    <t>Tapp, M</t>
  </si>
  <si>
    <t>Mike Williams</t>
  </si>
  <si>
    <t>Williams, M</t>
  </si>
  <si>
    <t>Miles Gregory</t>
  </si>
  <si>
    <t>Gregory, M</t>
  </si>
  <si>
    <t>Misty Ratima</t>
  </si>
  <si>
    <t>Ratima, M</t>
  </si>
  <si>
    <t>Munro, M</t>
  </si>
  <si>
    <t>N Tuhua</t>
  </si>
  <si>
    <t>Tuhua, N</t>
  </si>
  <si>
    <t>Nadine McKinnon</t>
  </si>
  <si>
    <t>McKinnon, N</t>
  </si>
  <si>
    <t>Nat Warren</t>
  </si>
  <si>
    <t>Warren, N</t>
  </si>
  <si>
    <t>Natalie Torrance</t>
  </si>
  <si>
    <t>Torrance, N</t>
  </si>
  <si>
    <t>Ngahuia Harris</t>
  </si>
  <si>
    <t>Harris, N</t>
  </si>
  <si>
    <t>Nick Blow</t>
  </si>
  <si>
    <t>Blow, N</t>
  </si>
  <si>
    <t>Nick Boeyen</t>
  </si>
  <si>
    <t>Boeyen, N</t>
  </si>
  <si>
    <t>Nick Cordery</t>
  </si>
  <si>
    <t>Cordery, N</t>
  </si>
  <si>
    <t>Nicole Sattler</t>
  </si>
  <si>
    <t>Sattler, N</t>
  </si>
  <si>
    <t>Nigel  Roberts</t>
  </si>
  <si>
    <t>Roberts, N</t>
  </si>
  <si>
    <t>Nigel Udy</t>
  </si>
  <si>
    <t>Udy, N</t>
  </si>
  <si>
    <t>Nikki Lloyd</t>
  </si>
  <si>
    <t>Lloyd, N</t>
  </si>
  <si>
    <t>Nikki OConnor</t>
  </si>
  <si>
    <t>O'Connor, N</t>
  </si>
  <si>
    <t>Nirupika Liyanapathirana</t>
  </si>
  <si>
    <t>Liyanapathirana, N</t>
  </si>
  <si>
    <t>Nisansala Wijekoon</t>
  </si>
  <si>
    <t>Wijekoon, N</t>
  </si>
  <si>
    <t>Nitin Seth</t>
  </si>
  <si>
    <t>Seth, N</t>
  </si>
  <si>
    <t>Nohokau, J</t>
  </si>
  <si>
    <t>Noor Alani</t>
  </si>
  <si>
    <t>Alani, N</t>
  </si>
  <si>
    <t>Norris, J</t>
  </si>
  <si>
    <t>Noushad Forez</t>
  </si>
  <si>
    <t>Forez, N</t>
  </si>
  <si>
    <t>Nuku,</t>
  </si>
  <si>
    <t>Nuku, M</t>
  </si>
  <si>
    <t>Nuku, R</t>
  </si>
  <si>
    <t>Nursing placeholder</t>
  </si>
  <si>
    <t>Nursing placeholder 1</t>
  </si>
  <si>
    <t>Nplaceholder 1</t>
  </si>
  <si>
    <t>Oliver Huang</t>
  </si>
  <si>
    <t>Huang, O</t>
  </si>
  <si>
    <t>Olivia Maclaren</t>
  </si>
  <si>
    <t>Maclaren, O</t>
  </si>
  <si>
    <t>Ormond Heather</t>
  </si>
  <si>
    <t>Heather, O</t>
  </si>
  <si>
    <t>Owen McCaffrey</t>
  </si>
  <si>
    <t>McCaffrey, O</t>
  </si>
  <si>
    <t>Pairama Wright</t>
  </si>
  <si>
    <t>Wright, P</t>
  </si>
  <si>
    <t>Pamela Albert</t>
  </si>
  <si>
    <t>Albert, P</t>
  </si>
  <si>
    <t>Pamela Minor</t>
  </si>
  <si>
    <t>Minor, P</t>
  </si>
  <si>
    <t>Pamela Wood</t>
  </si>
  <si>
    <t>Wood, P</t>
  </si>
  <si>
    <t>Panapa Ehau</t>
  </si>
  <si>
    <t>Ehau, P</t>
  </si>
  <si>
    <t>Parekura Rohe</t>
  </si>
  <si>
    <t>Rohe, P</t>
  </si>
  <si>
    <t>Patrick Dewes</t>
  </si>
  <si>
    <t>Dewes, P</t>
  </si>
  <si>
    <t>Patrick Doohan</t>
  </si>
  <si>
    <t>Doohan, P</t>
  </si>
  <si>
    <t>Patrick Lander</t>
  </si>
  <si>
    <t>Lander, P</t>
  </si>
  <si>
    <t>PAUL  HURSTHOUSE</t>
  </si>
  <si>
    <t>HURSTHOUSE, P</t>
  </si>
  <si>
    <t>Paul Lishman</t>
  </si>
  <si>
    <t>Lishman, P</t>
  </si>
  <si>
    <t>Paul Walker</t>
  </si>
  <si>
    <t>Walker, P</t>
  </si>
  <si>
    <t>Paula Morris</t>
  </si>
  <si>
    <t>Morris, P</t>
  </si>
  <si>
    <t>Paula Taaffe</t>
  </si>
  <si>
    <t>Taaffe, P</t>
  </si>
  <si>
    <t>Pauline Gooding</t>
  </si>
  <si>
    <t>Gooding, P</t>
  </si>
  <si>
    <t>Pauly Lowe</t>
  </si>
  <si>
    <t>Lowe, P</t>
  </si>
  <si>
    <t>Payne, Sh</t>
  </si>
  <si>
    <t>Peter  Baker</t>
  </si>
  <si>
    <t>Baker, P</t>
  </si>
  <si>
    <t>Peter Alexander</t>
  </si>
  <si>
    <t>Alexander, P</t>
  </si>
  <si>
    <t>Petera Hakiwai</t>
  </si>
  <si>
    <t>Hakiwai, P</t>
  </si>
  <si>
    <t>Petra Croswell</t>
  </si>
  <si>
    <t>Croswell, P</t>
  </si>
  <si>
    <t>Pettitt, D</t>
  </si>
  <si>
    <t>Phil Belcher</t>
  </si>
  <si>
    <t>Belcher, P</t>
  </si>
  <si>
    <t>Phil Maule</t>
  </si>
  <si>
    <t>Maule, P</t>
  </si>
  <si>
    <t>Pii-Tuulia Nikula</t>
  </si>
  <si>
    <t>Nikula, P</t>
  </si>
  <si>
    <t>Pineaha-Burns, E</t>
  </si>
  <si>
    <t>Pippa McKelvie-Sebilieau</t>
  </si>
  <si>
    <t>McKelvie-Sebileau, P</t>
  </si>
  <si>
    <t>Placeholder Design</t>
  </si>
  <si>
    <t>Placeholder SES</t>
  </si>
  <si>
    <t>Placeholder SES2</t>
  </si>
  <si>
    <t>Placeholder SES3</t>
  </si>
  <si>
    <t>Placeholder sport</t>
  </si>
  <si>
    <t>Placeholder, art</t>
  </si>
  <si>
    <t>Placeholder, C</t>
  </si>
  <si>
    <t>Placeholder, Maori</t>
  </si>
  <si>
    <t>Placeholder, SCPL3</t>
  </si>
  <si>
    <t>Placeholder, TC SPL3</t>
  </si>
  <si>
    <t>placeholder,screen</t>
  </si>
  <si>
    <t>PlaceholderECE</t>
  </si>
  <si>
    <t>Puti Nuku</t>
  </si>
  <si>
    <t>Nuku, P</t>
  </si>
  <si>
    <t>Putiputi Te Wake-Munro</t>
  </si>
  <si>
    <t>Te Wake-Munro, P</t>
  </si>
  <si>
    <t>R Quin</t>
  </si>
  <si>
    <t>Quin, R</t>
  </si>
  <si>
    <t>R Stainton</t>
  </si>
  <si>
    <t>Stainton, R</t>
  </si>
  <si>
    <t>R Woods</t>
  </si>
  <si>
    <t>Woods, R</t>
  </si>
  <si>
    <t>RACHAEL REHU</t>
  </si>
  <si>
    <t>REHU, R</t>
  </si>
  <si>
    <t>Rachel Croft</t>
  </si>
  <si>
    <t>Croft, R</t>
  </si>
  <si>
    <t>Rachel Forrest</t>
  </si>
  <si>
    <t>Forrest, R</t>
  </si>
  <si>
    <t>Rachel Garnham</t>
  </si>
  <si>
    <t>Garnham, R</t>
  </si>
  <si>
    <t>Rachel Hayward</t>
  </si>
  <si>
    <t>Hayward, R</t>
  </si>
  <si>
    <t>Rachel Walker</t>
  </si>
  <si>
    <t>Walker, R</t>
  </si>
  <si>
    <t>Rae Wynfoot</t>
  </si>
  <si>
    <t>Wynfoot, R</t>
  </si>
  <si>
    <t>Raema Merchant</t>
  </si>
  <si>
    <t>Merchant, R</t>
  </si>
  <si>
    <t>Raewyn Paterson</t>
  </si>
  <si>
    <t>Paterson, R</t>
  </si>
  <si>
    <t>Raina Ferris</t>
  </si>
  <si>
    <t>Ferris, R</t>
  </si>
  <si>
    <t>Ram Roy</t>
  </si>
  <si>
    <t>Roy, R</t>
  </si>
  <si>
    <t>Rangatira Fox</t>
  </si>
  <si>
    <t>Fox, R</t>
  </si>
  <si>
    <t>Rawiri Andrews</t>
  </si>
  <si>
    <t>Andrews, R</t>
  </si>
  <si>
    <t>Rawiri Broughton</t>
  </si>
  <si>
    <t>Broughton, R</t>
  </si>
  <si>
    <t>Ray Anderson</t>
  </si>
  <si>
    <t>Anderson, R</t>
  </si>
  <si>
    <t>Ray Lawrence</t>
  </si>
  <si>
    <t>Lawrence, R</t>
  </si>
  <si>
    <t>Raymond Pereira</t>
  </si>
  <si>
    <t>Pereira, R</t>
  </si>
  <si>
    <t>Rei Meha</t>
  </si>
  <si>
    <t>Meha, R</t>
  </si>
  <si>
    <t>Renee Moffitt</t>
  </si>
  <si>
    <t>Moffitt, R</t>
  </si>
  <si>
    <t>Research Librarian, Jadwga Kozyniak</t>
  </si>
  <si>
    <t>Kozyniak, J</t>
  </si>
  <si>
    <t>Rhonda Tibble</t>
  </si>
  <si>
    <t>Tibble, R</t>
  </si>
  <si>
    <t>Richard Edwards</t>
  </si>
  <si>
    <t>Edwards, R</t>
  </si>
  <si>
    <t>Richard Keesom</t>
  </si>
  <si>
    <t>Keesom, R</t>
  </si>
  <si>
    <t>Rob Hay</t>
  </si>
  <si>
    <t>Hay, R</t>
  </si>
  <si>
    <t>Robbie Field</t>
  </si>
  <si>
    <t>Field, R</t>
  </si>
  <si>
    <t>Robert Davis</t>
  </si>
  <si>
    <t>Davis, R</t>
  </si>
  <si>
    <t>ROBYN PASCOE</t>
  </si>
  <si>
    <t>PASCOE, R</t>
  </si>
  <si>
    <t>Roger Kelly</t>
  </si>
  <si>
    <t>Kelly, R</t>
  </si>
  <si>
    <t>Ropiha, R</t>
  </si>
  <si>
    <t>Ropitini, S</t>
  </si>
  <si>
    <t>Rosemary Reeve</t>
  </si>
  <si>
    <t>Reeve, R</t>
  </si>
  <si>
    <t>Russell Booth</t>
  </si>
  <si>
    <t>Booth, R</t>
  </si>
  <si>
    <t>Ruth Smith</t>
  </si>
  <si>
    <t>Smith, R</t>
  </si>
  <si>
    <t>S Kellerman</t>
  </si>
  <si>
    <t>Kellerman, S</t>
  </si>
  <si>
    <t>S Kurei</t>
  </si>
  <si>
    <t>Kurei, S</t>
  </si>
  <si>
    <t>S Taylor</t>
  </si>
  <si>
    <t>Taylor, S</t>
  </si>
  <si>
    <t>S Wharehinga-Clark</t>
  </si>
  <si>
    <t>Wharehinga-Clark, S</t>
  </si>
  <si>
    <t>Salman, S</t>
  </si>
  <si>
    <t>Sam Ekundayo</t>
  </si>
  <si>
    <t>Ekundayo, S</t>
  </si>
  <si>
    <t>Sam Prescott</t>
  </si>
  <si>
    <t>Prescott, S</t>
  </si>
  <si>
    <t>Sam Sidney</t>
  </si>
  <si>
    <t>Sidney, S</t>
  </si>
  <si>
    <t>Sandra McLay</t>
  </si>
  <si>
    <t>McLay, S</t>
  </si>
  <si>
    <t>Sarah Elliott</t>
  </si>
  <si>
    <t>Elliott, S</t>
  </si>
  <si>
    <t>Sarah Hutana-Te Aho</t>
  </si>
  <si>
    <t>Hutana-Te Aho, S</t>
  </si>
  <si>
    <t>Sarah Massingham</t>
  </si>
  <si>
    <t>Massingham, S</t>
  </si>
  <si>
    <t>Sarah Subritzky</t>
  </si>
  <si>
    <t>Subritzky, S</t>
  </si>
  <si>
    <t>Savanna Wharehinga</t>
  </si>
  <si>
    <t>Wharehinga, S</t>
  </si>
  <si>
    <t>Scott Casley</t>
  </si>
  <si>
    <t>Casley, S</t>
  </si>
  <si>
    <t>Scott Cunningham</t>
  </si>
  <si>
    <t>Cunningham, S</t>
  </si>
  <si>
    <t>Sean Murphy</t>
  </si>
  <si>
    <t>Murphy, S</t>
  </si>
  <si>
    <t>Shane Cameron</t>
  </si>
  <si>
    <t>Cameron, S</t>
  </si>
  <si>
    <t>Shane Peri</t>
  </si>
  <si>
    <t>Peri, S</t>
  </si>
  <si>
    <t>Shane Sigglekow</t>
  </si>
  <si>
    <t>Sigglekow, S</t>
  </si>
  <si>
    <t>Sharon Stuart</t>
  </si>
  <si>
    <t>Stuart, S</t>
  </si>
  <si>
    <t>Sharon Ward</t>
  </si>
  <si>
    <t>Ward, S</t>
  </si>
  <si>
    <t>Shepherd, W</t>
  </si>
  <si>
    <t>Sheryl-Lee Judd</t>
  </si>
  <si>
    <t>Judd, S</t>
  </si>
  <si>
    <t>Shivnan, S</t>
  </si>
  <si>
    <t>Shuting Yu</t>
  </si>
  <si>
    <t>Yu, S</t>
  </si>
  <si>
    <t>Sian Forlong-Ford</t>
  </si>
  <si>
    <t>Forlong-Ford, S</t>
  </si>
  <si>
    <t>SLS Placeholder</t>
  </si>
  <si>
    <t>Placeholder, SLS</t>
  </si>
  <si>
    <t>SoC 1</t>
  </si>
  <si>
    <t>SoC 2</t>
  </si>
  <si>
    <t>SoC 3</t>
  </si>
  <si>
    <t>Sonya Payne</t>
  </si>
  <si>
    <t>Payne, S</t>
  </si>
  <si>
    <t>Sophie Simpson</t>
  </si>
  <si>
    <t>Simpson, So</t>
  </si>
  <si>
    <t>Stefan Schmith</t>
  </si>
  <si>
    <t>Schmith, S</t>
  </si>
  <si>
    <t>Steph Barnett</t>
  </si>
  <si>
    <t>Barnett, S</t>
  </si>
  <si>
    <t>Steph McLeay</t>
  </si>
  <si>
    <t>McLeay, S</t>
  </si>
  <si>
    <t>Stephanie Day</t>
  </si>
  <si>
    <t>Day, S</t>
  </si>
  <si>
    <t>Stephen Emmett</t>
  </si>
  <si>
    <t>Emmett, S</t>
  </si>
  <si>
    <t>Steve Gibbs</t>
  </si>
  <si>
    <t>Gibbs, S</t>
  </si>
  <si>
    <t>Steve Hinge</t>
  </si>
  <si>
    <t>Hinge, S</t>
  </si>
  <si>
    <t>Steve Houliston</t>
  </si>
  <si>
    <t>Houliston, S</t>
  </si>
  <si>
    <t>Steve Simpson</t>
  </si>
  <si>
    <t>Simpson, S</t>
  </si>
  <si>
    <t>Steve Spooner</t>
  </si>
  <si>
    <t>Spooner, S</t>
  </si>
  <si>
    <t>Steven Hartley</t>
  </si>
  <si>
    <t>Hartley, S</t>
  </si>
  <si>
    <t>Storm Dunn</t>
  </si>
  <si>
    <t>Dunn, S</t>
  </si>
  <si>
    <t>Stuart Hannam</t>
  </si>
  <si>
    <t>Hannam, S</t>
  </si>
  <si>
    <t>Stuart McAdam</t>
  </si>
  <si>
    <t>McAdam, S</t>
  </si>
  <si>
    <t>Sue Floyd</t>
  </si>
  <si>
    <t>Floyd, S</t>
  </si>
  <si>
    <t>Sue Pulman</t>
  </si>
  <si>
    <t>Pulman, S</t>
  </si>
  <si>
    <t>Sue Scott-Chapman</t>
  </si>
  <si>
    <t>Scott-Chapman, S</t>
  </si>
  <si>
    <t>Suellen Robertson</t>
  </si>
  <si>
    <t>Robertson, S</t>
  </si>
  <si>
    <t>Surej P John</t>
  </si>
  <si>
    <t>John, S</t>
  </si>
  <si>
    <t>Surindar Sran</t>
  </si>
  <si>
    <t>Sran, S</t>
  </si>
  <si>
    <t>Svetlana Eliason</t>
  </si>
  <si>
    <t>Eliason, S</t>
  </si>
  <si>
    <t>Syed Shahid</t>
  </si>
  <si>
    <t>Shahid, S</t>
  </si>
  <si>
    <t>T Tohiariki</t>
  </si>
  <si>
    <t>Tohiariki, T</t>
  </si>
  <si>
    <t>Taiapa, R</t>
  </si>
  <si>
    <t>Talya Christy</t>
  </si>
  <si>
    <t>Christy, T</t>
  </si>
  <si>
    <t>Talya Raukawa</t>
  </si>
  <si>
    <t>Raukawa, T</t>
  </si>
  <si>
    <t>Tane Cruikshank</t>
  </si>
  <si>
    <t>Cruikshank, T</t>
  </si>
  <si>
    <t>Tania Basher</t>
  </si>
  <si>
    <t>Basher, T</t>
  </si>
  <si>
    <t>Tania Du Plessis</t>
  </si>
  <si>
    <t>DuPlessis, T</t>
  </si>
  <si>
    <t>Tania Hagen</t>
  </si>
  <si>
    <t>Hagen, T</t>
  </si>
  <si>
    <t>Tania Webster</t>
  </si>
  <si>
    <t>Webster, T</t>
  </si>
  <si>
    <t>Te Amo, G</t>
  </si>
  <si>
    <t>Te Kani, W</t>
  </si>
  <si>
    <t>Te Rangi Saunders</t>
  </si>
  <si>
    <t>Saunders, T</t>
  </si>
  <si>
    <t>Te Whatukura, P</t>
  </si>
  <si>
    <t>Te Whitu, M</t>
  </si>
  <si>
    <t>Ted Walters</t>
  </si>
  <si>
    <t>Walters, T</t>
  </si>
  <si>
    <t>Teresa Doran</t>
  </si>
  <si>
    <t>Doran, T</t>
  </si>
  <si>
    <t>Terry, S</t>
  </si>
  <si>
    <t>Tessa Beaver</t>
  </si>
  <si>
    <t>Beaver, T</t>
  </si>
  <si>
    <t>Tessa Tylee</t>
  </si>
  <si>
    <t>Tylee, T</t>
  </si>
  <si>
    <t>Thomas Karaka</t>
  </si>
  <si>
    <t>Karaka, T</t>
  </si>
  <si>
    <t>Tim Creagh</t>
  </si>
  <si>
    <t>Creagh, T</t>
  </si>
  <si>
    <t>Tim Jagusch</t>
  </si>
  <si>
    <t>Jagusch, T</t>
  </si>
  <si>
    <t>Tina  Rhodes</t>
  </si>
  <si>
    <t>Rhodes, C</t>
  </si>
  <si>
    <t>Tina Blumenthal</t>
  </si>
  <si>
    <t>Blumenthal, T</t>
  </si>
  <si>
    <t>Tipene Rangihuna</t>
  </si>
  <si>
    <t>Rangihuna, T</t>
  </si>
  <si>
    <t>Tipene-Leach, D</t>
  </si>
  <si>
    <t>Tom Hay</t>
  </si>
  <si>
    <t>Hay, T</t>
  </si>
  <si>
    <t>Tom Pierard</t>
  </si>
  <si>
    <t>Pierard, T</t>
  </si>
  <si>
    <t>Tony Davis</t>
  </si>
  <si>
    <t>Davis, T</t>
  </si>
  <si>
    <t>Tony Te Nahu</t>
  </si>
  <si>
    <t>Te Nahu, T</t>
  </si>
  <si>
    <t>Toy, M</t>
  </si>
  <si>
    <t>Tracey Konig</t>
  </si>
  <si>
    <t>Konig, T</t>
  </si>
  <si>
    <t>Tracey MacGregor</t>
  </si>
  <si>
    <t>MacGregor, T</t>
  </si>
  <si>
    <t>Tracy Adams</t>
  </si>
  <si>
    <t>Adams, T</t>
  </si>
  <si>
    <t>Troy Para</t>
  </si>
  <si>
    <t>Para, T</t>
  </si>
  <si>
    <t>Tu Haggerty</t>
  </si>
  <si>
    <t>Haggerty, T</t>
  </si>
  <si>
    <t>TUW Placeholder</t>
  </si>
  <si>
    <t>Verena Lyons</t>
  </si>
  <si>
    <t>Lyons, V</t>
  </si>
  <si>
    <t>Vicki Mackie</t>
  </si>
  <si>
    <t>Mackie, V</t>
  </si>
  <si>
    <t>Victor Ye</t>
  </si>
  <si>
    <t>Ye, V</t>
  </si>
  <si>
    <t>Virgil Troy</t>
  </si>
  <si>
    <t>Troy, V</t>
  </si>
  <si>
    <t>Vivienne Pinkham</t>
  </si>
  <si>
    <t>Pinkham, V</t>
  </si>
  <si>
    <t>Walford, Richard</t>
  </si>
  <si>
    <t>Walford, R</t>
  </si>
  <si>
    <t>Warren Hales</t>
  </si>
  <si>
    <t>Hales, W</t>
  </si>
  <si>
    <t>Warren Payne</t>
  </si>
  <si>
    <t>Payne, W</t>
  </si>
  <si>
    <t>Wawatai-Aldrich, Nikki</t>
  </si>
  <si>
    <t>Wawatai-Aldrich, N</t>
  </si>
  <si>
    <t>Wayne  Dobson</t>
  </si>
  <si>
    <t>Dobson, W</t>
  </si>
  <si>
    <t>Wayne Chaffey</t>
  </si>
  <si>
    <t>Chaffey, W</t>
  </si>
  <si>
    <t>Wellesley  Binding</t>
  </si>
  <si>
    <t>Binding, W</t>
  </si>
  <si>
    <t>Whaanga, L</t>
  </si>
  <si>
    <t>Whaanga, Rehia</t>
  </si>
  <si>
    <t>Whaanga, R</t>
  </si>
  <si>
    <t>Whatarau, J</t>
  </si>
  <si>
    <t>Wheeler, B</t>
  </si>
  <si>
    <t>Whiting, G</t>
  </si>
  <si>
    <t>Whiunui, S</t>
  </si>
  <si>
    <t>Williams, A</t>
  </si>
  <si>
    <t>Winston Pitt</t>
  </si>
  <si>
    <t>Pitt,W</t>
  </si>
  <si>
    <t>Wright, J</t>
  </si>
  <si>
    <t>Yogeshwar Shastri</t>
  </si>
  <si>
    <t>Shastri, Y</t>
  </si>
  <si>
    <t>Yshma Kavanagh</t>
  </si>
  <si>
    <t>Kavanagh, Y</t>
  </si>
  <si>
    <t>Yvette MacDonald</t>
  </si>
  <si>
    <t>MacDonald, Y</t>
  </si>
  <si>
    <t>Zac Te Maro</t>
  </si>
  <si>
    <t>Te Maro, Z</t>
  </si>
  <si>
    <t>Zana Price</t>
  </si>
  <si>
    <t>Price, Z</t>
  </si>
  <si>
    <t>Type</t>
  </si>
  <si>
    <t>Code</t>
  </si>
  <si>
    <t>CampusName</t>
  </si>
  <si>
    <t>CampusCode</t>
  </si>
  <si>
    <t>HolidayID</t>
  </si>
  <si>
    <t>Action</t>
  </si>
  <si>
    <t>RoomType</t>
  </si>
  <si>
    <t>RoomLabel</t>
  </si>
  <si>
    <t>SectionCode</t>
  </si>
  <si>
    <t>Section</t>
  </si>
  <si>
    <t>Time</t>
  </si>
  <si>
    <t>SPlusTime</t>
  </si>
  <si>
    <t>Status</t>
  </si>
  <si>
    <t>Duration</t>
  </si>
  <si>
    <t>Periods</t>
  </si>
  <si>
    <t>Same Time</t>
  </si>
  <si>
    <t>RoomTypeInfo</t>
  </si>
  <si>
    <t>Lecture</t>
  </si>
  <si>
    <t>Lec</t>
  </si>
  <si>
    <t>-</t>
  </si>
  <si>
    <t>Cancel the activity</t>
  </si>
  <si>
    <t>Computer</t>
  </si>
  <si>
    <t>- Computer</t>
  </si>
  <si>
    <t>Business Relationship Unit</t>
  </si>
  <si>
    <t>None</t>
  </si>
  <si>
    <t xml:space="preserve">Make this the same time </t>
  </si>
  <si>
    <t>Computer rooms generally have the same software so do not require attributes to be selected.  Any non-standard software can be listed in Other Details.</t>
  </si>
  <si>
    <t>Tutorial</t>
  </si>
  <si>
    <t>Tut</t>
  </si>
  <si>
    <t>Ignore the holiday</t>
  </si>
  <si>
    <t>- Lecture</t>
  </si>
  <si>
    <t>2</t>
  </si>
  <si>
    <t>School of Business</t>
  </si>
  <si>
    <t>07:00</t>
  </si>
  <si>
    <t xml:space="preserve">Same time not needed </t>
  </si>
  <si>
    <t>This Activity needs the following lab type.</t>
  </si>
  <si>
    <t>Lab</t>
  </si>
  <si>
    <t>Hastings</t>
  </si>
  <si>
    <t>H</t>
  </si>
  <si>
    <t>Reschedule to another day/week</t>
  </si>
  <si>
    <t>Workshop</t>
  </si>
  <si>
    <t>-Workshop</t>
  </si>
  <si>
    <t>3</t>
  </si>
  <si>
    <t>School of Computing</t>
  </si>
  <si>
    <t>07:30</t>
  </si>
  <si>
    <t>This Activity needs the following Workshop.</t>
  </si>
  <si>
    <t>Wkshp</t>
  </si>
  <si>
    <t>CHB</t>
  </si>
  <si>
    <t>Offsite</t>
  </si>
  <si>
    <t>-Offsite</t>
  </si>
  <si>
    <t>4</t>
  </si>
  <si>
    <t>Education &amp; Social Services</t>
  </si>
  <si>
    <t>08:00</t>
  </si>
  <si>
    <t>This Activity needs the following type of Specialist space.</t>
  </si>
  <si>
    <t>Off</t>
  </si>
  <si>
    <t>W</t>
  </si>
  <si>
    <t>Specialist</t>
  </si>
  <si>
    <t>-Specialist</t>
  </si>
  <si>
    <t>5</t>
  </si>
  <si>
    <t>English Language Centre</t>
  </si>
  <si>
    <t>08:30</t>
  </si>
  <si>
    <t>Lecture spaces are all tiered and have the same equipment so do not require attributes to be selected.</t>
  </si>
  <si>
    <t>Other</t>
  </si>
  <si>
    <t>O</t>
  </si>
  <si>
    <t>Classroom</t>
  </si>
  <si>
    <t>- Classroom</t>
  </si>
  <si>
    <t>6</t>
  </si>
  <si>
    <t>FCT</t>
  </si>
  <si>
    <t>Faculty of Commerce &amp; Technology</t>
  </si>
  <si>
    <t>09:00</t>
  </si>
  <si>
    <t>Select from here if this activity needs more than the standard Whiteboard, Data Projector or TV.</t>
  </si>
  <si>
    <t>Exam</t>
  </si>
  <si>
    <t>SS</t>
  </si>
  <si>
    <t>No Room Required</t>
  </si>
  <si>
    <t>- No Room Required</t>
  </si>
  <si>
    <t>7</t>
  </si>
  <si>
    <t>FEHH</t>
  </si>
  <si>
    <t>Faculty of Education, Humanities and Health</t>
  </si>
  <si>
    <t>09:30</t>
  </si>
  <si>
    <t>Assessment</t>
  </si>
  <si>
    <t>Assess</t>
  </si>
  <si>
    <t>R</t>
  </si>
  <si>
    <t>Laboratory</t>
  </si>
  <si>
    <t>-Laboratory</t>
  </si>
  <si>
    <t>HlthSportSci</t>
  </si>
  <si>
    <t>School of Health &amp; Sport Sciences</t>
  </si>
  <si>
    <t>10:00</t>
  </si>
  <si>
    <t>Practical</t>
  </si>
  <si>
    <t>Prac</t>
  </si>
  <si>
    <t>Online</t>
  </si>
  <si>
    <t>OL</t>
  </si>
  <si>
    <t>Type of Room</t>
  </si>
  <si>
    <t>IS</t>
  </si>
  <si>
    <t>IdeaSchool</t>
  </si>
  <si>
    <t>10:30</t>
  </si>
  <si>
    <t>Self Directed Session</t>
  </si>
  <si>
    <t>SD</t>
  </si>
  <si>
    <t>Auckland</t>
  </si>
  <si>
    <t>AK</t>
  </si>
  <si>
    <t>Mar</t>
  </si>
  <si>
    <t>School of Nursing</t>
  </si>
  <si>
    <t>11:00</t>
  </si>
  <si>
    <t>Clinic</t>
  </si>
  <si>
    <t>ISH</t>
  </si>
  <si>
    <t>SPI</t>
  </si>
  <si>
    <t>School of Primary Industries</t>
  </si>
  <si>
    <t>11:30</t>
  </si>
  <si>
    <t>Maraenui</t>
  </si>
  <si>
    <t>M</t>
  </si>
  <si>
    <t>May</t>
  </si>
  <si>
    <t>Tairawhiti</t>
  </si>
  <si>
    <t>12:00</t>
  </si>
  <si>
    <t>Noho</t>
  </si>
  <si>
    <t>Tokomaru</t>
  </si>
  <si>
    <t>Tk</t>
  </si>
  <si>
    <t>Jun</t>
  </si>
  <si>
    <t>Toiho</t>
  </si>
  <si>
    <t>Toihoukura</t>
  </si>
  <si>
    <t>12:30</t>
  </si>
  <si>
    <t>NA</t>
  </si>
  <si>
    <t>TourHosp</t>
  </si>
  <si>
    <t>School of Tourism and Hospitality</t>
  </si>
  <si>
    <t>13:00</t>
  </si>
  <si>
    <t>Alternate Sites HB</t>
  </si>
  <si>
    <t>AS</t>
  </si>
  <si>
    <t>Aug</t>
  </si>
  <si>
    <t>TradeTech</t>
  </si>
  <si>
    <t>School of Trades &amp; Technology</t>
  </si>
  <si>
    <t>13:30</t>
  </si>
  <si>
    <t>Sept</t>
  </si>
  <si>
    <t>TUW</t>
  </si>
  <si>
    <t>School of Te Uranga Waka</t>
  </si>
  <si>
    <t>14:00</t>
  </si>
  <si>
    <t>VET</t>
  </si>
  <si>
    <t>Centre for Veterinary Nursing</t>
  </si>
  <si>
    <t>14:30</t>
  </si>
  <si>
    <t>Nov</t>
  </si>
  <si>
    <t>Vit &amp; Wine</t>
  </si>
  <si>
    <t>School of Vit &amp; Wine</t>
  </si>
  <si>
    <t>15:00</t>
  </si>
  <si>
    <t>Dec</t>
  </si>
  <si>
    <t>School of Test</t>
  </si>
  <si>
    <t>15:30</t>
  </si>
  <si>
    <t>Apr24</t>
  </si>
  <si>
    <t>Test2</t>
  </si>
  <si>
    <t>Second school test</t>
  </si>
  <si>
    <t>16:00</t>
  </si>
  <si>
    <t>May24</t>
  </si>
  <si>
    <t>16:30</t>
  </si>
  <si>
    <t>Jun24</t>
  </si>
  <si>
    <t>17:00</t>
  </si>
  <si>
    <t>Jul24</t>
  </si>
  <si>
    <t>17:30</t>
  </si>
  <si>
    <t>18:00</t>
  </si>
  <si>
    <t>Sept24</t>
  </si>
  <si>
    <t>18:30</t>
  </si>
  <si>
    <t>19:00</t>
  </si>
  <si>
    <t>19:30</t>
  </si>
  <si>
    <t>20:00</t>
  </si>
  <si>
    <t>20:30</t>
  </si>
  <si>
    <t>21:00</t>
  </si>
  <si>
    <t>21:30</t>
  </si>
  <si>
    <t>22:00</t>
  </si>
  <si>
    <t>22:30</t>
  </si>
  <si>
    <t>23:00</t>
  </si>
  <si>
    <t>V2 Tests</t>
  </si>
  <si>
    <t>vttw</t>
  </si>
  <si>
    <t>CPT</t>
  </si>
  <si>
    <t>Edit Prog Test 2</t>
  </si>
  <si>
    <t>CourseTitle</t>
  </si>
  <si>
    <t>abc</t>
  </si>
  <si>
    <t>First Course</t>
  </si>
  <si>
    <t>ActID</t>
  </si>
  <si>
    <t>CourseNumbr</t>
  </si>
  <si>
    <t>ActivityType</t>
  </si>
  <si>
    <t>ActivityNumb</t>
  </si>
  <si>
    <t>SpecialLabel</t>
  </si>
  <si>
    <t>NumbStuds</t>
  </si>
  <si>
    <t>NumbStreams</t>
  </si>
  <si>
    <t>StaffWorking</t>
  </si>
  <si>
    <t>PreferredArea</t>
  </si>
  <si>
    <t>Suitabilities</t>
  </si>
  <si>
    <t>SpecRoom</t>
  </si>
  <si>
    <t>MonStart</t>
  </si>
  <si>
    <t>MonFinish</t>
  </si>
  <si>
    <t>TuesStart</t>
  </si>
  <si>
    <t>TuesFinish</t>
  </si>
  <si>
    <t>WedStart</t>
  </si>
  <si>
    <t>WedFinish</t>
  </si>
  <si>
    <t>ThursStart</t>
  </si>
  <si>
    <t>ThursFinish</t>
  </si>
  <si>
    <t>FriStart</t>
  </si>
  <si>
    <t>FriFinish</t>
  </si>
  <si>
    <t>SatStart</t>
  </si>
  <si>
    <t>SatFinish</t>
  </si>
  <si>
    <t>SunStart</t>
  </si>
  <si>
    <t>SunFinish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</si>
  <si>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</si>
  <si>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</si>
  <si>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</si>
  <si>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</si>
  <si>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</si>
  <si>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</si>
  <si>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</si>
  <si>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</si>
  <si>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</si>
  <si>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</si>
  <si>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</si>
  <si>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</si>
  <si>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</si>
  <si>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</si>
  <si>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</si>
  <si>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</si>
  <si>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</si>
  <si>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</si>
  <si>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</si>
  <si>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</si>
  <si>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</si>
  <si>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</si>
  <si>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</si>
  <si>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</si>
  <si>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</si>
  <si>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</si>
  <si>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</si>
  <si>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</si>
  <si>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</si>
  <si>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</si>
  <si>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</si>
  <si>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</si>
  <si>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</si>
  <si>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</si>
  <si>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</si>
  <si>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</si>
  <si>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</si>
  <si>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</si>
  <si>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</si>
  <si>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</si>
  <si>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</si>
  <si>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</si>
  <si>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</si>
  <si>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</si>
  <si>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</si>
  <si>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</si>
  <si>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</si>
  <si>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</si>
  <si>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</si>
  <si>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</si>
  <si>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</si>
  <si>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</si>
  <si>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Holidays</t>
  </si>
  <si>
    <t>OtherProgrammes</t>
  </si>
  <si>
    <t>PresetWeeks</t>
  </si>
  <si>
    <t>PresetAvailability</t>
  </si>
  <si>
    <t>Sametime</t>
  </si>
  <si>
    <t>TotalWeeks</t>
  </si>
  <si>
    <t>ActComment</t>
  </si>
  <si>
    <t>ModuleName</t>
  </si>
  <si>
    <t>TypeCheck</t>
  </si>
  <si>
    <t>ACodeCheck</t>
  </si>
  <si>
    <t/>
  </si>
  <si>
    <t>(C) Computing Block</t>
  </si>
  <si>
    <t>BC Term 1 - All, (7-15)</t>
  </si>
  <si>
    <t>Use Manual</t>
  </si>
  <si>
    <t>AC4.01/HB/Feb</t>
  </si>
  <si>
    <t>AC4.01/HB/Feb-SD/3</t>
  </si>
  <si>
    <t>AC4.01/HB/Feb-Wkshp/1</t>
  </si>
  <si>
    <t>AC4.01/HB/Feb-Wkshp/2</t>
  </si>
  <si>
    <t>AC4.02/HB/Feb</t>
  </si>
  <si>
    <t>AC4.02/HB/Feb-Wkshp/1</t>
  </si>
  <si>
    <t>AC4.02/HB/Feb-Wkshp/2</t>
  </si>
  <si>
    <t>BC Term 2 -  All (18-26)</t>
  </si>
  <si>
    <t>AC4.03/HB/Apr</t>
  </si>
  <si>
    <t>AC4.03/HB/Apr-SD/3</t>
  </si>
  <si>
    <t>AC4.03/HB/Apr-Wkshp/1</t>
  </si>
  <si>
    <t>AC4.03/HB/Apr-Wkshp/2</t>
  </si>
  <si>
    <t>AC4.04/HB/Apr</t>
  </si>
  <si>
    <t>AC4.04/HB/Apr-Wkshp/1</t>
  </si>
  <si>
    <t>AC4.04/HB/Apr-Wkshp/2</t>
  </si>
  <si>
    <t>_Area of Campus</t>
  </si>
  <si>
    <t>Cancel the Activity</t>
  </si>
  <si>
    <t>Sem 1, Teaching only (8-15,18-23)</t>
  </si>
  <si>
    <t>At least 1 day between Lecture 1 and Lecture 2 of this course.  Avoid clashes with BSNS5001, BSBS5002, BSNS5003, BSNS5004. ACCY5102, ACCY5103, ACCY5104</t>
  </si>
  <si>
    <t>ACCY5101/HB/Feb</t>
  </si>
  <si>
    <t>ACCY5101/HB/Feb-Lec/1</t>
  </si>
  <si>
    <t>ACCY5101/HB/Feb-Lec/2</t>
  </si>
  <si>
    <t>Sem 2, Teaching only (30-39,42-45)</t>
  </si>
  <si>
    <t>ACCY5101/HB/Jul</t>
  </si>
  <si>
    <t>ACCY5101/HB/Jul-Lec/1</t>
  </si>
  <si>
    <t>ACCY5101/HB/Jul-Lec/2</t>
  </si>
  <si>
    <t>_Area of CampusTC</t>
  </si>
  <si>
    <t>ACCY5101/TC/Feb</t>
  </si>
  <si>
    <t>ACCY5101/TC/Feb-Lec/1</t>
  </si>
  <si>
    <t>ACCY5101/TC/Feb-Lec/2</t>
  </si>
  <si>
    <t>At least 1 day between Lecture 1 and Lecture 2 of this course.   Avoid clashes with BSNS5001, BSBS5002, BSNS5003, BSNS5004. ACCY5102, ACCY5103, ACCY5104</t>
  </si>
  <si>
    <t>ACCY5101/TC/Jul</t>
  </si>
  <si>
    <t>ACCY5101/TC/Jul-Lec/1</t>
  </si>
  <si>
    <t>ACCY5101/TC/Jul-Lec/2</t>
  </si>
  <si>
    <t>At least 1  day between  Lecture 1 and Lecture 2 of this course.  Avoid clashes with BSNS5001, BSBS5002, BSNS5003, BSNS5004. ACCY5101, ACCY5103, ACCY5104</t>
  </si>
  <si>
    <t>ACCY5102/HB/Feb</t>
  </si>
  <si>
    <t>ACCY5102/HB/Feb-Lec/1</t>
  </si>
  <si>
    <t>At lease 1 day between Lecture 1 and Lecture 2 of this course.   Avoid clashes with BSNS5001, BSBS5002, BSNS5003, BSNS5004. ACCY5101, ACCY5103, ACCY5104</t>
  </si>
  <si>
    <t>ACCY5102/HB/Feb-Lec/2</t>
  </si>
  <si>
    <t>At least 1 day between Workshop 1 and Workshop 2 of this course.   Avoid clashes with BSNS5001, BSBS5002, BSNS5003, BSNS5004. ACCY5101, ACCY5103, ACCY5104</t>
  </si>
  <si>
    <t>ACCY5102/HB/Feb-Wkshp/1</t>
  </si>
  <si>
    <t>ACCY5102/HB/Feb-Wkshp/2</t>
  </si>
  <si>
    <t>At least 1 day between Lecture 1 and Lecture 2 of this course.  Avoid clashes with BSNS5001, BSBS5002, BSNS5003, BSNS5004. ACCY5101, ACCY5103, ACCY5104</t>
  </si>
  <si>
    <t>ACCY5102/TC/Feb</t>
  </si>
  <si>
    <t>ACCY5102/TC/Feb-Lec/1</t>
  </si>
  <si>
    <t>ACCY5102/TC/Feb-Lec/2</t>
  </si>
  <si>
    <t>At least 1 day between Workshop 1 and Workshop 2 of this course.  Avoid clashes with BSNS5001, BSBS5002, BSNS5003, BSNS5004. ACCY5101, ACCY5103, ACCY5104</t>
  </si>
  <si>
    <t>ACCY5102/TC/Feb-Wkshp/1</t>
  </si>
  <si>
    <t>At least 1 day between Workshop 1 and Workshop 2 for this course.  Avoid clashes with BSNS5001, BSBS5002, BSNS5003, BSNS5004. ACCY5101, ACCY5103, ACCY5104</t>
  </si>
  <si>
    <t>ACCY5102/TC/Feb-Wkshp/2</t>
  </si>
  <si>
    <t>At least 1 day between Lecture and Workshop of this course.   Avoid clashes with BSNS5001, BSBS5002, BSNS5003, BSNS5004. ACCY5101, ACCY5102, ACCY5104</t>
  </si>
  <si>
    <t>ACCY5103/HB/Feb</t>
  </si>
  <si>
    <t>ACCY5103/HB/Feb-Lec/1</t>
  </si>
  <si>
    <t>At least 1 day between Lecture and Workshop of this course.  Avoid clashes with BSNS5001, BSBS5002, BSNS5003, BSNS5004. ACCY5101, ACCY5102, ACCY5104</t>
  </si>
  <si>
    <t>ACCY5103/HB/Feb-Wkshp/2</t>
  </si>
  <si>
    <t>ACCY5103/HB/Jul</t>
  </si>
  <si>
    <t>ACCY5103/HB/Jul-Lec/1</t>
  </si>
  <si>
    <t>At least 1 day between Lecture and Workshop of this course,  Avoid clashes with BSNS5001, BSBS5002, BSNS5003, BSNS5004. ACCY5101, ACCY5102, ACCY5104</t>
  </si>
  <si>
    <t>ACCY5103/HB/Jul-Wkshp/1</t>
  </si>
  <si>
    <t>At least 1 day between Lecture and Workshop for this course,  Avoid clashes with BSNS5001, BSBS5002, BSNS5003, BSNS5004. ACCY5101, ACCY5102, ACCY5104</t>
  </si>
  <si>
    <t>ACCY5103/TC/Feb</t>
  </si>
  <si>
    <t>ACCY5103/TC/Feb-Lec/1</t>
  </si>
  <si>
    <t>At least 1 day between Lecture and Workshop for this course.</t>
  </si>
  <si>
    <t>ACCY5103/TC/Feb-Wkshp/1</t>
  </si>
  <si>
    <t>At least 1 day between Lecture and Workshop for this course.  Avoid clashes with BSNS5001, BSBS5002, BSNS5003, BSNS5004. ACCY5101, ACCY5102, ACCY5104</t>
  </si>
  <si>
    <t>ACCY5103/TC/Jul</t>
  </si>
  <si>
    <t>ACCY5103/TC/Jul-Lec/1</t>
  </si>
  <si>
    <t>At lesst 1 day between Lecture and Workshop for this course,  Avoid clashes with BSNS5001, BSBS5002, BSNS5003, BSNS5004. ACCY5101, ACCY5102, ACCY5104</t>
  </si>
  <si>
    <t>ACCY5103/TC/Jul-Wkshp/1</t>
  </si>
  <si>
    <t>at least 1 day between Lecture 1 and Workshop 1 of this course.  Avoid clashes with BSNS5001, BSBS5002, BSNS5003, BSNS5004. ACCY5101, ACCY5102, ACCY5103</t>
  </si>
  <si>
    <t>ACCY5104/HB/Jul</t>
  </si>
  <si>
    <t>ACCY5104/HB/Jul-Lec/1</t>
  </si>
  <si>
    <t>At least 1 day between Lecture 1 and Workshop 1 of this course,   Avoid clashes with BSNS5001, BSBS5002, BSNS5003, BSNS5004. ACCY5101, ACCY5102, ACCY5103</t>
  </si>
  <si>
    <t>ACCY5104/HB/Jul-Wkshp/1</t>
  </si>
  <si>
    <t>At least 1 day between Lecture 1 and Workshop 1 of this course,  Avoid clashes with BSNS5001, BSBS5002, BSNS5003, BSNS5004. ACCY5101, ACCY5102, ACCY5103</t>
  </si>
  <si>
    <t>ACCY5104/TC/Jul</t>
  </si>
  <si>
    <t>ACCY5104/TC/Jul-Lec/1</t>
  </si>
  <si>
    <t>At least 1 day between Lecture 1 and Workshop 1 of this course.  Avoid clashes with BSNS5001, BSBS5002, BSNS5003, BSNS5004. ACCY5101, ACCY5102, ACCY5103</t>
  </si>
  <si>
    <t>ACCY5104/TC/Jul-Wkshp/1</t>
  </si>
  <si>
    <t>(M) Block - John Rose Building</t>
  </si>
  <si>
    <t>Teams Capable Room</t>
  </si>
  <si>
    <t>Same day/time as ACCY5105 in TC.  At least 1 free day between Lecture 1 and Lecture 2 of this course,</t>
  </si>
  <si>
    <t>ACCY5105/HB/Feb</t>
  </si>
  <si>
    <t>ACCY5105/HB/Feb-Lec/1</t>
  </si>
  <si>
    <t>ACCY5105/HB/Feb-Lec/2</t>
  </si>
  <si>
    <t>Same day/time as ACCY5105 in TC.  At least 1 free day between Lecture 1 and Lecture 2 of this course.</t>
  </si>
  <si>
    <t>ACCY5105/HB/Jul</t>
  </si>
  <si>
    <t>ACCY5105/HB/Jul-Lec/1</t>
  </si>
  <si>
    <t>ACCY5105/HB/Jul-Lec/2</t>
  </si>
  <si>
    <t>Same day/times as ACCY5105 in HB.  At least 1 free day between Lecture 1 and Lecture 2 of this course,</t>
  </si>
  <si>
    <t>ACCY5105/TC/Feb</t>
  </si>
  <si>
    <t>ACCY5105/TC/Feb-Lec/1</t>
  </si>
  <si>
    <t>Same day/time as ACCY5105 in HB.  At least 1 free day between Lecture 1 and Lecture 2 of this course.</t>
  </si>
  <si>
    <t>ACCY5105/TC/Feb-Lec/2</t>
  </si>
  <si>
    <t>ACCY5105/TC/Jul</t>
  </si>
  <si>
    <t>ACCY5105/TC/Jul-Lec/1</t>
  </si>
  <si>
    <t>ACCY5105/TC/Jul-Lec/2</t>
  </si>
  <si>
    <t xml:space="preserve"> At least 1 free day between Lecture 1 and Lecture 2 of this course.</t>
  </si>
  <si>
    <t>ACCY5106/HB/Feb</t>
  </si>
  <si>
    <t>ACCY5106/HB/Feb-Lec/1</t>
  </si>
  <si>
    <t>At least 1 free day between Lecture 1 and Lecture 2 of this course.</t>
  </si>
  <si>
    <t>ACCY5106/HB/Feb-Lec/2</t>
  </si>
  <si>
    <t>ACCY5106/TC/Feb</t>
  </si>
  <si>
    <t>ACCY5106/TC/Feb-Lec/1</t>
  </si>
  <si>
    <t>ACCY5106/TC/Feb-Lec/2</t>
  </si>
  <si>
    <t>ACCY6101/HB/Feb</t>
  </si>
  <si>
    <t>ACCY6101/HB/Feb-Lec/1</t>
  </si>
  <si>
    <t>ACCY6101/HB/Feb-Lec/2</t>
  </si>
  <si>
    <t>ACCY6101/TC/Feb</t>
  </si>
  <si>
    <t>ACCY6101/TC/Feb-Lec/1</t>
  </si>
  <si>
    <t>ACCY6101/TC/Feb-Lec/2</t>
  </si>
  <si>
    <t>Not room M100 or M101, please.  At least 1 free day between Lecture 1 and Lecture 2 of this course.</t>
  </si>
  <si>
    <t>ACCY6102/HB/Feb</t>
  </si>
  <si>
    <t>ACCY6102/HB/Feb-Lec/1</t>
  </si>
  <si>
    <t>Not in room M100 or M101. please.  At least 1 free day between Lecture 1 and Lecture 2 of this course.</t>
  </si>
  <si>
    <t>ACCY6102/HB/Feb-Lec/2</t>
  </si>
  <si>
    <t>ACCY6102/TC/Feb</t>
  </si>
  <si>
    <t>ACCY6102/TC/Feb-Lec/1</t>
  </si>
  <si>
    <t>ACCY6102/TC/Feb-Lec/2</t>
  </si>
  <si>
    <t>Not in Room M100 or M101, please.  At least 1 free day between Lecture 1 and Lecture 2 of this course.</t>
  </si>
  <si>
    <t>ACCY6103/HB/Jul</t>
  </si>
  <si>
    <t>ACCY6103/HB/Jul-Lec/1</t>
  </si>
  <si>
    <t>Not Room M100 or M101,  1 free day between Lecture 1 and Lecture 2 of this course.</t>
  </si>
  <si>
    <t>ACCY6103/HB/Jul-Lec/2</t>
  </si>
  <si>
    <t>ACCY6103/TC/Jul</t>
  </si>
  <si>
    <t>ACCY6103/TC/Jul-Lec/1</t>
  </si>
  <si>
    <t>ACCY6103/TC/Jul-Lec/2</t>
  </si>
  <si>
    <t>Not Room M100 or M101, please.  At least 1 free day between Lecture 1 and Lecture 2 of this course.</t>
  </si>
  <si>
    <t>ACCY6104/HB/Jul</t>
  </si>
  <si>
    <t>ACCY6104/HB/Jul-Lec/1</t>
  </si>
  <si>
    <t>ACCY6104/HB/Jul-Lec/2</t>
  </si>
  <si>
    <t>ACCY6104/TC/Jul</t>
  </si>
  <si>
    <t>ACCY6104/TC/Jul-Lec/1</t>
  </si>
  <si>
    <t>At lesst 1 free day between Lecture 1 and Lecture 2 of this course.</t>
  </si>
  <si>
    <t>ACCY6104/TC/Jul-Lec/2</t>
  </si>
  <si>
    <t xml:space="preserve"> At least 1 day between Lecture 1 and Lecture 2 for this course.</t>
  </si>
  <si>
    <t>ACCY6105/HB/Feb</t>
  </si>
  <si>
    <t>ACCY6105/HB/Feb-Lec/1</t>
  </si>
  <si>
    <t>At least 1 day between Lecture 1 and Lecture 2 for this course</t>
  </si>
  <si>
    <t>ACCY6105/HB/Feb-Lec/2</t>
  </si>
  <si>
    <t>ACCY6105/HB/Jul</t>
  </si>
  <si>
    <t>ACCY6105/HB/Jul-Lec/1</t>
  </si>
  <si>
    <t>ACCY6105/HB/Jul-Lec/2</t>
  </si>
  <si>
    <t>At least 1 day between Lecture 1 and Lecture 2 for this course.  VC computer in class room, please</t>
  </si>
  <si>
    <t>ACCY6105/TC/Feb</t>
  </si>
  <si>
    <t>ACCY6105/TC/Feb-Lec/1</t>
  </si>
  <si>
    <t>At least 1 day between Lecture 1 and Lecture 2 for this cours.  VC capability in computer room, please</t>
  </si>
  <si>
    <t>ACCY6105/TC/Feb-Lec/2</t>
  </si>
  <si>
    <t>At least 1 day between Lecture 1 and Lecture 2 for this course.  Same day/time as ACCY6106 in TC.</t>
  </si>
  <si>
    <t>ACCY6106/HB/Jul</t>
  </si>
  <si>
    <t>ACCY6106/HB/Jul-Lec/1</t>
  </si>
  <si>
    <t>ACCY6106/HB/Jul-Lec/2</t>
  </si>
  <si>
    <t>Same day/time as ACCY6106 in HB.  At least 1 day between Lecture 1 and Lecture 2 of this course.</t>
  </si>
  <si>
    <t>ACCY6106/TC/Jul</t>
  </si>
  <si>
    <t>ACCY6106/TC/Jul-Lec/1</t>
  </si>
  <si>
    <t>Same day/time as ACCY6106 in HB. At least  1day between Lecture 1 and Lecture 2 of this course.</t>
  </si>
  <si>
    <t>ACCY6106/TC/Jul-Lec/2</t>
  </si>
  <si>
    <t>ACCY6107/HB/Jul</t>
  </si>
  <si>
    <t>ACCY6107/HB/Jul-Lec/1</t>
  </si>
  <si>
    <t>ACCY6107/HB/Jul-Lec/2</t>
  </si>
  <si>
    <t>At least 1 day between Practical 1 and Practical 2 for this course</t>
  </si>
  <si>
    <t>ACCY6107/HB/Jul-Prac/1</t>
  </si>
  <si>
    <t>ACCY6107/HB/Jul-Prac/2</t>
  </si>
  <si>
    <t>1 free day between Lecture 1 and Lecture 2 of this course.</t>
  </si>
  <si>
    <t>ACCY6107/TC/Jul</t>
  </si>
  <si>
    <t>ACCY6107/TC/Jul-Lec/1</t>
  </si>
  <si>
    <t>At least 1 day between Lecture 1 and Lecture 2 of this course.</t>
  </si>
  <si>
    <t>ACCY6107/TC/Jul-Lec/2</t>
  </si>
  <si>
    <t>ACCY6107/TC/Jul-Prac/1</t>
  </si>
  <si>
    <t>ACCY6107/TC/Jul-Prac/2</t>
  </si>
  <si>
    <t>Same day/time as ACCY6108 in TC.  VC capability room, please.</t>
  </si>
  <si>
    <t>ACCY6108/HB/Feb</t>
  </si>
  <si>
    <t>ACCY6108/HB/Feb-Lec/1</t>
  </si>
  <si>
    <t>Same day/time as ACCY6108 in HB.  VC capability room, please.</t>
  </si>
  <si>
    <t>ACCY6108/TC/Feb</t>
  </si>
  <si>
    <t>ACCY6108/TC/Feb-Lec/1</t>
  </si>
  <si>
    <t>Same day/time as ACCY7101 in TC.  At least 1 day between Lecture 1 and Lecture 2 of this course,</t>
  </si>
  <si>
    <t>ACCY7101/HB/Jul</t>
  </si>
  <si>
    <t>ACCY7101/HB/Jul-Lec/1</t>
  </si>
  <si>
    <t>Same day/time as ACCY7101 in TC.  At least 1 day between Lecture 1 and Lecture 2 of this course..</t>
  </si>
  <si>
    <t>ACCY7101/HB/Jul-Lec/2</t>
  </si>
  <si>
    <t>Same day/time as ACCY7101 in HB.  At least 1 day between Lecture 1 and Lecture 2 of this course.</t>
  </si>
  <si>
    <t>ACCY7101/TC/Jul</t>
  </si>
  <si>
    <t>ACCY7101/TC/Jul-Lec/1</t>
  </si>
  <si>
    <t>Same day/time as ACCY7101 in HB.  At least 1 day between Lecture 1 and Lecture 2 for this course,</t>
  </si>
  <si>
    <t>ACCY7101/TC/Jul-Lec/2</t>
  </si>
  <si>
    <t>Same day/time as ACCY7102 in TC.  At least 1 day between Lecture 1 and Lecture 2 of this course.</t>
  </si>
  <si>
    <t>ACCY7102/HB/Feb</t>
  </si>
  <si>
    <t>ACCY7102/HB/Feb-Lec/1</t>
  </si>
  <si>
    <t>Same day/time as ACCY7102 in TC.  At least 1 day between Lecture 1 and Lecture 2 of this course,</t>
  </si>
  <si>
    <t>ACCY7102/HB/Feb-Lec/2</t>
  </si>
  <si>
    <t>Same day/time as ACCY7102 in HB.  At least 1 day between Lecture 1 and Lecture 2 of this course,</t>
  </si>
  <si>
    <t>ACCY7102/TC/Feb</t>
  </si>
  <si>
    <t>ACCY7102/TC/Feb-Lec/1</t>
  </si>
  <si>
    <t>ACCY7102/TC/Feb-Lec/2</t>
  </si>
  <si>
    <t>Same day/time as ACCY7103 in TC.  At least 1 day between Lecture 1 and Lecture 2 of this course,</t>
  </si>
  <si>
    <t>ACCY7103/HB/Jul</t>
  </si>
  <si>
    <t>ACCY7103/HB/Jul-Lec/1</t>
  </si>
  <si>
    <t>Same day/time as ACCY7103 in TC.  At least 1 day between Lecture 1 and Lecture 2 of this course.</t>
  </si>
  <si>
    <t>ACCY7103/HB/Jul-Lec/2</t>
  </si>
  <si>
    <t>Same day/time as ACCY7103 in HB.  At least 1 day between Lecture 1 and Lecture 2 of this course,</t>
  </si>
  <si>
    <t>ACCY7103/TC/Jul</t>
  </si>
  <si>
    <t>ACCY7103/TC/Jul-Lec/1</t>
  </si>
  <si>
    <t>ACCY7103/TC/Jul-Lec/2</t>
  </si>
  <si>
    <t>BSNS5001/HB/Feb</t>
  </si>
  <si>
    <t>BSNS5001/HB/Feb-Lec/1</t>
  </si>
  <si>
    <t>BSNS5001/HB/Feb-Lec/2</t>
  </si>
  <si>
    <t>BSNS5001/HB/Jul</t>
  </si>
  <si>
    <t>BSNS5001/HB/Jul-Lec/1</t>
  </si>
  <si>
    <t>BSNS5001/HB/Jul-Lec/2</t>
  </si>
  <si>
    <t>BSNS5001/TC/Jul</t>
  </si>
  <si>
    <t>BSNS5001/TC/Jul-Lec/1</t>
  </si>
  <si>
    <t>BSNS5001/TC/Jul-Lec/2</t>
  </si>
  <si>
    <t>BSNS5002/HB/Feb</t>
  </si>
  <si>
    <t>BSNS5002/HB/Feb-Lec/1</t>
  </si>
  <si>
    <t>BSNS5002/HB/Feb-Lec/2</t>
  </si>
  <si>
    <t>BSNS5002/TC/Feb</t>
  </si>
  <si>
    <t>BSNS5002/TC/Feb-Lec/1</t>
  </si>
  <si>
    <t>BSNS5002/TC/Feb-Lec/2</t>
  </si>
  <si>
    <t>BSNS5003/HB/Jul</t>
  </si>
  <si>
    <t>BSNS5003/HB/Jul-Lec/1</t>
  </si>
  <si>
    <t>BSNS5003/HB/Jul-Lec/2</t>
  </si>
  <si>
    <t>BSNS5003/TC/Feb</t>
  </si>
  <si>
    <t>BSNS5003/TC/Feb-Lec/1</t>
  </si>
  <si>
    <t>BSNS5003/TC/Feb-Lec/2</t>
  </si>
  <si>
    <t>BSNS5004/HB/Jul</t>
  </si>
  <si>
    <t>BSNS5004/HB/Jul-Lec/1</t>
  </si>
  <si>
    <t>BSNS5004/HB/Jul-Lec/2</t>
  </si>
  <si>
    <t>BSNS5004/TC/Jul</t>
  </si>
  <si>
    <t>BSNS5004/TC/Jul-Lec/1</t>
  </si>
  <si>
    <t>BSNS5004/TC/Jul-Lec/2</t>
  </si>
  <si>
    <t>BSNS5401/HB/Feb</t>
  </si>
  <si>
    <t>BSNS5401/HB/Feb-Lec/1</t>
  </si>
  <si>
    <t>BSNS5401/HB/Feb-Lec/2</t>
  </si>
  <si>
    <t>BSNS5401/HB/Jul</t>
  </si>
  <si>
    <t>BSNS5401/HB/Jul-Lec/2</t>
  </si>
  <si>
    <t>BSNS5401/TC/Jul</t>
  </si>
  <si>
    <t>BSNS5401/TC/Jul-Lec/1</t>
  </si>
  <si>
    <t>BSNS5401/TC/Jul-Lec/2</t>
  </si>
  <si>
    <t>BSNS5402/HB/Feb</t>
  </si>
  <si>
    <t>BSNS5402/HB/Feb-Lec/1</t>
  </si>
  <si>
    <t>BSNS5402/HB/Feb-Lec/2</t>
  </si>
  <si>
    <t>BSNS5402/HB/Jul</t>
  </si>
  <si>
    <t>BSNS5402/HB/Jul-Lec/1</t>
  </si>
  <si>
    <t>BSNS5402/HB/Jul-Lec/2</t>
  </si>
  <si>
    <t>BSNS5402/TC/Feb</t>
  </si>
  <si>
    <t>BSNS5402/TC/Feb-Lec/1</t>
  </si>
  <si>
    <t>BSNS5402/TC/Feb-Lec/2</t>
  </si>
  <si>
    <t>BSNS5403/HB/Feb</t>
  </si>
  <si>
    <t>BSNS5403/HB/Feb-Lec/1</t>
  </si>
  <si>
    <t>BSNS5403/HB/Feb-Lec/2</t>
  </si>
  <si>
    <t>BSNS5403/HB/Jul</t>
  </si>
  <si>
    <t>BSNS5403/HB/Jul-Lec/1</t>
  </si>
  <si>
    <t>BSNS5403/HB/Jul-Lec/2</t>
  </si>
  <si>
    <t>BSNS5403/TC/Feb</t>
  </si>
  <si>
    <t>BSNS5403/TC/Feb-Lec/1</t>
  </si>
  <si>
    <t>BSNS5403/TC/Feb-Lec/2</t>
  </si>
  <si>
    <t>BSNS5404/HB/Feb</t>
  </si>
  <si>
    <t>BSNS5404/HB/Feb-Lec/1</t>
  </si>
  <si>
    <t>BSNS5404/HB/Feb-Lec/2</t>
  </si>
  <si>
    <t>BSNS5404/HB/Jul</t>
  </si>
  <si>
    <t>BSNS5404/HB/Jul-Lec/1</t>
  </si>
  <si>
    <t>BSNS5404/HB/Jul-Lec/2</t>
  </si>
  <si>
    <t>BSNS5404/TC/Jul</t>
  </si>
  <si>
    <t>BSNS5404/TC/Jul-Lec/1</t>
  </si>
  <si>
    <t>BSNS5404/TC/Jul-Lec/2</t>
  </si>
  <si>
    <t>Same day/time as LM6.01 in TC.  At least 1 free day between Lecture 1 and Lecture 2 of this course.</t>
  </si>
  <si>
    <t>LM6.01/HB/Feb</t>
  </si>
  <si>
    <t>LM6.01/HB/Feb-Lec/1</t>
  </si>
  <si>
    <t>LM6.01/HB/Feb-Lec/2</t>
  </si>
  <si>
    <t>(Mon/Tues 8-5pm)</t>
  </si>
  <si>
    <t>Same day/time as LM6.01 in HB.  At least 1 free day between Lecture 1 and Lecture 2 of this course.</t>
  </si>
  <si>
    <t>LM6.01/TC/Feb</t>
  </si>
  <si>
    <t>LM6.01/TC/Feb-Lec/1</t>
  </si>
  <si>
    <t>LM6.01/TC/Feb-Lec/2</t>
  </si>
  <si>
    <t>Same day/time as LM6.02 in TC.  At least 1 free day between Lecture 1 and Lecture 2 of this course.</t>
  </si>
  <si>
    <t>LM6.02/HB/Jul</t>
  </si>
  <si>
    <t>LM6.02/HB/Jul-Lec/1</t>
  </si>
  <si>
    <t>LM6.02/HB/Jul-Lec/2</t>
  </si>
  <si>
    <t>Same day/time as LM6.02 in HB.  At least 1 free day between Lecture 1 and Lecture 2 of this course.</t>
  </si>
  <si>
    <t>LM6.02/TC/Jul</t>
  </si>
  <si>
    <t>LM6.02/TC/Jul-Lec/1</t>
  </si>
  <si>
    <t>(wed-thurs 8-5pm fri 8-12)</t>
  </si>
  <si>
    <t>LM6.02/TC/Jul-Lec/2</t>
  </si>
  <si>
    <t>Same day/time as LM7.07 in TC.  At least 1 day between Lecture 1 and Lecture 2 of this course.</t>
  </si>
  <si>
    <t>LM7.07/HB/Feb</t>
  </si>
  <si>
    <t>LM7.07/HB/Feb-Lec/1</t>
  </si>
  <si>
    <t>LM7.07/HB/Feb-Lec/2</t>
  </si>
  <si>
    <t>Same day/time as LM7.07 in HB.  At least 1 day between Lecture 1 and Lecture 2 of this course.</t>
  </si>
  <si>
    <t>LM7.07/TC/Feb</t>
  </si>
  <si>
    <t>LM7.07/TC/Feb-Lec/1</t>
  </si>
  <si>
    <t>Same day/time as LM7.07 in HB.  At least 1 day between Lecture 1 and Lecture 2 of this course,</t>
  </si>
  <si>
    <t>LM7.07/TC/Feb-Lec/2</t>
  </si>
  <si>
    <t>Same day/time as MG6.01 in TC.  At least 1 free day between Lecture 1 and Lecture 2 of this course.</t>
  </si>
  <si>
    <t>MG6.01/HB/Feb</t>
  </si>
  <si>
    <t>MG6.01/HB/Feb-Lec/1</t>
  </si>
  <si>
    <t>Same day/time as MG6.01 in TC.  1 free day between Lecture 1 and Lecture 2 of this course.</t>
  </si>
  <si>
    <t>MG6.01/HB/Feb-Lec/2</t>
  </si>
  <si>
    <t>Same day/time as MG6.01 in HB.  At least 1 free day between Lecture 1 and Lecture 2 of this course.</t>
  </si>
  <si>
    <t>MG6.01/TC/Feb</t>
  </si>
  <si>
    <t>MG6.01/TC/Feb-Lec/1</t>
  </si>
  <si>
    <t>Same day/time as MG6.01 in HB. At least 1 free day between Lecture 1 and Lecture 2 of this course.</t>
  </si>
  <si>
    <t>MG6.01/TC/Feb-Lec/2</t>
  </si>
  <si>
    <t>Same day/time as MG6.02 in TC.  At least 1 day between Lecture 1 and Lecture 2 of this course.</t>
  </si>
  <si>
    <t>MG6.02/HB/Jul</t>
  </si>
  <si>
    <t>MG6.02/HB/Jul-Lec/1</t>
  </si>
  <si>
    <t>MG6.02/HB/Jul-Lec/2</t>
  </si>
  <si>
    <t>Same day/time as MG6.02 in HB.  At least 1 day between Lecture 1 and Lecture 2 of this course.</t>
  </si>
  <si>
    <t>MG6.02/TC/Jul</t>
  </si>
  <si>
    <t>MG6.02/TC/Jul-Lec/1</t>
  </si>
  <si>
    <t>MG6.02/TC/Jul-Lec/2</t>
  </si>
  <si>
    <t>Same day/time as MG6.03 in TC.  At least 1 day between Lecture 1 and Lecture 2 of this course.  Dno not clash with MG6.05 Employment Relations.</t>
  </si>
  <si>
    <t>MG6.03/HB/Feb</t>
  </si>
  <si>
    <t>MG6.03/HB/Feb-Lec/1</t>
  </si>
  <si>
    <t>Same day/time as MG6.03 in TC. At least  1 day between Lecture 1 and Lecture 2 of this course.  Do not clash with MG6.05 Employment Relations.</t>
  </si>
  <si>
    <t>MG6.03/HB/Feb-Lec/2</t>
  </si>
  <si>
    <t>Same day/time as MG6.03 in HB.  At least 1 day between Lecture 1 and Lecture 2 of this course.  Do not clash with MG6.05 Employment Relations.</t>
  </si>
  <si>
    <t>MG6.03/TC/Feb</t>
  </si>
  <si>
    <t>MG6.03/TC/Feb-Lec/1</t>
  </si>
  <si>
    <t>MG6.03/TC/Feb-Lec/2</t>
  </si>
  <si>
    <t>Same day/time as MG6.04 in TC.  At least 1 day between Lecture 1 and Lecture 2 of this course.</t>
  </si>
  <si>
    <t>MG6.04/HB/Jul</t>
  </si>
  <si>
    <t>MG6.04/HB/Jul-Lec/1</t>
  </si>
  <si>
    <t>MG6.04/HB/Jul-Lec/2</t>
  </si>
  <si>
    <t>Same day/time as MG6.04 in HB. At least 1 day between Lecture 1 and Lecture 2 of this course.</t>
  </si>
  <si>
    <t>MG6.04/TC/Jul</t>
  </si>
  <si>
    <t>MG6.04/TC/Jul-Lec/1</t>
  </si>
  <si>
    <t>Same day/time as MG6.04 in HB.  At least 1 day between Lecture 1 and Lecture 2 of this course.</t>
  </si>
  <si>
    <t>MG6.04/TC/Jul-Lec/2</t>
  </si>
  <si>
    <t>Same day/time as MG6.05 in TC.  Do not clash with MG6.03 Human Resource Management.  At least 1 day between Lecture 1 and Lecture 2 of this course.</t>
  </si>
  <si>
    <t>MG6.05/HB/Feb</t>
  </si>
  <si>
    <t>MG6.05/HB/Feb-Lec/1</t>
  </si>
  <si>
    <t>MG6.05/HB/Feb-Lec/2</t>
  </si>
  <si>
    <t>Same day/time as MG6.05 in HB.  1 free day between Lecture 1 and Lecture 2 of this course.  Do not clash with MG6.03 HRM.</t>
  </si>
  <si>
    <t>MG6.05/TC/Feb</t>
  </si>
  <si>
    <t>MG6.05/TC/Feb-Lec/1</t>
  </si>
  <si>
    <t>MG6.05/TC/Feb-Lec/2</t>
  </si>
  <si>
    <t>Same day/time as MG7.01 in TC.  At least 1 day between Lecture 1 and Lecture 2 of this course.</t>
  </si>
  <si>
    <t>MG7.01/HB/Feb</t>
  </si>
  <si>
    <t>MG7.01/HB/Feb-Lec/1</t>
  </si>
  <si>
    <t>MG7.01/HB/Feb-Lec/2</t>
  </si>
  <si>
    <t>Same day/time as MG7.01 in HB.  At least 1 day between Lecture 1 and Lecture 2 of this course.</t>
  </si>
  <si>
    <t>MG7.01/TC/Feb</t>
  </si>
  <si>
    <t>MG7.01/TC/Feb-Lec/1</t>
  </si>
  <si>
    <t>MG7.01/TC/Feb-Lec/2</t>
  </si>
  <si>
    <t>Same day/ime as MG7.02 in TC.  At least 1 day between Lecture 1 and Lecture 2 of this course.</t>
  </si>
  <si>
    <t>MG7.02/HB/Feb</t>
  </si>
  <si>
    <t>MG7.02/HB/Feb-Lec/1</t>
  </si>
  <si>
    <t>Same day/time as MG7.02 in TC.  At least 1 day between Lecture 1 and Lecture 2 of this course.</t>
  </si>
  <si>
    <t>MG7.02/HB/Feb-Lec/2</t>
  </si>
  <si>
    <t>Same day/time as MG7.02 in HB.  At least 1 day between Lecture 1 and Lecture 2 of this course.</t>
  </si>
  <si>
    <t>MG7.02/TC/Feb</t>
  </si>
  <si>
    <t>MG7.02/TC/Feb-Lec/1</t>
  </si>
  <si>
    <t>MG7.02/TC/Feb-Lec/2</t>
  </si>
  <si>
    <t>Same day/time as MG7.03 in TC.  At least 1 day between Lecture 1 and Lecture 2 of this course.</t>
  </si>
  <si>
    <t>MG7.03/HB/Jul</t>
  </si>
  <si>
    <t>MG7.03/HB/Jul-Lec/1</t>
  </si>
  <si>
    <t>MG7.03/HB/Jul-Lec/2</t>
  </si>
  <si>
    <t>Same day/time as MG7.03 in HB.  At least 1 day between Lecture 1 and Lecture 2 of this course.</t>
  </si>
  <si>
    <t>MG7.03/TC/Jul</t>
  </si>
  <si>
    <t>MG7.03/TC/Jul-Lec/1</t>
  </si>
  <si>
    <t>MG7.03/TC/Jul-Lec/2</t>
  </si>
  <si>
    <t>MG7.04/HB/Feb</t>
  </si>
  <si>
    <t>MG7.04/HB/Feb-Lec/1</t>
  </si>
  <si>
    <t>MG7.04/HB/Feb-Lec/2</t>
  </si>
  <si>
    <t>At least one day between Lecture 1 and lecture 2 of this course.</t>
  </si>
  <si>
    <t>MG7.04/HB/Jul</t>
  </si>
  <si>
    <t>MG7.04/HB/Jul-Lec/1</t>
  </si>
  <si>
    <t>At least one day between Lecture 1 and Lecture 2 of this course.</t>
  </si>
  <si>
    <t>MG7.04/HB/Jul-Lec/2</t>
  </si>
  <si>
    <t>Same day/time as MG7.04 in HB.  At least 1 day between Lecture 1 and Lecture 2 of this course.</t>
  </si>
  <si>
    <t>MG7.04/TC/Feb</t>
  </si>
  <si>
    <t>MG7.04/TC/Feb-Lec/1</t>
  </si>
  <si>
    <t>MG7.04/TC/Feb-Lec/2</t>
  </si>
  <si>
    <t>MG7.04/TC/Jul</t>
  </si>
  <si>
    <t>MG7.04/TC/Jul-Lec/1</t>
  </si>
  <si>
    <t>MG7.04/TC/Jul-Lec/2</t>
  </si>
  <si>
    <t>Same day/time as MG7.05 in TC.  At least 1 day between Lecture 1 and Lecture 2 of this course.</t>
  </si>
  <si>
    <t>MG7.05/HB/Jul</t>
  </si>
  <si>
    <t>MG7.05/HB/Jul-Lec/1</t>
  </si>
  <si>
    <t>MG7.05/HB/Jul-Lec/2</t>
  </si>
  <si>
    <t>Same day/time as MG7.05 in HB.  At least 1 day between Lecture 1 and Lecture 2 of this course.</t>
  </si>
  <si>
    <t>MG7.05/TC/Jul</t>
  </si>
  <si>
    <t>MG7.05/TC/Jul-Lec/1</t>
  </si>
  <si>
    <t>MG7.05/TC/Jul-Lec/2</t>
  </si>
  <si>
    <t>MK6.01/HB/Feb</t>
  </si>
  <si>
    <t>MK6.01/HB/Feb-Lec/1</t>
  </si>
  <si>
    <t>MK6.01/HB/Feb-Lec/2</t>
  </si>
  <si>
    <t>MK6.01/TC/Feb</t>
  </si>
  <si>
    <t>MK6.01/TC/Feb-Lec/1</t>
  </si>
  <si>
    <t>MK6.01/TC/Feb-Lec/2</t>
  </si>
  <si>
    <t>MK6.02/HB/Feb</t>
  </si>
  <si>
    <t>MK6.02/HB/Feb-Lec/1</t>
  </si>
  <si>
    <t>MK6.02/HB/Feb-Lec/2</t>
  </si>
  <si>
    <t>MK6.02/TC/Feb</t>
  </si>
  <si>
    <t>MK6.02/TC/Feb-Lec/1</t>
  </si>
  <si>
    <t>MK6.02/TC/Feb-Lec/2</t>
  </si>
  <si>
    <t>MK6.03/HB/Jul</t>
  </si>
  <si>
    <t>MK6.03/HB/Jul-Lec/1</t>
  </si>
  <si>
    <t>MK6.03/HB/Jul-Lec/2</t>
  </si>
  <si>
    <t>MK6.03/TC/Jul</t>
  </si>
  <si>
    <t>MK6.03/TC/Jul-Lec/1</t>
  </si>
  <si>
    <t>MK6.03/TC/Jul-Lec/2</t>
  </si>
  <si>
    <t>MK7.01/HB/Jul</t>
  </si>
  <si>
    <t>MK7.01/HB/Jul-Lec/1</t>
  </si>
  <si>
    <t>MK7.01/HB/Jul-Lec/2</t>
  </si>
  <si>
    <t>MK7.02/HB/Feb</t>
  </si>
  <si>
    <t>MK7.02/HB/Feb-Lec/1</t>
  </si>
  <si>
    <t>At lest 1 day between Lecture 1 and Lecture 2 of this course.</t>
  </si>
  <si>
    <t>MK7.02/HB/Feb-Lec/2</t>
  </si>
  <si>
    <t>MK7.10/HB/Jul</t>
  </si>
  <si>
    <t>MK7.10/HB/Jul-Lec/1</t>
  </si>
  <si>
    <t>MK7.10/HB/Jul-Lec/2</t>
  </si>
  <si>
    <t>Barbara Stokes,Conrad Schumacher,Louise MacKenzie,Russell Booth, Nick Cordery, Robbie Field, Surej P John, Pii-Tuulia Nikula, RACHAEL REHU, Ram Roy, Mark Scott</t>
  </si>
  <si>
    <t>Both Sem All Weeks (8-15, 18-26, 30-39, 42-48)</t>
  </si>
  <si>
    <t>Same day/time as SoB/SoC in TC</t>
  </si>
  <si>
    <t>SBA/HB/Feb</t>
  </si>
  <si>
    <t>SBA/HB/Feb-Wkshp/1</t>
  </si>
  <si>
    <t>Joanna Frain,Jaikaran Narula,John Thomas,Ian Allan</t>
  </si>
  <si>
    <t>Same day/time as SoB School-based Activities in HB AND SoC School-based Activities in HB/TC</t>
  </si>
  <si>
    <t>SBA/TC/Feb</t>
  </si>
  <si>
    <t>SBA/TC/Feb-Wkshp/1</t>
  </si>
  <si>
    <t>BSNS5002/HB/Jul</t>
  </si>
  <si>
    <t>BSNS5002/HB/Jul-Lec/1</t>
  </si>
  <si>
    <t>BSNS5002/HB/Jul-Lec/2</t>
  </si>
  <si>
    <t>BSNS5003/HB/Feb</t>
  </si>
  <si>
    <t>BSNS5003/HB/Feb-Lec/1</t>
  </si>
  <si>
    <t>BSNS5003/HB/Feb-Lec/2</t>
  </si>
  <si>
    <t>BSNS5004/HB/Feb</t>
  </si>
  <si>
    <t>BSNS5004/HB/Feb-Lec/1</t>
  </si>
  <si>
    <t>BSNS5004/HB/Feb-Lec/2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</si>
</sst>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0"/>
      <name val="Aptos Narrow"/>
      <scheme val="minor"/>
    </font>
    <font>
      <sz val="11"/>
      <color theme="1"/>
      <name val="Aptos Narrow"/>
      <scheme val="minor"/>
    </font>
    <font>
      <sz val="11"/>
      <color indexed="8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3" fillId="0" borderId="0"/>
  </cellStyleXfs>
  <cellXfs count="15">
    <xf numFmtId="0" fontId="0" fillId="0" borderId="0" xfId="0"/>
    <xf numFmtId="1" fontId="2" fillId="0" borderId="0" xfId="3" applyNumberFormat="1" applyFont="1" applyAlignment="1">
      <alignment horizontal="right"/>
    </xf>
    <xf numFmtId="0" fontId="2" fillId="0" borderId="0" xfId="3" applyFont="1"/>
    <xf numFmtId="1" fontId="2" fillId="0" borderId="0" xfId="3" applyNumberFormat="1" applyFont="1" applyAlignment="1">
      <alignment horizontal="center"/>
    </xf>
    <xf numFmtId="0" fontId="2" fillId="0" borderId="0" xfId="3" applyFont="1" applyAlignment="1">
      <alignment horizontal="center"/>
    </xf>
    <xf numFmtId="0" fontId="4" fillId="0" borderId="0" xfId="3" applyFont="1" applyAlignment="1">
      <alignment horizontal="center"/>
    </xf>
    <xf numFmtId="0" fontId="5" fillId="0" borderId="0" xfId="0" applyFont="1"/>
    <xf numFmtId="0" fontId="6" fillId="0" borderId="0" xfId="3" applyFont="1"/>
    <xf numFmtId="9" fontId="4" fillId="0" borderId="0" xfId="1" applyFont="1" applyFill="1" applyBorder="1" applyAlignment="1">
      <alignment horizontal="center"/>
    </xf>
    <xf numFmtId="1" fontId="6" fillId="0" borderId="0" xfId="1" applyNumberFormat="1" applyFont="1" applyFill="1" applyBorder="1" applyAlignment="1">
      <alignment horizontal="right"/>
    </xf>
    <xf numFmtId="9" fontId="6" fillId="0" borderId="0" xfId="1" applyFont="1" applyFill="1" applyBorder="1" applyAlignment="1"/>
    <xf numFmtId="1" fontId="6" fillId="0" borderId="0" xfId="2" applyNumberFormat="1" applyFont="1" applyAlignment="1">
      <alignment horizontal="right"/>
    </xf>
    <xf numFmtId="0" fontId="6" fillId="0" borderId="0" xfId="2" applyFont="1"/>
    <xf numFmtId="16" fontId="0" fillId="0" borderId="0" xfId="0" applyNumberFormat="1"/>
    <xf numFmtId="49" fontId="0" fillId="0" borderId="0" xfId="0" applyNumberFormat="1"/>
  </cellXfs>
  <cellStyles count="4">
    <cellStyle name="Normal" xfId="0" builtinId="0"/>
    <cellStyle name="Normal_Sections" xfId="3" xr:uid="{E722CE45-A1A4-470B-A637-19233E351694}"/>
    <cellStyle name="Normal_Sheet1" xfId="2" xr:uid="{2AC9400E-742E-4B2C-B2BF-2B29F9B92980}"/>
    <cellStyle name="Percent" xfId="1" builtinId="5"/>
  </cellStyles>
  <dxfs count="10"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ptos Narrow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1E4CCC"/>
      <color rgb="FF132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C2F82E7-90E0-486C-AB33-B1C042DB3A45}" name="tblProg" displayName="tblProg" ref="A1:K29" totalsRowShown="0">
  <autoFilter ref="A1:K29" xr:uid="{0C2F82E7-90E0-486C-AB33-B1C042DB3A45}"/>
  <tableColumns count="11">
    <tableColumn id="1" xr3:uid="{74E3ECB3-4ABF-4FE9-9AC9-EC5796A63669}" name="0"/>
    <tableColumn id="2" xr3:uid="{2592758F-8694-434C-9CA4-2034AE01F356}" name="SectionID"/>
    <tableColumn id="3" xr3:uid="{814FF368-9E97-4B7C-8356-99A3F64C19AA}" name="Programme Title"/>
    <tableColumn id="4" xr3:uid="{E256FC7A-675F-48DE-B5E6-15F073BB53DE}" name="Base Code"/>
    <tableColumn id="5" xr3:uid="{66E588D3-7305-437B-9066-5D1FA560CF46}" name="Pregion" dataDxfId="9">
      <calculatedColumnFormula>INDEX(tblCampus[CampusCode], MATCH(tblProg[[#This Row],[Campus]], tblCampus[CampusName], 0))</calculatedColumnFormula>
    </tableColumn>
    <tableColumn id="6" xr3:uid="{43653B84-2094-4BFA-8024-CE0FB40630D0}" name="Intake"/>
    <tableColumn id="7" xr3:uid="{CFA0F65C-0CAA-4789-94B2-F02EBF0A0FF2}" name="FullProgCode">
      <calculatedColumnFormula>tblProg[[#This Row],[Base Code]]&amp;"/"&amp;tblProg[[#This Row],[Pregion]]&amp;"/"&amp;tblProg[[#This Row],[Intake]]</calculatedColumnFormula>
    </tableColumn>
    <tableColumn id="8" xr3:uid="{F2D8136E-BEF2-4147-8557-782CF927BB68}" name="Campus"/>
    <tableColumn id="9" xr3:uid="{6100F85F-297F-45E8-A63A-45958634F2A8}" name="FullPDescript">
      <calculatedColumnFormula>tblProg[[#This Row],[Programme Title]]&amp;" - "&amp;tblProg[[#This Row],[Campus]]&amp;" - "&amp;tblProg[[#This Row],[Intake]]</calculatedColumnFormula>
    </tableColumn>
    <tableColumn id="10" xr3:uid="{0770842F-8422-4369-B412-E1248C6A1A3A}" name="ProgStudSet">
      <calculatedColumnFormula>tblProg[[#This Row],[FullProgCode]]&amp;"/1"</calculatedColumnFormula>
    </tableColumn>
    <tableColumn id="11" xr3:uid="{8B03DD60-6694-41DB-ADE5-98712D72F343}" name="Prog1Code">
      <calculatedColumnFormula>tblProg[[#This Row],[Base Code]]&amp;"/"&amp;tblProg[[#This Row],[Campus]]&amp;"/"&amp;tblProg[[#This Row],[Intake]]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F7FCDA-7988-45C4-8391-AEF0B6C792F8}" name="tblCourse" displayName="tblCourse" ref="A1:O114" totalsRowShown="0">
  <autoFilter ref="A1:O114" xr:uid="{40F7FCDA-7988-45C4-8391-AEF0B6C792F8}"/>
  <tableColumns count="15">
    <tableColumn id="1" xr3:uid="{F170E41C-4056-4687-A039-4505ADDE31CB}" name="CourseID"/>
    <tableColumn id="2" xr3:uid="{882E5854-5304-41F6-B529-B1CB3E9DE454}" name="CourseTitle"/>
    <tableColumn id="3" xr3:uid="{1C5C47C4-8F34-467A-A72E-AAA9C4DA7494}" name="CourseCode"/>
    <tableColumn id="4" xr3:uid="{7B818ED8-AAAB-462C-BF31-4AAC3E0E371D}" name="CRegion">
      <calculatedColumnFormula>INDEX(tblCampus[CampusCode], MATCH(tblCourse[[#This Row],[Ccampus]], tblCampus[CampusName], 0))</calculatedColumnFormula>
    </tableColumn>
    <tableColumn id="5" xr3:uid="{FEB99B3E-008C-44FE-9562-2AAE2CCDE86E}" name="CIntake"/>
    <tableColumn id="6" xr3:uid="{99CF14E7-3ACE-42D9-BEC6-75114A682EE5}" name="ProgNumb"/>
    <tableColumn id="7" xr3:uid="{39D9AD05-FCBB-403E-9A47-8954178085AA}" name="Completed"/>
    <tableColumn id="8" xr3:uid="{D0AEDBF8-D643-4727-9BA3-C0F0E6381BBC}" name="CSection"/>
    <tableColumn id="9" xr3:uid="{0A3A7C74-0B7D-4E94-B193-ED27E60D0AAD}" name="CourseFullCode">
      <calculatedColumnFormula>tblCourse[[#This Row],[CourseCode]]&amp;"/"&amp;tblCourse[[#This Row],[CRegion]]&amp;"/"&amp;tblCourse[[#This Row],[CIntake]]</calculatedColumnFormula>
    </tableColumn>
    <tableColumn id="10" xr3:uid="{39541D9D-72D3-4B04-9FB4-2403B1F46395}" name="OnlyMod"/>
    <tableColumn id="11" xr3:uid="{620B64E4-BD58-4A3A-ABD1-D58A07F9F13C}" name="Ccampus"/>
    <tableColumn id="12" xr3:uid="{09A2CC46-2C8E-4AC9-BF9D-2FEF4D6ABCA1}" name="FullCDescript">
      <calculatedColumnFormula>tblCourse[[#This Row],[CourseTitle]]&amp;"  -  "&amp;tblCourse[[#This Row],[Ccampus]]&amp;"  -  "&amp;tblCourse[[#This Row],[CIntake]]</calculatedColumnFormula>
    </tableColumn>
    <tableColumn id="13" xr3:uid="{39217DF6-D091-43E5-B9D5-1862897ED642}" name="StudSet">
      <calculatedColumnFormula>tblCourse[[#This Row],[ProgFullCode]]&amp;"/1"</calculatedColumnFormula>
    </tableColumn>
    <tableColumn id="14" xr3:uid="{E101E478-6F00-4F3C-A4F3-56E7E4D0C44E}" name="ProgFullCode">
      <calculatedColumnFormula>INDEX(Programmes!G:G,MATCH(tblCourse[[#This Row],[ProgNumb]],Programmes!A:A,))</calculatedColumnFormula>
    </tableColumn>
    <tableColumn id="15" xr3:uid="{E764552C-A3B0-47E7-ADE0-A355901DB65E}" name="Mod1Code">
      <calculatedColumnFormula>tblCourse[[#This Row],[CourseCode]]&amp;"/"&amp;tblCourse[[#This Row],[Ccampus]]&amp;"/"&amp;tblCourse[[#This Row],[CIntake]]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86DF796-1DC2-4229-A22D-FCBF1FA19FBE}" name="tblAct" displayName="tblAct" ref="A1:CL223" totalsRowShown="0">
  <autoFilter ref="A1:CL223" xr:uid="{586DF796-1DC2-4229-A22D-FCBF1FA19FBE}"/>
  <tableColumns count="90">
    <tableColumn id="1" xr3:uid="{320CB9A8-BC7A-415A-9C84-09B49CA1419D}" name="ActID"/>
    <tableColumn id="2" xr3:uid="{B94228A8-9A36-416F-BF7B-579AE5E5191A}" name="CourseNumbr"/>
    <tableColumn id="3" xr3:uid="{4FE8621F-7368-408B-B618-46D5204C79B7}" name="ActivityType"/>
    <tableColumn id="4" xr3:uid="{FA153A59-FB5C-4E45-B0D7-5472920E8E5B}" name="ActivityNumb"/>
    <tableColumn id="5" xr3:uid="{B7E32D7C-C375-4756-BF07-17A6191A504E}" name="SpecialLabel"/>
    <tableColumn id="6" xr3:uid="{DF033743-2CCF-4207-AA10-B20177BCE10C}" name="NumbStuds"/>
    <tableColumn id="7" xr3:uid="{9693778B-4B68-47F0-8F80-003ADD875B8A}" name="NumbStreams"/>
    <tableColumn id="8" xr3:uid="{B5E59939-B004-4F96-AFB2-22AAC07F8743}" name="Duration"/>
    <tableColumn id="9" xr3:uid="{4BE9EED7-B5AF-4BBF-94AA-640E83335F72}" name="StaffWorking"/>
    <tableColumn id="10" xr3:uid="{E103ACC7-1EBA-4F49-8A3E-AD764234357D}" name="RoomType"/>
    <tableColumn id="11" xr3:uid="{1FE90FB3-3B5B-4E43-8ECA-D0B087E0D267}" name="Campus"/>
    <tableColumn id="12" xr3:uid="{865A2D9A-4044-48B4-8B3A-028E51950876}" name="PreferredArea"/>
    <tableColumn id="13" xr3:uid="{4E169279-1045-433F-805C-E587D31EB84E}" name="Suitabilities"/>
    <tableColumn id="14" xr3:uid="{971ED4ED-1FFA-4399-AC9B-D1C63A61D15C}" name="SpecRoom"/>
    <tableColumn id="15" xr3:uid="{4A2991C9-9DAB-48DA-8AA6-B273533D7A13}" name="MonStart"/>
    <tableColumn id="16" xr3:uid="{9CAD502F-21EB-4FA8-9C3B-8C00858266B5}" name="MonFinish"/>
    <tableColumn id="17" xr3:uid="{658756F4-1362-46F4-A6C2-5B6EEA936E09}" name="TuesStart"/>
    <tableColumn id="18" xr3:uid="{F36AFC18-9FED-4A0C-8655-01B32B31D88B}" name="TuesFinish"/>
    <tableColumn id="19" xr3:uid="{8F0CF21D-5CF9-4BD7-88F2-3E7071104EC5}" name="WedStart"/>
    <tableColumn id="20" xr3:uid="{A5002E68-3C6E-4574-A7FC-FAC713FA7BBB}" name="WedFinish"/>
    <tableColumn id="21" xr3:uid="{428949EA-87D4-46F6-BC90-1BC7314384C8}" name="ThursStart"/>
    <tableColumn id="22" xr3:uid="{739E0324-3E68-4A4A-8211-96898DBEEAB8}" name="ThursFinish"/>
    <tableColumn id="23" xr3:uid="{A43C797F-D48C-44E2-8811-FD181FEF7D17}" name="FriStart"/>
    <tableColumn id="24" xr3:uid="{AE058755-B6FB-4A6E-B055-327B7ABA381E}" name="FriFinish"/>
    <tableColumn id="25" xr3:uid="{35116C39-ECB9-437B-BBFD-953B5F0977BF}" name="SatStart"/>
    <tableColumn id="26" xr3:uid="{AE4B14FF-24E1-4C0E-9428-67C5A1A988EF}" name="SatFinish"/>
    <tableColumn id="27" xr3:uid="{841FAB88-6D69-493A-BEF9-C93682637C5D}" name="SunStart"/>
    <tableColumn id="28" xr3:uid="{73DFA078-4EDB-4DFF-8597-9DE321F4E9E7}" name="SunFinish"/>
    <tableColumn id="29" xr3:uid="{EBCA34B4-91A1-4AC6-B32D-D694FCE80E83}" name="w1"/>
    <tableColumn id="30" xr3:uid="{1CA4CCD1-1F8C-4A86-8CAD-59597C9D5E25}" name="w2"/>
    <tableColumn id="31" xr3:uid="{48B017EC-FEBF-439F-BE6D-93E7D26204A7}" name="w3"/>
    <tableColumn id="32" xr3:uid="{98710B89-5296-497C-B078-0038E21C361D}" name="w4"/>
    <tableColumn id="33" xr3:uid="{D9B03633-EA63-4BBA-82B7-8E1E91706AA7}" name="w5"/>
    <tableColumn id="34" xr3:uid="{5B4E6025-D0CF-4887-9F04-0CA32A2A81E7}" name="w6"/>
    <tableColumn id="35" xr3:uid="{D442C82C-FC09-4453-A04B-F6DD6A818E6E}" name="w7"/>
    <tableColumn id="36" xr3:uid="{C75B6C0E-700D-4DA7-9305-F262E9270F85}" name="w8"/>
    <tableColumn id="37" xr3:uid="{11263D17-ACF9-41CD-A78F-269B0AF2F685}" name="w9"/>
    <tableColumn id="38" xr3:uid="{8C846439-E834-41E2-9827-C8F4AF726D8D}" name="w10"/>
    <tableColumn id="39" xr3:uid="{E8680A86-7BD3-41C5-8765-6C3DD53316D2}" name="w11"/>
    <tableColumn id="40" xr3:uid="{E049ABFD-2E6D-4B23-98FF-97F10F40DA9C}" name="w12"/>
    <tableColumn id="41" xr3:uid="{582DC992-33BF-4B70-B334-78F5A46934E3}" name="w13"/>
    <tableColumn id="42" xr3:uid="{B713071E-866A-4F96-8E37-1D15B6299AD6}" name="w14"/>
    <tableColumn id="43" xr3:uid="{79AEE262-D82E-4198-9A2C-2FF8A5333711}" name="w15"/>
    <tableColumn id="44" xr3:uid="{60282DB3-81CF-48B2-B299-FF5F5E8E3071}" name="w16"/>
    <tableColumn id="45" xr3:uid="{5F94B91A-B970-4F85-8219-EAB7301FB036}" name="w17"/>
    <tableColumn id="46" xr3:uid="{11E65482-BFFC-4B54-8DC7-18CD59656B6D}" name="w18"/>
    <tableColumn id="47" xr3:uid="{C5A5F28C-9DE7-46A8-81FE-1DACC02B9098}" name="w19"/>
    <tableColumn id="48" xr3:uid="{2855648A-A860-410B-B853-347E583A1496}" name="w20"/>
    <tableColumn id="49" xr3:uid="{6DDAB5D3-3CD4-49A6-96AA-568974BC3CF5}" name="w21"/>
    <tableColumn id="50" xr3:uid="{CCABC1C4-5FE5-4303-BA35-7D90AF695D2D}" name="w22"/>
    <tableColumn id="51" xr3:uid="{6AF43E85-F008-4DAA-955A-5B4B85836DD1}" name="w23"/>
    <tableColumn id="52" xr3:uid="{9165C99D-EEAA-42C5-B501-F7FD0EAE7D46}" name="w24"/>
    <tableColumn id="53" xr3:uid="{92A3F0D8-9EBD-4B14-A4FF-9B4F861FEA88}" name="w25"/>
    <tableColumn id="54" xr3:uid="{FE9FFD36-7CC9-4246-977C-4B0CCE3BF320}" name="w26"/>
    <tableColumn id="55" xr3:uid="{7FE2A988-D085-42EE-BFD3-4B40172C508F}" name="w27"/>
    <tableColumn id="56" xr3:uid="{22C20544-5791-4DBB-8761-32B1859AF8ED}" name="w28"/>
    <tableColumn id="57" xr3:uid="{A1830142-39C7-483F-B415-0C58CFAD3714}" name="w29"/>
    <tableColumn id="58" xr3:uid="{ED7432BD-551D-4850-BF77-8C072DD82EC9}" name="w30"/>
    <tableColumn id="59" xr3:uid="{A642B8A6-2D8B-4811-8A6A-8D6452A544DD}" name="w31"/>
    <tableColumn id="60" xr3:uid="{D2D4BFB9-3A35-44B1-A4E3-35D9034B7EDC}" name="w32"/>
    <tableColumn id="61" xr3:uid="{E7552B02-08A5-4466-B896-01D7B86CB7CD}" name="w33"/>
    <tableColumn id="62" xr3:uid="{27A6DD17-AFC0-4C22-AF1C-7F855F673F18}" name="w34"/>
    <tableColumn id="63" xr3:uid="{EA094440-6035-4DEA-968F-1D771546CA67}" name="w35"/>
    <tableColumn id="64" xr3:uid="{29F4FF1A-0AC2-448F-83BE-C244F38051D9}" name="w36"/>
    <tableColumn id="65" xr3:uid="{78240C2D-7F18-4876-B61A-4879B0DA4980}" name="w37"/>
    <tableColumn id="66" xr3:uid="{A674CE13-4A4A-45A7-89AC-C4DCED185606}" name="w38"/>
    <tableColumn id="67" xr3:uid="{99DDE5AA-A032-467D-B08D-218DD2C4FBF4}" name="w39"/>
    <tableColumn id="68" xr3:uid="{C102E895-D76F-455B-A113-AA74041B3B6B}" name="w40"/>
    <tableColumn id="69" xr3:uid="{26F74036-FFF6-458D-97C5-A5F9047117D8}" name="w41"/>
    <tableColumn id="70" xr3:uid="{7C6228A6-FB50-42E1-BAC0-F46ADD370D05}" name="w42"/>
    <tableColumn id="71" xr3:uid="{87EA3B4E-8A66-4297-830B-08A2FA89A492}" name="w43"/>
    <tableColumn id="72" xr3:uid="{98CC3222-AB42-4129-965B-AC960CE7D22E}" name="w44"/>
    <tableColumn id="73" xr3:uid="{52299F42-08BE-42C6-B9E8-CDD69A070F9D}" name="w45"/>
    <tableColumn id="74" xr3:uid="{083E7470-1D03-4079-90C6-A76CF606CBE6}" name="w46"/>
    <tableColumn id="75" xr3:uid="{97C2CFFD-6E37-4C6D-B54B-0D41BFEB92AE}" name="w47"/>
    <tableColumn id="76" xr3:uid="{9C8023D8-2B8C-4717-9492-1339368E337B}" name="w48"/>
    <tableColumn id="77" xr3:uid="{32F624CF-694E-4078-A2B5-2238ECB194CB}" name="w49"/>
    <tableColumn id="78" xr3:uid="{F1D4DB83-9130-4632-9305-24B8270C372D}" name="w50"/>
    <tableColumn id="79" xr3:uid="{99E42109-25F9-463C-9EC2-77E9D3923B46}" name="w51"/>
    <tableColumn id="80" xr3:uid="{C0A2B088-72D7-46B3-AD1D-78602FC1A510}" name="w52"/>
    <tableColumn id="81" xr3:uid="{BAE7FE12-44E9-4372-94C7-38CA4EB080B2}" name="Holidays"/>
    <tableColumn id="82" xr3:uid="{0B76EF79-A437-4284-A339-DF65B3C61DB3}" name="OtherProgrammes"/>
    <tableColumn id="83" xr3:uid="{8A313929-0608-4535-866B-698885535019}" name="PresetWeeks"/>
    <tableColumn id="84" xr3:uid="{0BA9F543-2466-4F7E-B37D-96843A3E9021}" name="PresetAvailability"/>
    <tableColumn id="85" xr3:uid="{8214A0D5-DB7A-48EB-BE1F-6D523930C4A6}" name="Sametime"/>
    <tableColumn id="86" xr3:uid="{E7FFE3E7-7735-4543-8543-D5F496BEA8AF}" name="TotalWeeks"/>
    <tableColumn id="87" xr3:uid="{3F7FC7DB-F882-4C21-8604-067A0C5046E6}" name="ActComment"/>
    <tableColumn id="88" xr3:uid="{BE65C769-7B01-4832-8DD8-A96CB063C765}" name="ModuleName"/>
    <tableColumn id="89" xr3:uid="{00E14375-8097-4179-84DC-5D91350E449C}" name="TypeCheck"/>
    <tableColumn id="90" xr3:uid="{131F31E8-F00D-4C8F-AC39-180A5AE318C5}" name="ACodeChec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F19B3D-86E0-4AA6-8928-F2658DD2E9C5}" name="tblStaff" displayName="tblStaff" ref="A1:C556" totalsRowShown="0">
  <autoFilter ref="A1:C556" xr:uid="{71F19B3D-86E0-4AA6-8928-F2658DD2E9C5}"/>
  <tableColumns count="3">
    <tableColumn id="1" xr3:uid="{C20AA341-ECCA-4136-BE64-7C90024BB26B}" name="ID"/>
    <tableColumn id="2" xr3:uid="{5F88A5B6-CF36-49DE-830C-6CA16129AEA5}" name="Staff"/>
    <tableColumn id="3" xr3:uid="{3F971184-7502-49C8-AA1E-DE7FDD05866C}" name="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927ABD-64A4-49E4-A5E6-FA07D296197E}" name="tblSection" displayName="tblSection" ref="X1:Z21" totalsRowShown="0">
  <autoFilter ref="X1:Z21" xr:uid="{9A927ABD-64A4-49E4-A5E6-FA07D296197E}"/>
  <tableColumns count="3">
    <tableColumn id="1" xr3:uid="{91A2B393-49D7-4392-98CF-196ED98CE14B}" name="SectionID"/>
    <tableColumn id="2" xr3:uid="{4F863ED3-F0D5-4B0B-9A48-61729D1FFF05}" name="SectionCode"/>
    <tableColumn id="3" xr3:uid="{0AB797A3-2653-498E-97C0-7742A94D746B}" name="Se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00F3D-03BB-499C-A976-F94FA359D525}" name="tblActType" displayName="tblActType" ref="A1:C15" totalsRowShown="0" headerRowDxfId="8" dataDxfId="7">
  <autoFilter ref="A1:C15" xr:uid="{DB998D92-321B-4589-BA95-71FEB2C79293}"/>
  <tableColumns count="3">
    <tableColumn id="1" xr3:uid="{3E069DB2-B125-40E7-BF51-63949776F327}" name="ID" dataDxfId="6" dataCellStyle="Normal_Sheet1"/>
    <tableColumn id="2" xr3:uid="{2CCF351F-760C-430A-8F46-280DE1060AA0}" name="Type" dataDxfId="5" dataCellStyle="Normal_Sheet1"/>
    <tableColumn id="3" xr3:uid="{CA2126F8-68CE-4906-AA64-F92EB3EFD5D6}" name="Code" dataDxfId="4" dataCellStyle="Normal_Sheet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4C2FEE-31B3-4295-8AA9-2F855E1D3850}" name="tblCampus" displayName="tblCampus" ref="F1:H16" totalsRowShown="0">
  <autoFilter ref="F1:H16" xr:uid="{BEE3FDA9-DF33-4F36-9A00-EDF969C9EADE}"/>
  <tableColumns count="3">
    <tableColumn id="1" xr3:uid="{F653BA79-ACB6-4D75-8569-D5646A119457}" name="ID"/>
    <tableColumn id="2" xr3:uid="{69E1D8C5-63B8-4D62-A1D1-6EC8FA4E527A}" name="CampusName"/>
    <tableColumn id="3" xr3:uid="{2D9DB53E-AB7A-4766-8848-B51ABCD8AA3D}" name="CampusCo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594178-AB39-4E2D-BC17-E9EF1561CBA7}" name="tblHoliday" displayName="tblHoliday" ref="K1:L4" totalsRowShown="0" headerRowDxfId="3" dataDxfId="2">
  <autoFilter ref="K1:L4" xr:uid="{85D26F3C-D53C-4837-A72A-DB6CC6FFBB4D}"/>
  <tableColumns count="2">
    <tableColumn id="1" xr3:uid="{9832D07C-4E3C-4F18-B276-FC433E8AD827}" name="HolidayID" dataDxfId="1"/>
    <tableColumn id="2" xr3:uid="{6427AA4C-7304-452B-AB6C-B07BF27D8FCC}" name="Action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72411-D914-4328-82A1-A82FAC6CA87E}" name="tblRmType" displayName="tblRmType" ref="O1:Q10" totalsRowShown="0">
  <autoFilter ref="O1:Q10" xr:uid="{1C9BA570-EB09-4247-915D-60A28AF944F3}"/>
  <tableColumns count="3">
    <tableColumn id="1" xr3:uid="{3AB6F9AD-DD68-4851-969C-1FC131AC2063}" name="ID"/>
    <tableColumn id="2" xr3:uid="{A2F03370-E6A9-4792-8FBE-785AFF99DA98}" name="RoomType"/>
    <tableColumn id="3" xr3:uid="{75AB00D3-ABE8-4E8E-8486-041B62BB3E62}" name="Room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3CEB72-88D5-4CB3-A229-3A2D50F47F5B}" name="tblIntake" displayName="tblIntake" ref="T1:U30" totalsRowShown="0">
  <autoFilter ref="T1:U30" xr:uid="{A27A9A48-030B-4C5B-B9BD-298EDEABBE0E}"/>
  <tableColumns count="2">
    <tableColumn id="1" xr3:uid="{DB848C80-6102-46EC-875C-BCD686E39FA3}" name="ID"/>
    <tableColumn id="2" xr3:uid="{7457A113-A513-41F9-9FAE-42C4761E4670}" name="Intak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E7FDAEB-891B-4237-8212-5E0D13901031}" name="tblTime" displayName="tblTime" ref="AC1:AE35" totalsRowShown="0">
  <autoFilter ref="AC1:AE35" xr:uid="{D3820957-203B-48BF-AF75-D20EACE7ADDD}"/>
  <tableColumns count="3">
    <tableColumn id="1" xr3:uid="{987DDE5D-AF95-499E-A086-DE31D951BFE2}" name="ID"/>
    <tableColumn id="2" xr3:uid="{4C14D287-E89E-41E0-A103-D046295FA4B7}" name="Time"/>
    <tableColumn id="3" xr3:uid="{BB5B0A29-7362-4A02-B736-C462889667A7}" name="SPlusTi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24EDE56-7CD2-4C38-A909-0C80B09AFF49}" name="tblDuration" displayName="tblDuration" ref="AK1:AL34" totalsRowShown="0">
  <autoFilter ref="AK1:AL34" xr:uid="{777579DB-25A1-4B7E-877F-D634D456DBF2}"/>
  <tableColumns count="2">
    <tableColumn id="1" xr3:uid="{342AB58F-D987-494D-9850-A107EEAD57B7}" name="Duration"/>
    <tableColumn id="2" xr3:uid="{42F96933-EF97-45DF-A374-5E63022E39C8}" name="Period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47B7A64-C5E1-4568-9A32-E9845F6E94D4}" name="tblSameTime" displayName="tblSameTime" ref="AO1:AO3" totalsRowShown="0">
  <autoFilter ref="AO1:AO3" xr:uid="{355E0AE8-8E47-4A1B-B18D-49A285522D2B}"/>
  <tableColumns count="1">
    <tableColumn id="1" xr3:uid="{776506B3-DA2A-4019-9EAC-DF507D18DFBA}" name="Same Tim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64BB9C6-43FF-43EE-A1E1-E58B1096B15C}" name="tblRmTypeInfo" displayName="tblRmTypeInfo" ref="AR1:AR7" totalsRowShown="0">
  <autoFilter ref="AR1:AR7" xr:uid="{E6124023-516A-473D-82AD-1E5D22165CF2}"/>
  <tableColumns count="1">
    <tableColumn id="1" xr3:uid="{1C685634-D30D-4010-8DBD-D5006267E833}" name="RoomTypeInf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4AE6744-4052-490D-BE97-171E3EE7F695}" name="tblStatus" displayName="tblStatus" ref="AH1:AH3" totalsRowShown="0">
  <autoFilter ref="AH1:AH3" xr:uid="{3998A05B-E18F-4AC5-B8A8-39F9B39D881E}"/>
  <tableColumns count="1">
    <tableColumn id="1" xr3:uid="{0315E833-4417-4801-823F-73CC68EC641E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8D32A-2E22-4BDF-9B69-DD3C5D94DD0D}">
  <sheetPr codeName="Programmes"/>
  <dimension ref="A1:K29"/>
  <sheetViews>
    <sheetView workbookViewId="0">
      <selection activeCell="E2" sqref="E2"/>
    </sheetView>
  </sheetViews>
  <sheetFormatPr defaultColWidth="8.875" defaultRowHeight="14.25"/>
  <cols>
    <col min="1" max="1" width="7" bestFit="1" customWidth="1"/>
    <col min="2" max="2" width="15.625" customWidth="1"/>
    <col min="3" max="3" width="64.375" bestFit="1" customWidth="1"/>
    <col min="4" max="4" width="12.875" bestFit="1" customWidth="1"/>
    <col min="5" max="5" width="10" customWidth="1"/>
    <col min="6" max="6" width="8.375" bestFit="1" customWidth="1"/>
    <col min="7" max="7" width="15.375" customWidth="1"/>
    <col min="8" max="8" width="14" bestFit="1" customWidth="1"/>
    <col min="9" max="9" width="79" bestFit="1" customWidth="1"/>
    <col min="10" max="10" width="15.375" bestFit="1" customWidth="1"/>
    <col min="11" max="11" width="23.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72</v>
      </c>
      <c r="B2" t="s">
        <v>11</v>
      </c>
      <c r="C2" t="s">
        <v>12</v>
      </c>
      <c r="D2" t="s">
        <v>13</v>
      </c>
      <c r="E2" t="str">
        <f>INDEX(tblCampus[CampusCode], MATCH(tblProg[[#This Row],[Campus]], tblCampus[CampusName], 0))</f>
        <v>HB</v>
      </c>
      <c r="F2" t="s">
        <v>14</v>
      </c>
      <c r="G2" t="str">
        <f>tblProg[[#This Row],[Base Code]]&amp;"/"&amp;tblProg[[#This Row],[Pregion]]&amp;"/"&amp;tblProg[[#This Row],[Intake]]</f>
        <v>BBS/HB/Feb</v>
      </c>
      <c r="H2" t="s">
        <v>15</v>
      </c>
      <c r="I2" t="str">
        <f>tblProg[[#This Row],[Programme Title]]&amp;" - "&amp;tblProg[[#This Row],[Campus]]&amp;" - "&amp;tblProg[[#This Row],[Intake]]</f>
        <v>Bachelor of Business Studies - Taradale - Feb</v>
      </c>
      <c r="J2" t="str">
        <f>tblProg[[#This Row],[FullProgCode]]&amp;"/1"</f>
        <v>BBS/HB/Feb/1</v>
      </c>
      <c r="K2" t="str">
        <f>tblProg[[#This Row],[Base Code]]&amp;"/"&amp;tblProg[[#This Row],[Campus]]&amp;"/"&amp;tblProg[[#This Row],[Intake]]</f>
        <v>BBS/Taradale/Feb</v>
      </c>
    </row>
    <row r="3" spans="1:11">
      <c r="A3">
        <v>73</v>
      </c>
      <c r="B3" t="s">
        <v>11</v>
      </c>
      <c r="C3" t="s">
        <v>12</v>
      </c>
      <c r="D3" t="s">
        <v>13</v>
      </c>
      <c r="E3" t="str">
        <f>INDEX(tblCampus[CampusCode], MATCH(tblProg[[#This Row],[Campus]], tblCampus[CampusName], 0))</f>
        <v>TC</v>
      </c>
      <c r="F3" t="s">
        <v>14</v>
      </c>
      <c r="G3" t="str">
        <f>tblProg[[#This Row],[Base Code]]&amp;"/"&amp;tblProg[[#This Row],[Pregion]]&amp;"/"&amp;tblProg[[#This Row],[Intake]]</f>
        <v>BBS/TC/Feb</v>
      </c>
      <c r="H3" t="s">
        <v>16</v>
      </c>
      <c r="I3" t="str">
        <f>tblProg[[#This Row],[Programme Title]]&amp;" - "&amp;tblProg[[#This Row],[Campus]]&amp;" - "&amp;tblProg[[#This Row],[Intake]]</f>
        <v>Bachelor of Business Studies - Palmerston Rd - Feb</v>
      </c>
      <c r="J3" t="str">
        <f>tblProg[[#This Row],[FullProgCode]]&amp;"/1"</f>
        <v>BBS/TC/Feb/1</v>
      </c>
      <c r="K3" t="str">
        <f>tblProg[[#This Row],[Base Code]]&amp;"/"&amp;tblProg[[#This Row],[Campus]]&amp;"/"&amp;tblProg[[#This Row],[Intake]]</f>
        <v>BBS/Palmerston Rd/Feb</v>
      </c>
    </row>
    <row r="4" spans="1:11">
      <c r="A4">
        <v>100001</v>
      </c>
      <c r="B4" t="s">
        <v>11</v>
      </c>
      <c r="C4" t="s">
        <v>17</v>
      </c>
      <c r="D4" t="s">
        <v>18</v>
      </c>
      <c r="E4" t="str">
        <f>INDEX(tblCampus[CampusCode], MATCH(tblProg[[#This Row],[Campus]], tblCampus[CampusName], 0))</f>
        <v>HB</v>
      </c>
      <c r="F4" t="s">
        <v>14</v>
      </c>
      <c r="G4" t="str">
        <f>tblProg[[#This Row],[Base Code]]&amp;"/"&amp;tblProg[[#This Row],[Pregion]]&amp;"/"&amp;tblProg[[#This Row],[Intake]]</f>
        <v>BoA/HB/Feb</v>
      </c>
      <c r="H4" t="s">
        <v>15</v>
      </c>
      <c r="I4" t="str">
        <f>tblProg[[#This Row],[Programme Title]]&amp;" - "&amp;tblProg[[#This Row],[Campus]]&amp;" - "&amp;tblProg[[#This Row],[Intake]]</f>
        <v>Bachelor of Accounting - Taradale - Feb</v>
      </c>
      <c r="J4" t="str">
        <f>tblProg[[#This Row],[FullProgCode]]&amp;"/1"</f>
        <v>BoA/HB/Feb/1</v>
      </c>
      <c r="K4" t="str">
        <f>tblProg[[#This Row],[Base Code]]&amp;"/"&amp;tblProg[[#This Row],[Campus]]&amp;"/"&amp;tblProg[[#This Row],[Intake]]</f>
        <v>BoA/Taradale/Feb</v>
      </c>
    </row>
    <row r="5" spans="1:11">
      <c r="A5">
        <v>100002</v>
      </c>
      <c r="B5" t="s">
        <v>11</v>
      </c>
      <c r="C5" t="s">
        <v>17</v>
      </c>
      <c r="D5" t="s">
        <v>18</v>
      </c>
      <c r="E5" t="str">
        <f>INDEX(tblCampus[CampusCode], MATCH(tblProg[[#This Row],[Campus]], tblCampus[CampusName], 0))</f>
        <v>SS</v>
      </c>
      <c r="F5" t="s">
        <v>14</v>
      </c>
      <c r="G5" t="str">
        <f>tblProg[[#This Row],[Base Code]]&amp;"/"&amp;tblProg[[#This Row],[Pregion]]&amp;"/"&amp;tblProg[[#This Row],[Intake]]</f>
        <v>BoA/SS/Feb</v>
      </c>
      <c r="H5" t="s">
        <v>19</v>
      </c>
      <c r="I5" t="str">
        <f>tblProg[[#This Row],[Programme Title]]&amp;" - "&amp;tblProg[[#This Row],[Campus]]&amp;" - "&amp;tblProg[[#This Row],[Intake]]</f>
        <v>Bachelor of Accounting - Stout St - Feb</v>
      </c>
      <c r="J5" t="str">
        <f>tblProg[[#This Row],[FullProgCode]]&amp;"/1"</f>
        <v>BoA/SS/Feb/1</v>
      </c>
      <c r="K5" t="str">
        <f>tblProg[[#This Row],[Base Code]]&amp;"/"&amp;tblProg[[#This Row],[Campus]]&amp;"/"&amp;tblProg[[#This Row],[Intake]]</f>
        <v>BoA/Stout St/Feb</v>
      </c>
    </row>
    <row r="6" spans="1:11">
      <c r="A6">
        <v>100007</v>
      </c>
      <c r="B6" t="s">
        <v>11</v>
      </c>
      <c r="C6" t="s">
        <v>17</v>
      </c>
      <c r="D6" t="s">
        <v>18</v>
      </c>
      <c r="E6" t="str">
        <f>INDEX(tblCampus[CampusCode], MATCH(tblProg[[#This Row],[Campus]], tblCampus[CampusName], 0))</f>
        <v>W</v>
      </c>
      <c r="F6" t="s">
        <v>20</v>
      </c>
      <c r="G6" t="str">
        <f>tblProg[[#This Row],[Base Code]]&amp;"/"&amp;tblProg[[#This Row],[Pregion]]&amp;"/"&amp;tblProg[[#This Row],[Intake]]</f>
        <v>BoA/W/Jul</v>
      </c>
      <c r="H6" t="s">
        <v>21</v>
      </c>
      <c r="I6" t="str">
        <f>tblProg[[#This Row],[Programme Title]]&amp;" - "&amp;tblProg[[#This Row],[Campus]]&amp;" - "&amp;tblProg[[#This Row],[Intake]]</f>
        <v>Bachelor of Accounting - Wairoa - Jul</v>
      </c>
      <c r="J6" t="str">
        <f>tblProg[[#This Row],[FullProgCode]]&amp;"/1"</f>
        <v>BoA/W/Jul/1</v>
      </c>
      <c r="K6" t="str">
        <f>tblProg[[#This Row],[Base Code]]&amp;"/"&amp;tblProg[[#This Row],[Campus]]&amp;"/"&amp;tblProg[[#This Row],[Intake]]</f>
        <v>BoA/Wairoa/Jul</v>
      </c>
    </row>
    <row r="7" spans="1:11">
      <c r="A7">
        <v>79</v>
      </c>
      <c r="B7" t="s">
        <v>11</v>
      </c>
      <c r="C7" t="s">
        <v>22</v>
      </c>
      <c r="D7" t="s">
        <v>23</v>
      </c>
      <c r="E7" t="str">
        <f>INDEX(tblCampus[CampusCode], MATCH(tblProg[[#This Row],[Campus]], tblCampus[CampusName], 0))</f>
        <v>HB</v>
      </c>
      <c r="F7" t="s">
        <v>14</v>
      </c>
      <c r="G7" t="str">
        <f>tblProg[[#This Row],[Base Code]]&amp;"/"&amp;tblProg[[#This Row],[Pregion]]&amp;"/"&amp;tblProg[[#This Row],[Intake]]</f>
        <v>CBASS/HB/Feb</v>
      </c>
      <c r="H7" t="s">
        <v>15</v>
      </c>
      <c r="I7" t="str">
        <f>tblProg[[#This Row],[Programme Title]]&amp;" - "&amp;tblProg[[#This Row],[Campus]]&amp;" - "&amp;tblProg[[#This Row],[Intake]]</f>
        <v>New Zealand Certificate in Business (Accounting Support Services) (L4) - Taradale - Feb</v>
      </c>
      <c r="J7" t="str">
        <f>tblProg[[#This Row],[FullProgCode]]&amp;"/1"</f>
        <v>CBASS/HB/Feb/1</v>
      </c>
      <c r="K7" t="str">
        <f>tblProg[[#This Row],[Base Code]]&amp;"/"&amp;tblProg[[#This Row],[Campus]]&amp;"/"&amp;tblProg[[#This Row],[Intake]]</f>
        <v>CBASS/Taradale/Feb</v>
      </c>
    </row>
    <row r="8" spans="1:11">
      <c r="A8">
        <v>82</v>
      </c>
      <c r="B8" t="s">
        <v>11</v>
      </c>
      <c r="C8" t="s">
        <v>24</v>
      </c>
      <c r="D8" t="s">
        <v>25</v>
      </c>
      <c r="E8" t="str">
        <f>INDEX(tblCampus[CampusCode], MATCH(tblProg[[#This Row],[Campus]], tblCampus[CampusName], 0))</f>
        <v>HB</v>
      </c>
      <c r="F8" t="s">
        <v>14</v>
      </c>
      <c r="G8" t="str">
        <f>tblProg[[#This Row],[Base Code]]&amp;"/"&amp;tblProg[[#This Row],[Pregion]]&amp;"/"&amp;tblProg[[#This Row],[Intake]]</f>
        <v>NZDB/HB/Feb</v>
      </c>
      <c r="H8" t="s">
        <v>15</v>
      </c>
      <c r="I8" t="str">
        <f>tblProg[[#This Row],[Programme Title]]&amp;" - "&amp;tblProg[[#This Row],[Campus]]&amp;" - "&amp;tblProg[[#This Row],[Intake]]</f>
        <v>New Zealand Diploma in Business L5 - Taradale - Feb</v>
      </c>
      <c r="J8" t="str">
        <f>tblProg[[#This Row],[FullProgCode]]&amp;"/1"</f>
        <v>NZDB/HB/Feb/1</v>
      </c>
      <c r="K8" t="str">
        <f>tblProg[[#This Row],[Base Code]]&amp;"/"&amp;tblProg[[#This Row],[Campus]]&amp;"/"&amp;tblProg[[#This Row],[Intake]]</f>
        <v>NZDB/Taradale/Feb</v>
      </c>
    </row>
    <row r="9" spans="1:11">
      <c r="A9">
        <v>81</v>
      </c>
      <c r="B9" t="s">
        <v>11</v>
      </c>
      <c r="C9" t="s">
        <v>24</v>
      </c>
      <c r="D9" t="s">
        <v>25</v>
      </c>
      <c r="E9" t="str">
        <f>INDEX(tblCampus[CampusCode], MATCH(tblProg[[#This Row],[Campus]], tblCampus[CampusName], 0))</f>
        <v>TC</v>
      </c>
      <c r="F9" t="s">
        <v>14</v>
      </c>
      <c r="G9" t="str">
        <f>tblProg[[#This Row],[Base Code]]&amp;"/"&amp;tblProg[[#This Row],[Pregion]]&amp;"/"&amp;tblProg[[#This Row],[Intake]]</f>
        <v>NZDB/TC/Feb</v>
      </c>
      <c r="H9" t="s">
        <v>16</v>
      </c>
      <c r="I9" t="str">
        <f>tblProg[[#This Row],[Programme Title]]&amp;" - "&amp;tblProg[[#This Row],[Campus]]&amp;" - "&amp;tblProg[[#This Row],[Intake]]</f>
        <v>New Zealand Diploma in Business L5 - Palmerston Rd - Feb</v>
      </c>
      <c r="J9" t="str">
        <f>tblProg[[#This Row],[FullProgCode]]&amp;"/1"</f>
        <v>NZDB/TC/Feb/1</v>
      </c>
      <c r="K9" t="str">
        <f>tblProg[[#This Row],[Base Code]]&amp;"/"&amp;tblProg[[#This Row],[Campus]]&amp;"/"&amp;tblProg[[#This Row],[Intake]]</f>
        <v>NZDB/Palmerston Rd/Feb</v>
      </c>
    </row>
    <row r="10" spans="1:11">
      <c r="A10">
        <v>100003</v>
      </c>
      <c r="B10" t="s">
        <v>11</v>
      </c>
      <c r="C10" t="s">
        <v>26</v>
      </c>
      <c r="D10" t="s">
        <v>27</v>
      </c>
      <c r="E10" t="str">
        <f>INDEX(tblCampus[CampusCode], MATCH(tblProg[[#This Row],[Campus]], tblCampus[CampusName], 0))</f>
        <v>HB</v>
      </c>
      <c r="F10" t="s">
        <v>14</v>
      </c>
      <c r="G10" t="str">
        <f>tblProg[[#This Row],[Base Code]]&amp;"/"&amp;tblProg[[#This Row],[Pregion]]&amp;"/"&amp;tblProg[[#This Row],[Intake]]</f>
        <v>SBA/HB/Feb</v>
      </c>
      <c r="H10" t="s">
        <v>15</v>
      </c>
      <c r="I10" t="str">
        <f>tblProg[[#This Row],[Programme Title]]&amp;" - "&amp;tblProg[[#This Row],[Campus]]&amp;" - "&amp;tblProg[[#This Row],[Intake]]</f>
        <v>School-based Activities - Taradale - Feb</v>
      </c>
      <c r="J10" t="str">
        <f>tblProg[[#This Row],[FullProgCode]]&amp;"/1"</f>
        <v>SBA/HB/Feb/1</v>
      </c>
      <c r="K10" t="str">
        <f>tblProg[[#This Row],[Base Code]]&amp;"/"&amp;tblProg[[#This Row],[Campus]]&amp;"/"&amp;tblProg[[#This Row],[Intake]]</f>
        <v>SBA/Taradale/Feb</v>
      </c>
    </row>
    <row r="11" spans="1:11">
      <c r="A11">
        <v>100004</v>
      </c>
      <c r="B11" t="s">
        <v>11</v>
      </c>
      <c r="C11" t="s">
        <v>26</v>
      </c>
      <c r="D11" t="s">
        <v>27</v>
      </c>
      <c r="E11" t="str">
        <f>INDEX(tblCampus[CampusCode], MATCH(tblProg[[#This Row],[Campus]], tblCampus[CampusName], 0))</f>
        <v>TC</v>
      </c>
      <c r="F11" t="s">
        <v>14</v>
      </c>
      <c r="G11" t="str">
        <f>tblProg[[#This Row],[Base Code]]&amp;"/"&amp;tblProg[[#This Row],[Pregion]]&amp;"/"&amp;tblProg[[#This Row],[Intake]]</f>
        <v>SBA/TC/Feb</v>
      </c>
      <c r="H11" t="s">
        <v>16</v>
      </c>
      <c r="I11" t="str">
        <f>tblProg[[#This Row],[Programme Title]]&amp;" - "&amp;tblProg[[#This Row],[Campus]]&amp;" - "&amp;tblProg[[#This Row],[Intake]]</f>
        <v>School-based Activities - Palmerston Rd - Feb</v>
      </c>
      <c r="J11" t="str">
        <f>tblProg[[#This Row],[FullProgCode]]&amp;"/1"</f>
        <v>SBA/TC/Feb/1</v>
      </c>
      <c r="K11" t="str">
        <f>tblProg[[#This Row],[Base Code]]&amp;"/"&amp;tblProg[[#This Row],[Campus]]&amp;"/"&amp;tblProg[[#This Row],[Intake]]</f>
        <v>SBA/Palmerston Rd/Feb</v>
      </c>
    </row>
    <row r="12" spans="1:11">
      <c r="A12">
        <v>200012</v>
      </c>
      <c r="B12" t="s">
        <v>28</v>
      </c>
      <c r="C12" t="s">
        <v>29</v>
      </c>
      <c r="D12" t="s">
        <v>30</v>
      </c>
      <c r="E12" t="str">
        <f>INDEX(tblCampus[CampusCode], MATCH(tblProg[[#This Row],[Campus]], tblCampus[CampusName], 0))</f>
        <v>HB</v>
      </c>
      <c r="F12">
        <v>1</v>
      </c>
      <c r="G12" t="str">
        <f>tblProg[[#This Row],[Base Code]]&amp;"/"&amp;tblProg[[#This Row],[Pregion]]&amp;"/"&amp;tblProg[[#This Row],[Intake]]</f>
        <v>Test/HB/1</v>
      </c>
      <c r="H12" t="s">
        <v>15</v>
      </c>
      <c r="I12" t="str">
        <f>tblProg[[#This Row],[Programme Title]]&amp;" - "&amp;tblProg[[#This Row],[Campus]]&amp;" - "&amp;tblProg[[#This Row],[Intake]]</f>
        <v>Test Programme - Taradale - 1</v>
      </c>
      <c r="J12" t="str">
        <f>tblProg[[#This Row],[FullProgCode]]&amp;"/1"</f>
        <v>Test/HB/1/1</v>
      </c>
      <c r="K12" t="str">
        <f>tblProg[[#This Row],[Base Code]]&amp;"/"&amp;tblProg[[#This Row],[Campus]]&amp;"/"&amp;tblProg[[#This Row],[Intake]]</f>
        <v>Test/Taradale/1</v>
      </c>
    </row>
    <row r="13" spans="1:11">
      <c r="A13">
        <v>200013</v>
      </c>
      <c r="B13" t="s">
        <v>32</v>
      </c>
      <c r="C13" t="s">
        <v>33</v>
      </c>
      <c r="D13" t="s">
        <v>34</v>
      </c>
      <c r="E13" t="str">
        <f>INDEX(tblCampus[CampusCode], MATCH(tblProg[[#This Row],[Campus]], tblCampus[CampusName], 0))</f>
        <v>SS</v>
      </c>
      <c r="F13" t="s">
        <v>35</v>
      </c>
      <c r="G13" t="str">
        <f>tblProg[[#This Row],[Base Code]]&amp;"/"&amp;tblProg[[#This Row],[Pregion]]&amp;"/"&amp;tblProg[[#This Row],[Intake]]</f>
        <v>cha/SS/Oct</v>
      </c>
      <c r="H13" t="s">
        <v>19</v>
      </c>
      <c r="I13" t="str">
        <f>tblProg[[#This Row],[Programme Title]]&amp;" - "&amp;tblProg[[#This Row],[Campus]]&amp;" - "&amp;tblProg[[#This Row],[Intake]]</f>
        <v>Changed - Stout St - Oct</v>
      </c>
      <c r="J13" t="str">
        <f>tblProg[[#This Row],[FullProgCode]]&amp;"/1"</f>
        <v>cha/SS/Oct/1</v>
      </c>
      <c r="K13" t="str">
        <f>tblProg[[#This Row],[Base Code]]&amp;"/"&amp;tblProg[[#This Row],[Campus]]&amp;"/"&amp;tblProg[[#This Row],[Intake]]</f>
        <v>cha/Stout St/Oct</v>
      </c>
    </row>
    <row r="14" spans="1:11">
      <c r="A14">
        <v>200014</v>
      </c>
      <c r="B14" t="s">
        <v>36</v>
      </c>
      <c r="C14" t="s">
        <v>37</v>
      </c>
      <c r="D14" t="s">
        <v>38</v>
      </c>
      <c r="E14" t="str">
        <f>INDEX(tblCampus[CampusCode], MATCH(tblProg[[#This Row],[Campus]], tblCampus[CampusName], 0))</f>
        <v>R</v>
      </c>
      <c r="F14" t="s">
        <v>35</v>
      </c>
      <c r="G14" t="str">
        <f>tblProg[[#This Row],[Base Code]]&amp;"/"&amp;tblProg[[#This Row],[Pregion]]&amp;"/"&amp;tblProg[[#This Row],[Intake]]</f>
        <v>SoN/R/Oct</v>
      </c>
      <c r="H14" t="s">
        <v>39</v>
      </c>
      <c r="I14" t="str">
        <f>tblProg[[#This Row],[Programme Title]]&amp;" - "&amp;tblProg[[#This Row],[Campus]]&amp;" - "&amp;tblProg[[#This Row],[Intake]]</f>
        <v>vbnmvbnm - Ruatoria - Oct</v>
      </c>
      <c r="J14" t="str">
        <f>tblProg[[#This Row],[FullProgCode]]&amp;"/1"</f>
        <v>SoN/R/Oct/1</v>
      </c>
      <c r="K14" t="str">
        <f>tblProg[[#This Row],[Base Code]]&amp;"/"&amp;tblProg[[#This Row],[Campus]]&amp;"/"&amp;tblProg[[#This Row],[Intake]]</f>
        <v>SoN/Ruatoria/Oct</v>
      </c>
    </row>
    <row r="15" spans="1:11">
      <c r="A15">
        <v>200015</v>
      </c>
      <c r="B15" t="s">
        <v>40</v>
      </c>
      <c r="C15" t="s">
        <v>41</v>
      </c>
      <c r="D15" t="s">
        <v>42</v>
      </c>
      <c r="E15" t="str">
        <f>INDEX(tblCampus[CampusCode], MATCH(tblProg[[#This Row],[Campus]], tblCampus[CampusName], 0))</f>
        <v>W</v>
      </c>
      <c r="F15" t="s">
        <v>43</v>
      </c>
      <c r="G15" t="str">
        <f>tblProg[[#This Row],[Base Code]]&amp;"/"&amp;tblProg[[#This Row],[Pregion]]&amp;"/"&amp;tblProg[[#This Row],[Intake]]</f>
        <v>puiop/W/Jan</v>
      </c>
      <c r="H15" t="s">
        <v>21</v>
      </c>
      <c r="I15" t="str">
        <f>tblProg[[#This Row],[Programme Title]]&amp;" - "&amp;tblProg[[#This Row],[Campus]]&amp;" - "&amp;tblProg[[#This Row],[Intake]]</f>
        <v>Second Create Test - Wairoa - Jan</v>
      </c>
      <c r="J15" t="str">
        <f>tblProg[[#This Row],[FullProgCode]]&amp;"/1"</f>
        <v>puiop/W/Jan/1</v>
      </c>
      <c r="K15" t="str">
        <f>tblProg[[#This Row],[Base Code]]&amp;"/"&amp;tblProg[[#This Row],[Campus]]&amp;"/"&amp;tblProg[[#This Row],[Intake]]</f>
        <v>puiop/Wairoa/Jan</v>
      </c>
    </row>
    <row r="16" spans="1:11">
      <c r="A16">
        <v>200017</v>
      </c>
      <c r="B16" t="s">
        <v>11</v>
      </c>
      <c r="C16" t="s">
        <v>44</v>
      </c>
      <c r="D16" t="s">
        <v>45</v>
      </c>
      <c r="E16" t="str">
        <f>INDEX(tblCampus[CampusCode], MATCH(tblProg[[#This Row],[Campus]], tblCampus[CampusName], 0))</f>
        <v>HB</v>
      </c>
      <c r="F16" t="s">
        <v>14</v>
      </c>
      <c r="G16" t="str">
        <f>tblProg[[#This Row],[Base Code]]&amp;"/"&amp;tblProg[[#This Row],[Pregion]]&amp;"/"&amp;tblProg[[#This Row],[Intake]]</f>
        <v>dfgh/HB/Feb</v>
      </c>
      <c r="H16" t="s">
        <v>15</v>
      </c>
      <c r="I16" t="str">
        <f>tblProg[[#This Row],[Programme Title]]&amp;" - "&amp;tblProg[[#This Row],[Campus]]&amp;" - "&amp;tblProg[[#This Row],[Intake]]</f>
        <v>dfghdfghdfghdfgh - Taradale - Feb</v>
      </c>
      <c r="J16" t="str">
        <f>tblProg[[#This Row],[FullProgCode]]&amp;"/1"</f>
        <v>dfgh/HB/Feb/1</v>
      </c>
      <c r="K16" t="str">
        <f>tblProg[[#This Row],[Base Code]]&amp;"/"&amp;tblProg[[#This Row],[Campus]]&amp;"/"&amp;tblProg[[#This Row],[Intake]]</f>
        <v>dfgh/Taradale/Feb</v>
      </c>
    </row>
    <row r="17" spans="1:11">
      <c r="A17">
        <v>200018</v>
      </c>
      <c r="B17" t="s">
        <v>40</v>
      </c>
      <c r="C17" t="s">
        <v>46</v>
      </c>
      <c r="D17" t="s">
        <v>47</v>
      </c>
      <c r="E17" t="str">
        <f>INDEX(tblCampus[CampusCode], MATCH(tblProg[[#This Row],[Campus]], tblCampus[CampusName], 0))</f>
        <v>CHB</v>
      </c>
      <c r="F17" t="s">
        <v>43</v>
      </c>
      <c r="G17" t="str">
        <f>tblProg[[#This Row],[Base Code]]&amp;"/"&amp;tblProg[[#This Row],[Pregion]]&amp;"/"&amp;tblProg[[#This Row],[Intake]]</f>
        <v>qwe/CHB/Jan</v>
      </c>
      <c r="H17" t="s">
        <v>48</v>
      </c>
      <c r="I17" t="str">
        <f>tblProg[[#This Row],[Programme Title]]&amp;" - "&amp;tblProg[[#This Row],[Campus]]&amp;" - "&amp;tblProg[[#This Row],[Intake]]</f>
        <v>qwer - Waipukurau - Jan</v>
      </c>
      <c r="J17" t="str">
        <f>tblProg[[#This Row],[FullProgCode]]&amp;"/1"</f>
        <v>qwe/CHB/Jan/1</v>
      </c>
      <c r="K17" t="str">
        <f>tblProg[[#This Row],[Base Code]]&amp;"/"&amp;tblProg[[#This Row],[Campus]]&amp;"/"&amp;tblProg[[#This Row],[Intake]]</f>
        <v>qwe/Waipukurau/Jan</v>
      </c>
    </row>
    <row r="18" spans="1:11">
      <c r="A18">
        <v>200019</v>
      </c>
      <c r="B18" t="s">
        <v>40</v>
      </c>
      <c r="C18" t="s">
        <v>49</v>
      </c>
      <c r="D18" t="s">
        <v>50</v>
      </c>
      <c r="E18" t="str">
        <f>INDEX(tblCampus[CampusCode], MATCH(tblProg[[#This Row],[Campus]], tblCampus[CampusName], 0))</f>
        <v>TC</v>
      </c>
      <c r="F18" t="s">
        <v>43</v>
      </c>
      <c r="G18" t="str">
        <f>tblProg[[#This Row],[Base Code]]&amp;"/"&amp;tblProg[[#This Row],[Pregion]]&amp;"/"&amp;tblProg[[#This Row],[Intake]]</f>
        <v>ghj/TC/Jan</v>
      </c>
      <c r="H18" t="s">
        <v>16</v>
      </c>
      <c r="I18" t="str">
        <f>tblProg[[#This Row],[Programme Title]]&amp;" - "&amp;tblProg[[#This Row],[Campus]]&amp;" - "&amp;tblProg[[#This Row],[Intake]]</f>
        <v>ghjk - Palmerston Rd - Jan</v>
      </c>
      <c r="J18" t="str">
        <f>tblProg[[#This Row],[FullProgCode]]&amp;"/1"</f>
        <v>ghj/TC/Jan/1</v>
      </c>
      <c r="K18" t="str">
        <f>tblProg[[#This Row],[Base Code]]&amp;"/"&amp;tblProg[[#This Row],[Campus]]&amp;"/"&amp;tblProg[[#This Row],[Intake]]</f>
        <v>ghj/Palmerston Rd/Jan</v>
      </c>
    </row>
    <row r="19" spans="1:11">
      <c r="A19">
        <v>200021</v>
      </c>
      <c r="B19" t="s">
        <v>40</v>
      </c>
      <c r="C19" t="s">
        <v>51</v>
      </c>
      <c r="D19" t="s">
        <v>52</v>
      </c>
      <c r="E19" t="str">
        <f>INDEX(tblCampus[CampusCode], MATCH(tblProg[[#This Row],[Campus]], tblCampus[CampusName], 0))</f>
        <v>CHB</v>
      </c>
      <c r="F19" s="13" t="s">
        <v>43</v>
      </c>
      <c r="G19" t="str">
        <f>tblProg[[#This Row],[Base Code]]&amp;"/"&amp;tblProg[[#This Row],[Pregion]]&amp;"/"&amp;tblProg[[#This Row],[Intake]]</f>
        <v>zxc/CHB/Jan</v>
      </c>
      <c r="H19" t="s">
        <v>48</v>
      </c>
      <c r="I19" t="str">
        <f>tblProg[[#This Row],[Programme Title]]&amp;" - "&amp;tblProg[[#This Row],[Campus]]&amp;" - "&amp;tblProg[[#This Row],[Intake]]</f>
        <v>vcxzcvzxcvzxcvzx - Waipukurau - Jan</v>
      </c>
      <c r="J19" t="str">
        <f>tblProg[[#This Row],[FullProgCode]]&amp;"/1"</f>
        <v>zxc/CHB/Jan/1</v>
      </c>
      <c r="K19" t="str">
        <f>tblProg[[#This Row],[Base Code]]&amp;"/"&amp;tblProg[[#This Row],[Campus]]&amp;"/"&amp;tblProg[[#This Row],[Intake]]</f>
        <v>zxc/Waipukurau/Jan</v>
      </c>
    </row>
    <row r="20" spans="1:11">
      <c r="A20">
        <v>200022</v>
      </c>
      <c r="B20" t="s">
        <v>40</v>
      </c>
      <c r="C20" t="s">
        <v>53</v>
      </c>
      <c r="D20" t="s">
        <v>54</v>
      </c>
      <c r="E20" t="str">
        <f>INDEX(tblCampus[CampusCode], MATCH(tblProg[[#This Row],[Campus]], tblCampus[CampusName], 0))</f>
        <v>HB</v>
      </c>
      <c r="F20" s="14" t="s">
        <v>55</v>
      </c>
      <c r="G20" t="str">
        <f>tblProg[[#This Row],[Base Code]]&amp;"/"&amp;tblProg[[#This Row],[Pregion]]&amp;"/"&amp;tblProg[[#This Row],[Intake]]</f>
        <v>asdf/HB/Dec24</v>
      </c>
      <c r="H20" t="s">
        <v>15</v>
      </c>
      <c r="I20" t="str">
        <f>tblProg[[#This Row],[Programme Title]]&amp;" - "&amp;tblProg[[#This Row],[Campus]]&amp;" - "&amp;tblProg[[#This Row],[Intake]]</f>
        <v>asdfasdfasdf - Taradale - Dec24</v>
      </c>
      <c r="J20" t="str">
        <f>tblProg[[#This Row],[FullProgCode]]&amp;"/1"</f>
        <v>asdf/HB/Dec24/1</v>
      </c>
      <c r="K20" t="str">
        <f>tblProg[[#This Row],[Base Code]]&amp;"/"&amp;tblProg[[#This Row],[Campus]]&amp;"/"&amp;tblProg[[#This Row],[Intake]]</f>
        <v>asdf/Taradale/Dec24</v>
      </c>
    </row>
    <row r="21" spans="1:11">
      <c r="A21">
        <v>200023</v>
      </c>
      <c r="B21" t="s">
        <v>40</v>
      </c>
      <c r="C21" t="s">
        <v>53</v>
      </c>
      <c r="D21" t="s">
        <v>54</v>
      </c>
      <c r="E21" t="str">
        <f>INDEX(tblCampus[CampusCode], MATCH(tblProg[[#This Row],[Campus]], tblCampus[CampusName], 0))</f>
        <v>HB</v>
      </c>
      <c r="F21" s="14" t="s">
        <v>56</v>
      </c>
      <c r="G21" t="str">
        <f>tblProg[[#This Row],[Base Code]]&amp;"/"&amp;tblProg[[#This Row],[Pregion]]&amp;"/"&amp;tblProg[[#This Row],[Intake]]</f>
        <v>asdf/HB/Oct24</v>
      </c>
      <c r="H21" t="s">
        <v>15</v>
      </c>
      <c r="I21" t="str">
        <f>tblProg[[#This Row],[Programme Title]]&amp;" - "&amp;tblProg[[#This Row],[Campus]]&amp;" - "&amp;tblProg[[#This Row],[Intake]]</f>
        <v>asdfasdfasdf - Taradale - Oct24</v>
      </c>
      <c r="J21" t="str">
        <f>tblProg[[#This Row],[FullProgCode]]&amp;"/1"</f>
        <v>asdf/HB/Oct24/1</v>
      </c>
      <c r="K21" t="str">
        <f>tblProg[[#This Row],[Base Code]]&amp;"/"&amp;tblProg[[#This Row],[Campus]]&amp;"/"&amp;tblProg[[#This Row],[Intake]]</f>
        <v>asdf/Taradale/Oct24</v>
      </c>
    </row>
    <row r="22" spans="1:11">
      <c r="A22">
        <v>200024</v>
      </c>
      <c r="B22" t="s">
        <v>28</v>
      </c>
      <c r="C22" t="s">
        <v>30</v>
      </c>
      <c r="D22" t="s">
        <v>57</v>
      </c>
      <c r="E22" t="str">
        <f>INDEX(tblCampus[CampusCode], MATCH(tblProg[[#This Row],[Campus]], tblCampus[CampusName], 0))</f>
        <v>HB</v>
      </c>
      <c r="F22" s="14" t="s">
        <v>58</v>
      </c>
      <c r="G22" t="str">
        <f>tblProg[[#This Row],[Base Code]]&amp;"/"&amp;tblProg[[#This Row],[Pregion]]&amp;"/"&amp;tblProg[[#This Row],[Intake]]</f>
        <v>soct/HB/Nov24</v>
      </c>
      <c r="H22" t="s">
        <v>15</v>
      </c>
      <c r="I22" t="str">
        <f>tblProg[[#This Row],[Programme Title]]&amp;" - "&amp;tblProg[[#This Row],[Campus]]&amp;" - "&amp;tblProg[[#This Row],[Intake]]</f>
        <v>Test - Taradale - Nov24</v>
      </c>
      <c r="J22" t="str">
        <f>tblProg[[#This Row],[FullProgCode]]&amp;"/1"</f>
        <v>soct/HB/Nov24/1</v>
      </c>
      <c r="K22" t="str">
        <f>tblProg[[#This Row],[Base Code]]&amp;"/"&amp;tblProg[[#This Row],[Campus]]&amp;"/"&amp;tblProg[[#This Row],[Intake]]</f>
        <v>soct/Taradale/Nov24</v>
      </c>
    </row>
    <row r="23" spans="1:11">
      <c r="A23">
        <v>200025</v>
      </c>
      <c r="B23" t="s">
        <v>28</v>
      </c>
      <c r="C23" t="s">
        <v>59</v>
      </c>
      <c r="D23" t="s">
        <v>57</v>
      </c>
      <c r="E23" t="str">
        <f>INDEX(tblCampus[CampusCode], MATCH(tblProg[[#This Row],[Campus]], tblCampus[CampusName], 0))</f>
        <v>HB</v>
      </c>
      <c r="F23" s="14" t="s">
        <v>55</v>
      </c>
      <c r="G23" t="str">
        <f>tblProg[[#This Row],[Base Code]]&amp;"/"&amp;tblProg[[#This Row],[Pregion]]&amp;"/"&amp;tblProg[[#This Row],[Intake]]</f>
        <v>soct/HB/Dec24</v>
      </c>
      <c r="H23" t="s">
        <v>15</v>
      </c>
      <c r="I23" t="str">
        <f>tblProg[[#This Row],[Programme Title]]&amp;" - "&amp;tblProg[[#This Row],[Campus]]&amp;" - "&amp;tblProg[[#This Row],[Intake]]</f>
        <v>zxcv - Taradale - Dec24</v>
      </c>
      <c r="J23" t="str">
        <f>tblProg[[#This Row],[FullProgCode]]&amp;"/1"</f>
        <v>soct/HB/Dec24/1</v>
      </c>
      <c r="K23" t="str">
        <f>tblProg[[#This Row],[Base Code]]&amp;"/"&amp;tblProg[[#This Row],[Campus]]&amp;"/"&amp;tblProg[[#This Row],[Intake]]</f>
        <v>soct/Taradale/Dec24</v>
      </c>
    </row>
    <row r="24" spans="1:11">
      <c r="A24">
        <v>200026</v>
      </c>
      <c r="B24" t="s">
        <v>40</v>
      </c>
      <c r="C24" t="s">
        <v>46</v>
      </c>
      <c r="D24" t="s">
        <v>60</v>
      </c>
      <c r="E24" t="str">
        <f>INDEX(tblCampus[CampusCode], MATCH(tblProg[[#This Row],[Campus]], tblCampus[CampusName], 0))</f>
        <v>CHB</v>
      </c>
      <c r="F24" s="14" t="s">
        <v>43</v>
      </c>
      <c r="G24" t="str">
        <f>tblProg[[#This Row],[Base Code]]&amp;"/"&amp;tblProg[[#This Row],[Pregion]]&amp;"/"&amp;tblProg[[#This Row],[Intake]]</f>
        <v>rty/CHB/Jan</v>
      </c>
      <c r="H24" t="s">
        <v>48</v>
      </c>
      <c r="I24" t="str">
        <f>tblProg[[#This Row],[Programme Title]]&amp;" - "&amp;tblProg[[#This Row],[Campus]]&amp;" - "&amp;tblProg[[#This Row],[Intake]]</f>
        <v>qwer - Waipukurau - Jan</v>
      </c>
      <c r="J24" t="str">
        <f>tblProg[[#This Row],[FullProgCode]]&amp;"/1"</f>
        <v>rty/CHB/Jan/1</v>
      </c>
      <c r="K24" t="str">
        <f>tblProg[[#This Row],[Base Code]]&amp;"/"&amp;tblProg[[#This Row],[Campus]]&amp;"/"&amp;tblProg[[#This Row],[Intake]]</f>
        <v>rty/Waipukurau/Jan</v>
      </c>
    </row>
    <row r="25" spans="1:11">
      <c r="A25">
        <v>200027</v>
      </c>
      <c r="B25" t="s">
        <v>40</v>
      </c>
      <c r="C25" t="s">
        <v>61</v>
      </c>
      <c r="D25" t="s">
        <v>60</v>
      </c>
      <c r="E25" t="str">
        <f>INDEX(tblCampus[CampusCode], MATCH(tblProg[[#This Row],[Campus]], tblCampus[CampusName], 0))</f>
        <v>CHB</v>
      </c>
      <c r="F25" s="14" t="s">
        <v>14</v>
      </c>
      <c r="G25" t="str">
        <f>tblProg[[#This Row],[Base Code]]&amp;"/"&amp;tblProg[[#This Row],[Pregion]]&amp;"/"&amp;tblProg[[#This Row],[Intake]]</f>
        <v>rty/CHB/Feb</v>
      </c>
      <c r="H25" t="s">
        <v>48</v>
      </c>
      <c r="I25" t="str">
        <f>tblProg[[#This Row],[Programme Title]]&amp;" - "&amp;tblProg[[#This Row],[Campus]]&amp;" - "&amp;tblProg[[#This Row],[Intake]]</f>
        <v>rewq - Waipukurau - Feb</v>
      </c>
      <c r="J25" t="str">
        <f>tblProg[[#This Row],[FullProgCode]]&amp;"/1"</f>
        <v>rty/CHB/Feb/1</v>
      </c>
      <c r="K25" t="str">
        <f>tblProg[[#This Row],[Base Code]]&amp;"/"&amp;tblProg[[#This Row],[Campus]]&amp;"/"&amp;tblProg[[#This Row],[Intake]]</f>
        <v>rty/Waipukurau/Feb</v>
      </c>
    </row>
    <row r="26" spans="1:11">
      <c r="A26">
        <v>200028</v>
      </c>
      <c r="B26" t="s">
        <v>40</v>
      </c>
      <c r="C26" t="s">
        <v>62</v>
      </c>
      <c r="D26" t="s">
        <v>54</v>
      </c>
      <c r="E26" t="str">
        <f>INDEX(tblCampus[CampusCode], MATCH(tblProg[[#This Row],[Campus]], tblCampus[CampusName], 0))</f>
        <v>HB</v>
      </c>
      <c r="F26" s="14" t="s">
        <v>63</v>
      </c>
      <c r="G26" t="str">
        <f>tblProg[[#This Row],[Base Code]]&amp;"/"&amp;tblProg[[#This Row],[Pregion]]&amp;"/"&amp;tblProg[[#This Row],[Intake]]</f>
        <v>asdf/HB/Aug24</v>
      </c>
      <c r="H26" t="s">
        <v>15</v>
      </c>
      <c r="I26" t="str">
        <f>tblProg[[#This Row],[Programme Title]]&amp;" - "&amp;tblProg[[#This Row],[Campus]]&amp;" - "&amp;tblProg[[#This Row],[Intake]]</f>
        <v>ghghghghg - Taradale - Aug24</v>
      </c>
      <c r="J26" t="str">
        <f>tblProg[[#This Row],[FullProgCode]]&amp;"/1"</f>
        <v>asdf/HB/Aug24/1</v>
      </c>
      <c r="K26" t="str">
        <f>tblProg[[#This Row],[Base Code]]&amp;"/"&amp;tblProg[[#This Row],[Campus]]&amp;"/"&amp;tblProg[[#This Row],[Intake]]</f>
        <v>asdf/Taradale/Aug24</v>
      </c>
    </row>
    <row r="27" spans="1:11">
      <c r="A27">
        <v>200029</v>
      </c>
      <c r="B27" t="s">
        <v>40</v>
      </c>
      <c r="C27" t="s">
        <v>64</v>
      </c>
      <c r="D27" t="s">
        <v>65</v>
      </c>
      <c r="E27" t="str">
        <f>INDEX(tblCampus[CampusCode], MATCH(tblProg[[#This Row],[Campus]], tblCampus[CampusName], 0))</f>
        <v>HB</v>
      </c>
      <c r="F27" s="14" t="s">
        <v>63</v>
      </c>
      <c r="G27" t="str">
        <f>tblProg[[#This Row],[Base Code]]&amp;"/"&amp;tblProg[[#This Row],[Pregion]]&amp;"/"&amp;tblProg[[#This Row],[Intake]]</f>
        <v>asdflkjh/HB/Aug24</v>
      </c>
      <c r="H27" t="s">
        <v>15</v>
      </c>
      <c r="I27" t="str">
        <f>tblProg[[#This Row],[Programme Title]]&amp;" - "&amp;tblProg[[#This Row],[Campus]]&amp;" - "&amp;tblProg[[#This Row],[Intake]]</f>
        <v>hjkl - Taradale - Aug24</v>
      </c>
      <c r="J27" t="str">
        <f>tblProg[[#This Row],[FullProgCode]]&amp;"/1"</f>
        <v>asdflkjh/HB/Aug24/1</v>
      </c>
      <c r="K27" t="str">
        <f>tblProg[[#This Row],[Base Code]]&amp;"/"&amp;tblProg[[#This Row],[Campus]]&amp;"/"&amp;tblProg[[#This Row],[Intake]]</f>
        <v>asdflkjh/Taradale/Aug24</v>
      </c>
    </row>
    <row r="28" spans="1:11">
      <c r="A28">
        <v>200030</v>
      </c>
      <c r="B28" t="s">
        <v>40</v>
      </c>
      <c r="C28" t="s">
        <v>1398</v>
      </c>
      <c r="D28" t="s">
        <v>1399</v>
      </c>
      <c r="E28" t="str">
        <f>INDEX(tblCampus[CampusCode], MATCH(tblProg[[#This Row],[Campus]], tblCampus[CampusName], 0))</f>
        <v>HB</v>
      </c>
      <c r="F28" s="14" t="s">
        <v>55</v>
      </c>
      <c r="G28" t="str">
        <f>tblProg[[#This Row],[Base Code]]&amp;"/"&amp;tblProg[[#This Row],[Pregion]]&amp;"/"&amp;tblProg[[#This Row],[Intake]]</f>
        <v>vttw/HB/Dec24</v>
      </c>
      <c r="H28" t="s">
        <v>15</v>
      </c>
      <c r="I28" t="str">
        <f>tblProg[[#This Row],[Programme Title]]&amp;" - "&amp;tblProg[[#This Row],[Campus]]&amp;" - "&amp;tblProg[[#This Row],[Intake]]</f>
        <v>V2 Tests - Taradale - Dec24</v>
      </c>
      <c r="J28" t="str">
        <f>tblProg[[#This Row],[FullProgCode]]&amp;"/1"</f>
        <v>vttw/HB/Dec24/1</v>
      </c>
      <c r="K28" t="str">
        <f>tblProg[[#This Row],[Base Code]]&amp;"/"&amp;tblProg[[#This Row],[Campus]]&amp;"/"&amp;tblProg[[#This Row],[Intake]]</f>
        <v>vttw/Taradale/Dec24</v>
      </c>
    </row>
    <row r="29" spans="1:11">
      <c r="A29">
        <v>200031</v>
      </c>
      <c r="B29" t="s">
        <v>40</v>
      </c>
      <c r="C29" t="s">
        <v>1401</v>
      </c>
      <c r="D29" t="s">
        <v>1400</v>
      </c>
      <c r="E29" t="str">
        <f>INDEX(tblCampus[CampusCode], MATCH(tblProg[[#This Row],[Campus]], tblCampus[CampusName], 0))</f>
        <v>HB</v>
      </c>
      <c r="F29" s="14" t="s">
        <v>1387</v>
      </c>
      <c r="G29" t="str">
        <f>tblProg[[#This Row],[Base Code]]&amp;"/"&amp;tblProg[[#This Row],[Pregion]]&amp;"/"&amp;tblProg[[#This Row],[Intake]]</f>
        <v>CPT/HB/Sept24</v>
      </c>
      <c r="H29" t="s">
        <v>15</v>
      </c>
      <c r="I29" t="str">
        <f>tblProg[[#This Row],[Programme Title]]&amp;" - "&amp;tblProg[[#This Row],[Campus]]&amp;" - "&amp;tblProg[[#This Row],[Intake]]</f>
        <v>Edit Prog Test 2 - Taradale - Sept24</v>
      </c>
      <c r="J29" t="str">
        <f>tblProg[[#This Row],[FullProgCode]]&amp;"/1"</f>
        <v>CPT/HB/Sept24/1</v>
      </c>
      <c r="K29" t="str">
        <f>tblProg[[#This Row],[Base Code]]&amp;"/"&amp;tblProg[[#This Row],[Campus]]&amp;"/"&amp;tblProg[[#This Row],[Intake]]</f>
        <v>CPT/Taradale/Sept24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8DB0-48FB-42B4-801F-DD7C95E78B24}">
  <sheetPr codeName="Courses"/>
  <dimension ref="A1:O114"/>
  <sheetViews>
    <sheetView zoomScaleNormal="100" workbookViewId="0">
      <selection activeCell="A10" sqref="A10"/>
    </sheetView>
  </sheetViews>
  <sheetFormatPr defaultColWidth="8.875" defaultRowHeight="14.25"/>
  <cols>
    <col min="1" max="1" width="11.875" bestFit="1" customWidth="1"/>
    <col min="2" max="2" width="39.625" bestFit="1" customWidth="1"/>
    <col min="3" max="3" width="14.625" bestFit="1" customWidth="1"/>
    <col min="4" max="4" width="11" bestFit="1" customWidth="1"/>
    <col min="5" max="5" width="10.375" bestFit="1" customWidth="1"/>
    <col min="6" max="6" width="12.625" bestFit="1" customWidth="1"/>
    <col min="7" max="7" width="13.375" bestFit="1" customWidth="1"/>
    <col min="8" max="8" width="11.375" bestFit="1" customWidth="1"/>
    <col min="9" max="9" width="18.125" bestFit="1" customWidth="1"/>
    <col min="10" max="10" width="11.375" bestFit="1" customWidth="1"/>
    <col min="11" max="11" width="14" bestFit="1" customWidth="1"/>
    <col min="12" max="12" width="60.375" bestFit="1" customWidth="1"/>
    <col min="13" max="14" width="15.375" bestFit="1" customWidth="1"/>
    <col min="15" max="15" width="27.375" bestFit="1" customWidth="1"/>
  </cols>
  <sheetData>
    <row r="1" spans="1:15">
      <c r="A1" t="s">
        <v>66</v>
      </c>
      <c r="B1" t="s">
        <v>1402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</row>
    <row r="2" spans="1:15">
      <c r="A2">
        <v>697</v>
      </c>
      <c r="B2" t="s">
        <v>80</v>
      </c>
      <c r="C2" t="s">
        <v>81</v>
      </c>
      <c r="D2" t="str">
        <f>INDEX(tblCampus[CampusCode], MATCH(tblCourse[[#This Row],[Ccampus]], tblCampus[CampusName], 0))</f>
        <v>HB</v>
      </c>
      <c r="E2" t="s">
        <v>14</v>
      </c>
      <c r="F2">
        <v>79</v>
      </c>
      <c r="G2" t="s">
        <v>71</v>
      </c>
      <c r="H2" t="s">
        <v>11</v>
      </c>
      <c r="I2" t="str">
        <f>tblCourse[[#This Row],[CourseCode]]&amp;"/"&amp;tblCourse[[#This Row],[CRegion]]&amp;"/"&amp;tblCourse[[#This Row],[CIntake]]</f>
        <v>AC4.01/HB/Feb</v>
      </c>
      <c r="J2" t="b">
        <v>0</v>
      </c>
      <c r="K2" t="s">
        <v>15</v>
      </c>
      <c r="L2" t="str">
        <f>tblCourse[[#This Row],[CourseTitle]]&amp;"  -  "&amp;tblCourse[[#This Row],[Ccampus]]&amp;"  -  "&amp;tblCourse[[#This Row],[CIntake]]</f>
        <v>Accrual Accounting  -  Taradale  -  Feb</v>
      </c>
      <c r="M2" t="str">
        <f>tblCourse[[#This Row],[ProgFullCode]]&amp;"/1"</f>
        <v>CBASS/HB/Feb/1</v>
      </c>
      <c r="N2" t="str">
        <f>INDEX(Programmes!G:G,MATCH(tblCourse[[#This Row],[ProgNumb]],Programmes!A:A,))</f>
        <v>CBASS/HB/Feb</v>
      </c>
      <c r="O2" t="str">
        <f>tblCourse[[#This Row],[CourseCode]]&amp;"/"&amp;tblCourse[[#This Row],[Ccampus]]&amp;"/"&amp;tblCourse[[#This Row],[CIntake]]</f>
        <v>AC4.01/Taradale/Feb</v>
      </c>
    </row>
    <row r="3" spans="1:15">
      <c r="A3">
        <v>698</v>
      </c>
      <c r="B3" t="s">
        <v>83</v>
      </c>
      <c r="C3" t="s">
        <v>84</v>
      </c>
      <c r="D3" t="str">
        <f>INDEX(tblCampus[CampusCode], MATCH(tblCourse[[#This Row],[Ccampus]], tblCampus[CampusName], 0))</f>
        <v>HB</v>
      </c>
      <c r="E3" t="s">
        <v>14</v>
      </c>
      <c r="F3">
        <v>79</v>
      </c>
      <c r="G3" t="s">
        <v>71</v>
      </c>
      <c r="H3" t="s">
        <v>11</v>
      </c>
      <c r="I3" t="str">
        <f>tblCourse[[#This Row],[CourseCode]]&amp;"/"&amp;tblCourse[[#This Row],[CRegion]]&amp;"/"&amp;tblCourse[[#This Row],[CIntake]]</f>
        <v>AC4.02/HB/Feb</v>
      </c>
      <c r="J3" t="b">
        <v>0</v>
      </c>
      <c r="K3" t="s">
        <v>15</v>
      </c>
      <c r="L3" t="str">
        <f>tblCourse[[#This Row],[CourseTitle]]&amp;"  -  "&amp;tblCourse[[#This Row],[Ccampus]]&amp;"  -  "&amp;tblCourse[[#This Row],[CIntake]]</f>
        <v>Accounting for Taxation  -  Taradale  -  Feb</v>
      </c>
      <c r="M3" t="str">
        <f>tblCourse[[#This Row],[ProgFullCode]]&amp;"/1"</f>
        <v>CBASS/HB/Feb/1</v>
      </c>
      <c r="N3" t="str">
        <f>INDEX(Programmes!G:G,MATCH(tblCourse[[#This Row],[ProgNumb]],Programmes!A:A,))</f>
        <v>CBASS/HB/Feb</v>
      </c>
      <c r="O3" t="str">
        <f>tblCourse[[#This Row],[CourseCode]]&amp;"/"&amp;tblCourse[[#This Row],[Ccampus]]&amp;"/"&amp;tblCourse[[#This Row],[CIntake]]</f>
        <v>AC4.02/Taradale/Feb</v>
      </c>
    </row>
    <row r="4" spans="1:15">
      <c r="A4">
        <v>699</v>
      </c>
      <c r="B4" t="s">
        <v>85</v>
      </c>
      <c r="C4" t="s">
        <v>86</v>
      </c>
      <c r="D4" t="str">
        <f>INDEX(tblCampus[CampusCode], MATCH(tblCourse[[#This Row],[Ccampus]], tblCampus[CampusName], 0))</f>
        <v>HB</v>
      </c>
      <c r="E4" t="s">
        <v>87</v>
      </c>
      <c r="F4">
        <v>79</v>
      </c>
      <c r="G4" t="s">
        <v>71</v>
      </c>
      <c r="H4" t="s">
        <v>11</v>
      </c>
      <c r="I4" t="str">
        <f>tblCourse[[#This Row],[CourseCode]]&amp;"/"&amp;tblCourse[[#This Row],[CRegion]]&amp;"/"&amp;tblCourse[[#This Row],[CIntake]]</f>
        <v>AC4.03/HB/Apr</v>
      </c>
      <c r="J4" t="b">
        <v>0</v>
      </c>
      <c r="K4" t="s">
        <v>15</v>
      </c>
      <c r="L4" t="str">
        <f>tblCourse[[#This Row],[CourseTitle]]&amp;"  -  "&amp;tblCourse[[#This Row],[Ccampus]]&amp;"  -  "&amp;tblCourse[[#This Row],[CIntake]]</f>
        <v>Accounting Software  -  Taradale  -  Apr</v>
      </c>
      <c r="M4" t="str">
        <f>tblCourse[[#This Row],[ProgFullCode]]&amp;"/1"</f>
        <v>CBASS/HB/Feb/1</v>
      </c>
      <c r="N4" t="str">
        <f>INDEX(Programmes!G:G,MATCH(tblCourse[[#This Row],[ProgNumb]],Programmes!A:A,))</f>
        <v>CBASS/HB/Feb</v>
      </c>
      <c r="O4" t="str">
        <f>tblCourse[[#This Row],[CourseCode]]&amp;"/"&amp;tblCourse[[#This Row],[Ccampus]]&amp;"/"&amp;tblCourse[[#This Row],[CIntake]]</f>
        <v>AC4.03/Taradale/Apr</v>
      </c>
    </row>
    <row r="5" spans="1:15">
      <c r="A5">
        <v>700</v>
      </c>
      <c r="B5" t="s">
        <v>88</v>
      </c>
      <c r="C5" t="s">
        <v>89</v>
      </c>
      <c r="D5" t="str">
        <f>INDEX(tblCampus[CampusCode], MATCH(tblCourse[[#This Row],[Ccampus]], tblCampus[CampusName], 0))</f>
        <v>HB</v>
      </c>
      <c r="E5" t="s">
        <v>87</v>
      </c>
      <c r="F5">
        <v>79</v>
      </c>
      <c r="G5" t="s">
        <v>71</v>
      </c>
      <c r="H5" t="s">
        <v>11</v>
      </c>
      <c r="I5" t="str">
        <f>tblCourse[[#This Row],[CourseCode]]&amp;"/"&amp;tblCourse[[#This Row],[CRegion]]&amp;"/"&amp;tblCourse[[#This Row],[CIntake]]</f>
        <v>AC4.04/HB/Apr</v>
      </c>
      <c r="J5" t="b">
        <v>0</v>
      </c>
      <c r="K5" t="s">
        <v>15</v>
      </c>
      <c r="L5" t="str">
        <f>tblCourse[[#This Row],[CourseTitle]]&amp;"  -  "&amp;tblCourse[[#This Row],[Ccampus]]&amp;"  -  "&amp;tblCourse[[#This Row],[CIntake]]</f>
        <v>Payroll  -  Taradale  -  Apr</v>
      </c>
      <c r="M5" t="str">
        <f>tblCourse[[#This Row],[ProgFullCode]]&amp;"/1"</f>
        <v>CBASS/HB/Feb/1</v>
      </c>
      <c r="N5" t="str">
        <f>INDEX(Programmes!G:G,MATCH(tblCourse[[#This Row],[ProgNumb]],Programmes!A:A,))</f>
        <v>CBASS/HB/Feb</v>
      </c>
      <c r="O5" t="str">
        <f>tblCourse[[#This Row],[CourseCode]]&amp;"/"&amp;tblCourse[[#This Row],[Ccampus]]&amp;"/"&amp;tblCourse[[#This Row],[CIntake]]</f>
        <v>AC4.04/Taradale/Apr</v>
      </c>
    </row>
    <row r="6" spans="1:15">
      <c r="A6">
        <v>291</v>
      </c>
      <c r="B6" t="s">
        <v>90</v>
      </c>
      <c r="C6" t="s">
        <v>91</v>
      </c>
      <c r="D6" t="str">
        <f>INDEX(tblCampus[CampusCode], MATCH(tblCourse[[#This Row],[Ccampus]], tblCampus[CampusName], 0))</f>
        <v>HB</v>
      </c>
      <c r="E6" t="s">
        <v>14</v>
      </c>
      <c r="F6">
        <v>82</v>
      </c>
      <c r="G6" t="s">
        <v>71</v>
      </c>
      <c r="H6" t="s">
        <v>11</v>
      </c>
      <c r="I6" t="str">
        <f>tblCourse[[#This Row],[CourseCode]]&amp;"/"&amp;tblCourse[[#This Row],[CRegion]]&amp;"/"&amp;tblCourse[[#This Row],[CIntake]]</f>
        <v>ACCY5101/HB/Feb</v>
      </c>
      <c r="J6" t="b">
        <v>0</v>
      </c>
      <c r="K6" t="s">
        <v>15</v>
      </c>
      <c r="L6" t="str">
        <f>tblCourse[[#This Row],[CourseTitle]]&amp;"  -  "&amp;tblCourse[[#This Row],[Ccampus]]&amp;"  -  "&amp;tblCourse[[#This Row],[CIntake]]</f>
        <v>Introduction to Accounting and Taxation  -  Taradale  -  Feb</v>
      </c>
      <c r="M6" t="str">
        <f>tblCourse[[#This Row],[ProgFullCode]]&amp;"/1"</f>
        <v>NZDB/HB/Feb/1</v>
      </c>
      <c r="N6" t="str">
        <f>INDEX(Programmes!G:G,MATCH(tblCourse[[#This Row],[ProgNumb]],Programmes!A:A,))</f>
        <v>NZDB/HB/Feb</v>
      </c>
      <c r="O6" t="str">
        <f>tblCourse[[#This Row],[CourseCode]]&amp;"/"&amp;tblCourse[[#This Row],[Ccampus]]&amp;"/"&amp;tblCourse[[#This Row],[CIntake]]</f>
        <v>ACCY5101/Taradale/Feb</v>
      </c>
    </row>
    <row r="7" spans="1:15">
      <c r="A7">
        <v>293</v>
      </c>
      <c r="B7" t="s">
        <v>90</v>
      </c>
      <c r="C7" t="s">
        <v>91</v>
      </c>
      <c r="D7" t="str">
        <f>INDEX(tblCampus[CampusCode], MATCH(tblCourse[[#This Row],[Ccampus]], tblCampus[CampusName], 0))</f>
        <v>HB</v>
      </c>
      <c r="E7" t="s">
        <v>20</v>
      </c>
      <c r="F7">
        <v>82</v>
      </c>
      <c r="G7" t="s">
        <v>71</v>
      </c>
      <c r="H7" t="s">
        <v>11</v>
      </c>
      <c r="I7" t="str">
        <f>tblCourse[[#This Row],[CourseCode]]&amp;"/"&amp;tblCourse[[#This Row],[CRegion]]&amp;"/"&amp;tblCourse[[#This Row],[CIntake]]</f>
        <v>ACCY5101/HB/Jul</v>
      </c>
      <c r="J7" t="b">
        <v>0</v>
      </c>
      <c r="K7" t="s">
        <v>15</v>
      </c>
      <c r="L7" t="str">
        <f>tblCourse[[#This Row],[CourseTitle]]&amp;"  -  "&amp;tblCourse[[#This Row],[Ccampus]]&amp;"  -  "&amp;tblCourse[[#This Row],[CIntake]]</f>
        <v>Introduction to Accounting and Taxation  -  Taradale  -  Jul</v>
      </c>
      <c r="M7" t="str">
        <f>tblCourse[[#This Row],[ProgFullCode]]&amp;"/1"</f>
        <v>NZDB/HB/Feb/1</v>
      </c>
      <c r="N7" t="str">
        <f>INDEX(Programmes!G:G,MATCH(tblCourse[[#This Row],[ProgNumb]],Programmes!A:A,))</f>
        <v>NZDB/HB/Feb</v>
      </c>
      <c r="O7" t="str">
        <f>tblCourse[[#This Row],[CourseCode]]&amp;"/"&amp;tblCourse[[#This Row],[Ccampus]]&amp;"/"&amp;tblCourse[[#This Row],[CIntake]]</f>
        <v>ACCY5101/Taradale/Jul</v>
      </c>
    </row>
    <row r="8" spans="1:15">
      <c r="A8">
        <v>292</v>
      </c>
      <c r="B8" t="s">
        <v>90</v>
      </c>
      <c r="C8" t="s">
        <v>91</v>
      </c>
      <c r="D8" t="str">
        <f>INDEX(tblCampus[CampusCode], MATCH(tblCourse[[#This Row],[Ccampus]], tblCampus[CampusName], 0))</f>
        <v>TC</v>
      </c>
      <c r="E8" t="s">
        <v>14</v>
      </c>
      <c r="F8">
        <v>81</v>
      </c>
      <c r="G8" t="s">
        <v>71</v>
      </c>
      <c r="H8" t="s">
        <v>11</v>
      </c>
      <c r="I8" t="str">
        <f>tblCourse[[#This Row],[CourseCode]]&amp;"/"&amp;tblCourse[[#This Row],[CRegion]]&amp;"/"&amp;tblCourse[[#This Row],[CIntake]]</f>
        <v>ACCY5101/TC/Feb</v>
      </c>
      <c r="J8" t="b">
        <v>0</v>
      </c>
      <c r="K8" t="s">
        <v>16</v>
      </c>
      <c r="L8" t="str">
        <f>tblCourse[[#This Row],[CourseTitle]]&amp;"  -  "&amp;tblCourse[[#This Row],[Ccampus]]&amp;"  -  "&amp;tblCourse[[#This Row],[CIntake]]</f>
        <v>Introduction to Accounting and Taxation  -  Palmerston Rd  -  Feb</v>
      </c>
      <c r="M8" t="str">
        <f>tblCourse[[#This Row],[ProgFullCode]]&amp;"/1"</f>
        <v>NZDB/TC/Feb/1</v>
      </c>
      <c r="N8" t="str">
        <f>INDEX(Programmes!G:G,MATCH(tblCourse[[#This Row],[ProgNumb]],Programmes!A:A,))</f>
        <v>NZDB/TC/Feb</v>
      </c>
      <c r="O8" t="str">
        <f>tblCourse[[#This Row],[CourseCode]]&amp;"/"&amp;tblCourse[[#This Row],[Ccampus]]&amp;"/"&amp;tblCourse[[#This Row],[CIntake]]</f>
        <v>ACCY5101/Palmerston Rd/Feb</v>
      </c>
    </row>
    <row r="9" spans="1:15">
      <c r="A9">
        <v>294</v>
      </c>
      <c r="B9" t="s">
        <v>90</v>
      </c>
      <c r="C9" t="s">
        <v>91</v>
      </c>
      <c r="D9" t="str">
        <f>INDEX(tblCampus[CampusCode], MATCH(tblCourse[[#This Row],[Ccampus]], tblCampus[CampusName], 0))</f>
        <v>TC</v>
      </c>
      <c r="E9" t="s">
        <v>20</v>
      </c>
      <c r="F9">
        <v>81</v>
      </c>
      <c r="G9" t="s">
        <v>71</v>
      </c>
      <c r="H9" t="s">
        <v>11</v>
      </c>
      <c r="I9" t="str">
        <f>tblCourse[[#This Row],[CourseCode]]&amp;"/"&amp;tblCourse[[#This Row],[CRegion]]&amp;"/"&amp;tblCourse[[#This Row],[CIntake]]</f>
        <v>ACCY5101/TC/Jul</v>
      </c>
      <c r="J9" t="b">
        <v>0</v>
      </c>
      <c r="K9" t="s">
        <v>16</v>
      </c>
      <c r="L9" t="str">
        <f>tblCourse[[#This Row],[CourseTitle]]&amp;"  -  "&amp;tblCourse[[#This Row],[Ccampus]]&amp;"  -  "&amp;tblCourse[[#This Row],[CIntake]]</f>
        <v>Introduction to Accounting and Taxation  -  Palmerston Rd  -  Jul</v>
      </c>
      <c r="M9" t="str">
        <f>tblCourse[[#This Row],[ProgFullCode]]&amp;"/1"</f>
        <v>NZDB/TC/Feb/1</v>
      </c>
      <c r="N9" t="str">
        <f>INDEX(Programmes!G:G,MATCH(tblCourse[[#This Row],[ProgNumb]],Programmes!A:A,))</f>
        <v>NZDB/TC/Feb</v>
      </c>
      <c r="O9" t="str">
        <f>tblCourse[[#This Row],[CourseCode]]&amp;"/"&amp;tblCourse[[#This Row],[Ccampus]]&amp;"/"&amp;tblCourse[[#This Row],[CIntake]]</f>
        <v>ACCY5101/Palmerston Rd/Jul</v>
      </c>
    </row>
    <row r="10" spans="1:15">
      <c r="A10">
        <v>295</v>
      </c>
      <c r="B10" t="s">
        <v>93</v>
      </c>
      <c r="C10" t="s">
        <v>94</v>
      </c>
      <c r="D10" t="str">
        <f>INDEX(tblCampus[CampusCode], MATCH(tblCourse[[#This Row],[Ccampus]], tblCampus[CampusName], 0))</f>
        <v>HB</v>
      </c>
      <c r="E10" t="s">
        <v>14</v>
      </c>
      <c r="F10">
        <v>82</v>
      </c>
      <c r="G10" t="s">
        <v>71</v>
      </c>
      <c r="H10" t="s">
        <v>11</v>
      </c>
      <c r="I10" t="str">
        <f>tblCourse[[#This Row],[CourseCode]]&amp;"/"&amp;tblCourse[[#This Row],[CRegion]]&amp;"/"&amp;tblCourse[[#This Row],[CIntake]]</f>
        <v>ACCY5102/HB/Feb</v>
      </c>
      <c r="J10" t="b">
        <v>0</v>
      </c>
      <c r="K10" t="s">
        <v>15</v>
      </c>
      <c r="L10" t="str">
        <f>tblCourse[[#This Row],[CourseTitle]]&amp;"  -  "&amp;tblCourse[[#This Row],[Ccampus]]&amp;"  -  "&amp;tblCourse[[#This Row],[CIntake]]</f>
        <v>Applied Accounting  -  Taradale  -  Feb</v>
      </c>
      <c r="M10" t="str">
        <f>tblCourse[[#This Row],[ProgFullCode]]&amp;"/1"</f>
        <v>NZDB/HB/Feb/1</v>
      </c>
      <c r="N10" t="str">
        <f>INDEX(Programmes!G:G,MATCH(tblCourse[[#This Row],[ProgNumb]],Programmes!A:A,))</f>
        <v>NZDB/HB/Feb</v>
      </c>
      <c r="O10" t="str">
        <f>tblCourse[[#This Row],[CourseCode]]&amp;"/"&amp;tblCourse[[#This Row],[Ccampus]]&amp;"/"&amp;tblCourse[[#This Row],[CIntake]]</f>
        <v>ACCY5102/Taradale/Feb</v>
      </c>
    </row>
    <row r="11" spans="1:15">
      <c r="A11">
        <v>296</v>
      </c>
      <c r="B11" t="s">
        <v>93</v>
      </c>
      <c r="C11" t="s">
        <v>94</v>
      </c>
      <c r="D11" t="str">
        <f>INDEX(tblCampus[CampusCode], MATCH(tblCourse[[#This Row],[Ccampus]], tblCampus[CampusName], 0))</f>
        <v>TC</v>
      </c>
      <c r="E11" t="s">
        <v>14</v>
      </c>
      <c r="F11">
        <v>81</v>
      </c>
      <c r="G11" t="s">
        <v>71</v>
      </c>
      <c r="H11" t="s">
        <v>11</v>
      </c>
      <c r="I11" t="str">
        <f>tblCourse[[#This Row],[CourseCode]]&amp;"/"&amp;tblCourse[[#This Row],[CRegion]]&amp;"/"&amp;tblCourse[[#This Row],[CIntake]]</f>
        <v>ACCY5102/TC/Feb</v>
      </c>
      <c r="J11" t="b">
        <v>0</v>
      </c>
      <c r="K11" t="s">
        <v>16</v>
      </c>
      <c r="L11" t="str">
        <f>tblCourse[[#This Row],[CourseTitle]]&amp;"  -  "&amp;tblCourse[[#This Row],[Ccampus]]&amp;"  -  "&amp;tblCourse[[#This Row],[CIntake]]</f>
        <v>Applied Accounting  -  Palmerston Rd  -  Feb</v>
      </c>
      <c r="M11" t="str">
        <f>tblCourse[[#This Row],[ProgFullCode]]&amp;"/1"</f>
        <v>NZDB/TC/Feb/1</v>
      </c>
      <c r="N11" t="str">
        <f>INDEX(Programmes!G:G,MATCH(tblCourse[[#This Row],[ProgNumb]],Programmes!A:A,))</f>
        <v>NZDB/TC/Feb</v>
      </c>
      <c r="O11" t="str">
        <f>tblCourse[[#This Row],[CourseCode]]&amp;"/"&amp;tblCourse[[#This Row],[Ccampus]]&amp;"/"&amp;tblCourse[[#This Row],[CIntake]]</f>
        <v>ACCY5102/Palmerston Rd/Feb</v>
      </c>
    </row>
    <row r="12" spans="1:15">
      <c r="A12">
        <v>298</v>
      </c>
      <c r="B12" t="s">
        <v>95</v>
      </c>
      <c r="C12" t="s">
        <v>96</v>
      </c>
      <c r="D12" t="str">
        <f>INDEX(tblCampus[CampusCode], MATCH(tblCourse[[#This Row],[Ccampus]], tblCampus[CampusName], 0))</f>
        <v>HB</v>
      </c>
      <c r="E12" t="s">
        <v>14</v>
      </c>
      <c r="F12">
        <v>82</v>
      </c>
      <c r="G12" t="s">
        <v>71</v>
      </c>
      <c r="H12" t="s">
        <v>11</v>
      </c>
      <c r="I12" t="str">
        <f>tblCourse[[#This Row],[CourseCode]]&amp;"/"&amp;tblCourse[[#This Row],[CRegion]]&amp;"/"&amp;tblCourse[[#This Row],[CIntake]]</f>
        <v>ACCY5103/HB/Feb</v>
      </c>
      <c r="J12" t="b">
        <v>0</v>
      </c>
      <c r="K12" t="s">
        <v>15</v>
      </c>
      <c r="L12" t="str">
        <f>tblCourse[[#This Row],[CourseTitle]]&amp;"  -  "&amp;tblCourse[[#This Row],[Ccampus]]&amp;"  -  "&amp;tblCourse[[#This Row],[CIntake]]</f>
        <v>Analysis of Financial Information  -  Taradale  -  Feb</v>
      </c>
      <c r="M12" t="str">
        <f>tblCourse[[#This Row],[ProgFullCode]]&amp;"/1"</f>
        <v>NZDB/HB/Feb/1</v>
      </c>
      <c r="N12" t="str">
        <f>INDEX(Programmes!G:G,MATCH(tblCourse[[#This Row],[ProgNumb]],Programmes!A:A,))</f>
        <v>NZDB/HB/Feb</v>
      </c>
      <c r="O12" t="str">
        <f>tblCourse[[#This Row],[CourseCode]]&amp;"/"&amp;tblCourse[[#This Row],[Ccampus]]&amp;"/"&amp;tblCourse[[#This Row],[CIntake]]</f>
        <v>ACCY5103/Taradale/Feb</v>
      </c>
    </row>
    <row r="13" spans="1:15">
      <c r="A13">
        <v>300</v>
      </c>
      <c r="B13" t="s">
        <v>95</v>
      </c>
      <c r="C13" t="s">
        <v>96</v>
      </c>
      <c r="D13" t="str">
        <f>INDEX(tblCampus[CampusCode], MATCH(tblCourse[[#This Row],[Ccampus]], tblCampus[CampusName], 0))</f>
        <v>HB</v>
      </c>
      <c r="E13" t="s">
        <v>20</v>
      </c>
      <c r="F13">
        <v>82</v>
      </c>
      <c r="G13" t="s">
        <v>71</v>
      </c>
      <c r="H13" t="s">
        <v>11</v>
      </c>
      <c r="I13" t="str">
        <f>tblCourse[[#This Row],[CourseCode]]&amp;"/"&amp;tblCourse[[#This Row],[CRegion]]&amp;"/"&amp;tblCourse[[#This Row],[CIntake]]</f>
        <v>ACCY5103/HB/Jul</v>
      </c>
      <c r="J13" t="b">
        <v>0</v>
      </c>
      <c r="K13" t="s">
        <v>15</v>
      </c>
      <c r="L13" t="str">
        <f>tblCourse[[#This Row],[CourseTitle]]&amp;"  -  "&amp;tblCourse[[#This Row],[Ccampus]]&amp;"  -  "&amp;tblCourse[[#This Row],[CIntake]]</f>
        <v>Analysis of Financial Information  -  Taradale  -  Jul</v>
      </c>
      <c r="M13" t="str">
        <f>tblCourse[[#This Row],[ProgFullCode]]&amp;"/1"</f>
        <v>NZDB/HB/Feb/1</v>
      </c>
      <c r="N13" t="str">
        <f>INDEX(Programmes!G:G,MATCH(tblCourse[[#This Row],[ProgNumb]],Programmes!A:A,))</f>
        <v>NZDB/HB/Feb</v>
      </c>
      <c r="O13" t="str">
        <f>tblCourse[[#This Row],[CourseCode]]&amp;"/"&amp;tblCourse[[#This Row],[Ccampus]]&amp;"/"&amp;tblCourse[[#This Row],[CIntake]]</f>
        <v>ACCY5103/Taradale/Jul</v>
      </c>
    </row>
    <row r="14" spans="1:15">
      <c r="A14">
        <v>299</v>
      </c>
      <c r="B14" t="s">
        <v>95</v>
      </c>
      <c r="C14" t="s">
        <v>96</v>
      </c>
      <c r="D14" t="str">
        <f>INDEX(tblCampus[CampusCode], MATCH(tblCourse[[#This Row],[Ccampus]], tblCampus[CampusName], 0))</f>
        <v>TC</v>
      </c>
      <c r="E14" t="s">
        <v>14</v>
      </c>
      <c r="F14">
        <v>81</v>
      </c>
      <c r="G14" t="s">
        <v>71</v>
      </c>
      <c r="H14" t="s">
        <v>11</v>
      </c>
      <c r="I14" t="str">
        <f>tblCourse[[#This Row],[CourseCode]]&amp;"/"&amp;tblCourse[[#This Row],[CRegion]]&amp;"/"&amp;tblCourse[[#This Row],[CIntake]]</f>
        <v>ACCY5103/TC/Feb</v>
      </c>
      <c r="J14" t="b">
        <v>0</v>
      </c>
      <c r="K14" t="s">
        <v>16</v>
      </c>
      <c r="L14" t="str">
        <f>tblCourse[[#This Row],[CourseTitle]]&amp;"  -  "&amp;tblCourse[[#This Row],[Ccampus]]&amp;"  -  "&amp;tblCourse[[#This Row],[CIntake]]</f>
        <v>Analysis of Financial Information  -  Palmerston Rd  -  Feb</v>
      </c>
      <c r="M14" t="str">
        <f>tblCourse[[#This Row],[ProgFullCode]]&amp;"/1"</f>
        <v>NZDB/TC/Feb/1</v>
      </c>
      <c r="N14" t="str">
        <f>INDEX(Programmes!G:G,MATCH(tblCourse[[#This Row],[ProgNumb]],Programmes!A:A,))</f>
        <v>NZDB/TC/Feb</v>
      </c>
      <c r="O14" t="str">
        <f>tblCourse[[#This Row],[CourseCode]]&amp;"/"&amp;tblCourse[[#This Row],[Ccampus]]&amp;"/"&amp;tblCourse[[#This Row],[CIntake]]</f>
        <v>ACCY5103/Palmerston Rd/Feb</v>
      </c>
    </row>
    <row r="15" spans="1:15">
      <c r="A15">
        <v>301</v>
      </c>
      <c r="B15" t="s">
        <v>95</v>
      </c>
      <c r="C15" t="s">
        <v>96</v>
      </c>
      <c r="D15" t="str">
        <f>INDEX(tblCampus[CampusCode], MATCH(tblCourse[[#This Row],[Ccampus]], tblCampus[CampusName], 0))</f>
        <v>TC</v>
      </c>
      <c r="E15" t="s">
        <v>20</v>
      </c>
      <c r="F15">
        <v>81</v>
      </c>
      <c r="G15" t="s">
        <v>71</v>
      </c>
      <c r="H15" t="s">
        <v>11</v>
      </c>
      <c r="I15" t="str">
        <f>tblCourse[[#This Row],[CourseCode]]&amp;"/"&amp;tblCourse[[#This Row],[CRegion]]&amp;"/"&amp;tblCourse[[#This Row],[CIntake]]</f>
        <v>ACCY5103/TC/Jul</v>
      </c>
      <c r="J15" t="b">
        <v>0</v>
      </c>
      <c r="K15" t="s">
        <v>16</v>
      </c>
      <c r="L15" t="str">
        <f>tblCourse[[#This Row],[CourseTitle]]&amp;"  -  "&amp;tblCourse[[#This Row],[Ccampus]]&amp;"  -  "&amp;tblCourse[[#This Row],[CIntake]]</f>
        <v>Analysis of Financial Information  -  Palmerston Rd  -  Jul</v>
      </c>
      <c r="M15" t="str">
        <f>tblCourse[[#This Row],[ProgFullCode]]&amp;"/1"</f>
        <v>NZDB/TC/Feb/1</v>
      </c>
      <c r="N15" t="str">
        <f>INDEX(Programmes!G:G,MATCH(tblCourse[[#This Row],[ProgNumb]],Programmes!A:A,))</f>
        <v>NZDB/TC/Feb</v>
      </c>
      <c r="O15" t="str">
        <f>tblCourse[[#This Row],[CourseCode]]&amp;"/"&amp;tblCourse[[#This Row],[Ccampus]]&amp;"/"&amp;tblCourse[[#This Row],[CIntake]]</f>
        <v>ACCY5103/Palmerston Rd/Jul</v>
      </c>
    </row>
    <row r="16" spans="1:15">
      <c r="A16">
        <v>99997</v>
      </c>
      <c r="B16" t="s">
        <v>97</v>
      </c>
      <c r="C16" t="s">
        <v>98</v>
      </c>
      <c r="D16" t="str">
        <f>INDEX(tblCampus[CampusCode], MATCH(tblCourse[[#This Row],[Ccampus]], tblCampus[CampusName], 0))</f>
        <v>HB</v>
      </c>
      <c r="E16" t="s">
        <v>20</v>
      </c>
      <c r="F16">
        <v>82</v>
      </c>
      <c r="G16" t="s">
        <v>71</v>
      </c>
      <c r="H16" t="s">
        <v>11</v>
      </c>
      <c r="I16" t="str">
        <f>tblCourse[[#This Row],[CourseCode]]&amp;"/"&amp;tblCourse[[#This Row],[CRegion]]&amp;"/"&amp;tblCourse[[#This Row],[CIntake]]</f>
        <v>ACCY5104/HB/Jul</v>
      </c>
      <c r="J16" t="b">
        <v>0</v>
      </c>
      <c r="K16" t="s">
        <v>15</v>
      </c>
      <c r="L16" t="str">
        <f>tblCourse[[#This Row],[CourseTitle]]&amp;"  -  "&amp;tblCourse[[#This Row],[Ccampus]]&amp;"  -  "&amp;tblCourse[[#This Row],[CIntake]]</f>
        <v>Budgets for Planning &amp; Control  -  Taradale  -  Jul</v>
      </c>
      <c r="M16" t="str">
        <f>tblCourse[[#This Row],[ProgFullCode]]&amp;"/1"</f>
        <v>NZDB/HB/Feb/1</v>
      </c>
      <c r="N16" t="str">
        <f>INDEX(Programmes!G:G,MATCH(tblCourse[[#This Row],[ProgNumb]],Programmes!A:A,))</f>
        <v>NZDB/HB/Feb</v>
      </c>
      <c r="O16" t="str">
        <f>tblCourse[[#This Row],[CourseCode]]&amp;"/"&amp;tblCourse[[#This Row],[Ccampus]]&amp;"/"&amp;tblCourse[[#This Row],[CIntake]]</f>
        <v>ACCY5104/Taradale/Jul</v>
      </c>
    </row>
    <row r="17" spans="1:15">
      <c r="A17">
        <v>304</v>
      </c>
      <c r="B17" t="s">
        <v>97</v>
      </c>
      <c r="C17" t="s">
        <v>98</v>
      </c>
      <c r="D17" t="str">
        <f>INDEX(tblCampus[CampusCode], MATCH(tblCourse[[#This Row],[Ccampus]], tblCampus[CampusName], 0))</f>
        <v>TC</v>
      </c>
      <c r="E17" t="s">
        <v>20</v>
      </c>
      <c r="F17">
        <v>81</v>
      </c>
      <c r="G17" t="s">
        <v>71</v>
      </c>
      <c r="H17" t="s">
        <v>11</v>
      </c>
      <c r="I17" t="str">
        <f>tblCourse[[#This Row],[CourseCode]]&amp;"/"&amp;tblCourse[[#This Row],[CRegion]]&amp;"/"&amp;tblCourse[[#This Row],[CIntake]]</f>
        <v>ACCY5104/TC/Jul</v>
      </c>
      <c r="J17" t="b">
        <v>0</v>
      </c>
      <c r="K17" t="s">
        <v>16</v>
      </c>
      <c r="L17" t="str">
        <f>tblCourse[[#This Row],[CourseTitle]]&amp;"  -  "&amp;tblCourse[[#This Row],[Ccampus]]&amp;"  -  "&amp;tblCourse[[#This Row],[CIntake]]</f>
        <v>Budgets for Planning &amp; Control  -  Palmerston Rd  -  Jul</v>
      </c>
      <c r="M17" t="str">
        <f>tblCourse[[#This Row],[ProgFullCode]]&amp;"/1"</f>
        <v>NZDB/TC/Feb/1</v>
      </c>
      <c r="N17" t="str">
        <f>INDEX(Programmes!G:G,MATCH(tblCourse[[#This Row],[ProgNumb]],Programmes!A:A,))</f>
        <v>NZDB/TC/Feb</v>
      </c>
      <c r="O17" t="str">
        <f>tblCourse[[#This Row],[CourseCode]]&amp;"/"&amp;tblCourse[[#This Row],[Ccampus]]&amp;"/"&amp;tblCourse[[#This Row],[CIntake]]</f>
        <v>ACCY5104/Palmerston Rd/Jul</v>
      </c>
    </row>
    <row r="18" spans="1:15">
      <c r="A18">
        <v>100040</v>
      </c>
      <c r="B18" t="s">
        <v>99</v>
      </c>
      <c r="C18" t="s">
        <v>100</v>
      </c>
      <c r="D18" t="str">
        <f>INDEX(tblCampus[CampusCode], MATCH(tblCourse[[#This Row],[Ccampus]], tblCampus[CampusName], 0))</f>
        <v>HB</v>
      </c>
      <c r="E18" t="s">
        <v>14</v>
      </c>
      <c r="F18">
        <v>100001</v>
      </c>
      <c r="G18" t="s">
        <v>71</v>
      </c>
      <c r="H18" t="s">
        <v>11</v>
      </c>
      <c r="I18" t="str">
        <f>tblCourse[[#This Row],[CourseCode]]&amp;"/"&amp;tblCourse[[#This Row],[CRegion]]&amp;"/"&amp;tblCourse[[#This Row],[CIntake]]</f>
        <v>ACCY5105/HB/Feb</v>
      </c>
      <c r="J18" t="b">
        <v>0</v>
      </c>
      <c r="K18" t="s">
        <v>15</v>
      </c>
      <c r="L18" t="str">
        <f>tblCourse[[#This Row],[CourseTitle]]&amp;"  -  "&amp;tblCourse[[#This Row],[Ccampus]]&amp;"  -  "&amp;tblCourse[[#This Row],[CIntake]]</f>
        <v>Commercial Law  -  Taradale  -  Feb</v>
      </c>
      <c r="M18" t="str">
        <f>tblCourse[[#This Row],[ProgFullCode]]&amp;"/1"</f>
        <v>BoA/HB/Feb/1</v>
      </c>
      <c r="N18" t="str">
        <f>INDEX(Programmes!G:G,MATCH(tblCourse[[#This Row],[ProgNumb]],Programmes!A:A,))</f>
        <v>BoA/HB/Feb</v>
      </c>
      <c r="O18" t="str">
        <f>tblCourse[[#This Row],[CourseCode]]&amp;"/"&amp;tblCourse[[#This Row],[Ccampus]]&amp;"/"&amp;tblCourse[[#This Row],[CIntake]]</f>
        <v>ACCY5105/Taradale/Feb</v>
      </c>
    </row>
    <row r="19" spans="1:15">
      <c r="A19">
        <v>100011</v>
      </c>
      <c r="B19" t="s">
        <v>99</v>
      </c>
      <c r="C19" t="s">
        <v>100</v>
      </c>
      <c r="D19" t="str">
        <f>INDEX(tblCampus[CampusCode], MATCH(tblCourse[[#This Row],[Ccampus]], tblCampus[CampusName], 0))</f>
        <v>HB</v>
      </c>
      <c r="E19" t="s">
        <v>20</v>
      </c>
      <c r="F19">
        <v>100001</v>
      </c>
      <c r="G19" t="s">
        <v>71</v>
      </c>
      <c r="H19" t="s">
        <v>11</v>
      </c>
      <c r="I19" t="str">
        <f>tblCourse[[#This Row],[CourseCode]]&amp;"/"&amp;tblCourse[[#This Row],[CRegion]]&amp;"/"&amp;tblCourse[[#This Row],[CIntake]]</f>
        <v>ACCY5105/HB/Jul</v>
      </c>
      <c r="J19" t="b">
        <v>0</v>
      </c>
      <c r="K19" t="s">
        <v>15</v>
      </c>
      <c r="L19" t="str">
        <f>tblCourse[[#This Row],[CourseTitle]]&amp;"  -  "&amp;tblCourse[[#This Row],[Ccampus]]&amp;"  -  "&amp;tblCourse[[#This Row],[CIntake]]</f>
        <v>Commercial Law  -  Taradale  -  Jul</v>
      </c>
      <c r="M19" t="str">
        <f>tblCourse[[#This Row],[ProgFullCode]]&amp;"/1"</f>
        <v>BoA/HB/Feb/1</v>
      </c>
      <c r="N19" t="str">
        <f>INDEX(Programmes!G:G,MATCH(tblCourse[[#This Row],[ProgNumb]],Programmes!A:A,))</f>
        <v>BoA/HB/Feb</v>
      </c>
      <c r="O19" t="str">
        <f>tblCourse[[#This Row],[CourseCode]]&amp;"/"&amp;tblCourse[[#This Row],[Ccampus]]&amp;"/"&amp;tblCourse[[#This Row],[CIntake]]</f>
        <v>ACCY5105/Taradale/Jul</v>
      </c>
    </row>
    <row r="20" spans="1:15">
      <c r="A20">
        <v>100041</v>
      </c>
      <c r="B20" t="s">
        <v>99</v>
      </c>
      <c r="C20" t="s">
        <v>100</v>
      </c>
      <c r="D20" t="str">
        <f>INDEX(tblCampus[CampusCode], MATCH(tblCourse[[#This Row],[Ccampus]], tblCampus[CampusName], 0))</f>
        <v>TC</v>
      </c>
      <c r="E20" t="s">
        <v>14</v>
      </c>
      <c r="F20">
        <v>100002</v>
      </c>
      <c r="G20" t="s">
        <v>71</v>
      </c>
      <c r="H20" t="s">
        <v>11</v>
      </c>
      <c r="I20" t="str">
        <f>tblCourse[[#This Row],[CourseCode]]&amp;"/"&amp;tblCourse[[#This Row],[CRegion]]&amp;"/"&amp;tblCourse[[#This Row],[CIntake]]</f>
        <v>ACCY5105/TC/Feb</v>
      </c>
      <c r="J20" t="b">
        <v>0</v>
      </c>
      <c r="K20" t="s">
        <v>16</v>
      </c>
      <c r="L20" t="str">
        <f>tblCourse[[#This Row],[CourseTitle]]&amp;"  -  "&amp;tblCourse[[#This Row],[Ccampus]]&amp;"  -  "&amp;tblCourse[[#This Row],[CIntake]]</f>
        <v>Commercial Law  -  Palmerston Rd  -  Feb</v>
      </c>
      <c r="M20" t="str">
        <f>tblCourse[[#This Row],[ProgFullCode]]&amp;"/1"</f>
        <v>BoA/SS/Feb/1</v>
      </c>
      <c r="N20" t="str">
        <f>INDEX(Programmes!G:G,MATCH(tblCourse[[#This Row],[ProgNumb]],Programmes!A:A,))</f>
        <v>BoA/SS/Feb</v>
      </c>
      <c r="O20" t="str">
        <f>tblCourse[[#This Row],[CourseCode]]&amp;"/"&amp;tblCourse[[#This Row],[Ccampus]]&amp;"/"&amp;tblCourse[[#This Row],[CIntake]]</f>
        <v>ACCY5105/Palmerston Rd/Feb</v>
      </c>
    </row>
    <row r="21" spans="1:15">
      <c r="A21">
        <v>100012</v>
      </c>
      <c r="B21" t="s">
        <v>99</v>
      </c>
      <c r="C21" t="s">
        <v>100</v>
      </c>
      <c r="D21" t="str">
        <f>INDEX(tblCampus[CampusCode], MATCH(tblCourse[[#This Row],[Ccampus]], tblCampus[CampusName], 0))</f>
        <v>TC</v>
      </c>
      <c r="E21" t="s">
        <v>20</v>
      </c>
      <c r="F21">
        <v>100002</v>
      </c>
      <c r="G21" t="s">
        <v>71</v>
      </c>
      <c r="H21" t="s">
        <v>11</v>
      </c>
      <c r="I21" t="str">
        <f>tblCourse[[#This Row],[CourseCode]]&amp;"/"&amp;tblCourse[[#This Row],[CRegion]]&amp;"/"&amp;tblCourse[[#This Row],[CIntake]]</f>
        <v>ACCY5105/TC/Jul</v>
      </c>
      <c r="J21" t="b">
        <v>0</v>
      </c>
      <c r="K21" t="s">
        <v>16</v>
      </c>
      <c r="L21" t="str">
        <f>tblCourse[[#This Row],[CourseTitle]]&amp;"  -  "&amp;tblCourse[[#This Row],[Ccampus]]&amp;"  -  "&amp;tblCourse[[#This Row],[CIntake]]</f>
        <v>Commercial Law  -  Palmerston Rd  -  Jul</v>
      </c>
      <c r="M21" t="str">
        <f>tblCourse[[#This Row],[ProgFullCode]]&amp;"/1"</f>
        <v>BoA/SS/Feb/1</v>
      </c>
      <c r="N21" t="str">
        <f>INDEX(Programmes!G:G,MATCH(tblCourse[[#This Row],[ProgNumb]],Programmes!A:A,))</f>
        <v>BoA/SS/Feb</v>
      </c>
      <c r="O21" t="str">
        <f>tblCourse[[#This Row],[CourseCode]]&amp;"/"&amp;tblCourse[[#This Row],[Ccampus]]&amp;"/"&amp;tblCourse[[#This Row],[CIntake]]</f>
        <v>ACCY5105/Palmerston Rd/Jul</v>
      </c>
    </row>
    <row r="22" spans="1:15">
      <c r="A22">
        <v>100013</v>
      </c>
      <c r="B22" t="s">
        <v>101</v>
      </c>
      <c r="C22" t="s">
        <v>102</v>
      </c>
      <c r="D22" t="str">
        <f>INDEX(tblCampus[CampusCode], MATCH(tblCourse[[#This Row],[Ccampus]], tblCampus[CampusName], 0))</f>
        <v>HB</v>
      </c>
      <c r="E22" t="s">
        <v>14</v>
      </c>
      <c r="F22">
        <v>100001</v>
      </c>
      <c r="G22" t="s">
        <v>71</v>
      </c>
      <c r="H22" t="s">
        <v>11</v>
      </c>
      <c r="I22" t="str">
        <f>tblCourse[[#This Row],[CourseCode]]&amp;"/"&amp;tblCourse[[#This Row],[CRegion]]&amp;"/"&amp;tblCourse[[#This Row],[CIntake]]</f>
        <v>ACCY5106/HB/Feb</v>
      </c>
      <c r="J22" t="b">
        <v>0</v>
      </c>
      <c r="K22" t="s">
        <v>15</v>
      </c>
      <c r="L22" t="str">
        <f>tblCourse[[#This Row],[CourseTitle]]&amp;"  -  "&amp;tblCourse[[#This Row],[Ccampus]]&amp;"  -  "&amp;tblCourse[[#This Row],[CIntake]]</f>
        <v>Economics  -  Taradale  -  Feb</v>
      </c>
      <c r="M22" t="str">
        <f>tblCourse[[#This Row],[ProgFullCode]]&amp;"/1"</f>
        <v>BoA/HB/Feb/1</v>
      </c>
      <c r="N22" t="str">
        <f>INDEX(Programmes!G:G,MATCH(tblCourse[[#This Row],[ProgNumb]],Programmes!A:A,))</f>
        <v>BoA/HB/Feb</v>
      </c>
      <c r="O22" t="str">
        <f>tblCourse[[#This Row],[CourseCode]]&amp;"/"&amp;tblCourse[[#This Row],[Ccampus]]&amp;"/"&amp;tblCourse[[#This Row],[CIntake]]</f>
        <v>ACCY5106/Taradale/Feb</v>
      </c>
    </row>
    <row r="23" spans="1:15">
      <c r="A23">
        <v>100015</v>
      </c>
      <c r="B23" t="s">
        <v>101</v>
      </c>
      <c r="C23" t="s">
        <v>102</v>
      </c>
      <c r="D23" t="str">
        <f>INDEX(tblCampus[CampusCode], MATCH(tblCourse[[#This Row],[Ccampus]], tblCampus[CampusName], 0))</f>
        <v>TC</v>
      </c>
      <c r="E23" t="s">
        <v>14</v>
      </c>
      <c r="F23">
        <v>100002</v>
      </c>
      <c r="G23" t="s">
        <v>71</v>
      </c>
      <c r="H23" t="s">
        <v>11</v>
      </c>
      <c r="I23" t="str">
        <f>tblCourse[[#This Row],[CourseCode]]&amp;"/"&amp;tblCourse[[#This Row],[CRegion]]&amp;"/"&amp;tblCourse[[#This Row],[CIntake]]</f>
        <v>ACCY5106/TC/Feb</v>
      </c>
      <c r="J23" t="b">
        <v>0</v>
      </c>
      <c r="K23" t="s">
        <v>16</v>
      </c>
      <c r="L23" t="str">
        <f>tblCourse[[#This Row],[CourseTitle]]&amp;"  -  "&amp;tblCourse[[#This Row],[Ccampus]]&amp;"  -  "&amp;tblCourse[[#This Row],[CIntake]]</f>
        <v>Economics  -  Palmerston Rd  -  Feb</v>
      </c>
      <c r="M23" t="str">
        <f>tblCourse[[#This Row],[ProgFullCode]]&amp;"/1"</f>
        <v>BoA/SS/Feb/1</v>
      </c>
      <c r="N23" t="str">
        <f>INDEX(Programmes!G:G,MATCH(tblCourse[[#This Row],[ProgNumb]],Programmes!A:A,))</f>
        <v>BoA/SS/Feb</v>
      </c>
      <c r="O23" t="str">
        <f>tblCourse[[#This Row],[CourseCode]]&amp;"/"&amp;tblCourse[[#This Row],[Ccampus]]&amp;"/"&amp;tblCourse[[#This Row],[CIntake]]</f>
        <v>ACCY5106/Palmerston Rd/Feb</v>
      </c>
    </row>
    <row r="24" spans="1:15">
      <c r="A24">
        <v>100018</v>
      </c>
      <c r="B24" t="s">
        <v>103</v>
      </c>
      <c r="C24" t="s">
        <v>104</v>
      </c>
      <c r="D24" t="str">
        <f>INDEX(tblCampus[CampusCode], MATCH(tblCourse[[#This Row],[Ccampus]], tblCampus[CampusName], 0))</f>
        <v>HB</v>
      </c>
      <c r="E24" t="s">
        <v>14</v>
      </c>
      <c r="F24">
        <v>100001</v>
      </c>
      <c r="G24" t="s">
        <v>71</v>
      </c>
      <c r="H24" t="s">
        <v>11</v>
      </c>
      <c r="I24" t="str">
        <f>tblCourse[[#This Row],[CourseCode]]&amp;"/"&amp;tblCourse[[#This Row],[CRegion]]&amp;"/"&amp;tblCourse[[#This Row],[CIntake]]</f>
        <v>ACCY6101/HB/Feb</v>
      </c>
      <c r="J24" t="b">
        <v>0</v>
      </c>
      <c r="K24" t="s">
        <v>15</v>
      </c>
      <c r="L24" t="str">
        <f>tblCourse[[#This Row],[CourseTitle]]&amp;"  -  "&amp;tblCourse[[#This Row],[Ccampus]]&amp;"  -  "&amp;tblCourse[[#This Row],[CIntake]]</f>
        <v>Intermediate Management Accounting  -  Taradale  -  Feb</v>
      </c>
      <c r="M24" t="str">
        <f>tblCourse[[#This Row],[ProgFullCode]]&amp;"/1"</f>
        <v>BoA/HB/Feb/1</v>
      </c>
      <c r="N24" t="str">
        <f>INDEX(Programmes!G:G,MATCH(tblCourse[[#This Row],[ProgNumb]],Programmes!A:A,))</f>
        <v>BoA/HB/Feb</v>
      </c>
      <c r="O24" t="str">
        <f>tblCourse[[#This Row],[CourseCode]]&amp;"/"&amp;tblCourse[[#This Row],[Ccampus]]&amp;"/"&amp;tblCourse[[#This Row],[CIntake]]</f>
        <v>ACCY6101/Taradale/Feb</v>
      </c>
    </row>
    <row r="25" spans="1:15">
      <c r="A25">
        <v>100019</v>
      </c>
      <c r="B25" t="s">
        <v>103</v>
      </c>
      <c r="C25" t="s">
        <v>104</v>
      </c>
      <c r="D25" t="str">
        <f>INDEX(tblCampus[CampusCode], MATCH(tblCourse[[#This Row],[Ccampus]], tblCampus[CampusName], 0))</f>
        <v>TC</v>
      </c>
      <c r="E25" t="s">
        <v>14</v>
      </c>
      <c r="F25">
        <v>100002</v>
      </c>
      <c r="G25" t="s">
        <v>71</v>
      </c>
      <c r="H25" t="s">
        <v>11</v>
      </c>
      <c r="I25" t="str">
        <f>tblCourse[[#This Row],[CourseCode]]&amp;"/"&amp;tblCourse[[#This Row],[CRegion]]&amp;"/"&amp;tblCourse[[#This Row],[CIntake]]</f>
        <v>ACCY6101/TC/Feb</v>
      </c>
      <c r="J25" t="b">
        <v>0</v>
      </c>
      <c r="K25" t="s">
        <v>16</v>
      </c>
      <c r="L25" t="str">
        <f>tblCourse[[#This Row],[CourseTitle]]&amp;"  -  "&amp;tblCourse[[#This Row],[Ccampus]]&amp;"  -  "&amp;tblCourse[[#This Row],[CIntake]]</f>
        <v>Intermediate Management Accounting  -  Palmerston Rd  -  Feb</v>
      </c>
      <c r="M25" t="str">
        <f>tblCourse[[#This Row],[ProgFullCode]]&amp;"/1"</f>
        <v>BoA/SS/Feb/1</v>
      </c>
      <c r="N25" t="str">
        <f>INDEX(Programmes!G:G,MATCH(tblCourse[[#This Row],[ProgNumb]],Programmes!A:A,))</f>
        <v>BoA/SS/Feb</v>
      </c>
      <c r="O25" t="str">
        <f>tblCourse[[#This Row],[CourseCode]]&amp;"/"&amp;tblCourse[[#This Row],[Ccampus]]&amp;"/"&amp;tblCourse[[#This Row],[CIntake]]</f>
        <v>ACCY6101/Palmerston Rd/Feb</v>
      </c>
    </row>
    <row r="26" spans="1:15">
      <c r="A26">
        <v>100020</v>
      </c>
      <c r="B26" t="s">
        <v>105</v>
      </c>
      <c r="C26" t="s">
        <v>106</v>
      </c>
      <c r="D26" t="str">
        <f>INDEX(tblCampus[CampusCode], MATCH(tblCourse[[#This Row],[Ccampus]], tblCampus[CampusName], 0))</f>
        <v>HB</v>
      </c>
      <c r="E26" t="s">
        <v>14</v>
      </c>
      <c r="F26">
        <v>100001</v>
      </c>
      <c r="G26" t="s">
        <v>71</v>
      </c>
      <c r="H26" t="s">
        <v>11</v>
      </c>
      <c r="I26" t="str">
        <f>tblCourse[[#This Row],[CourseCode]]&amp;"/"&amp;tblCourse[[#This Row],[CRegion]]&amp;"/"&amp;tblCourse[[#This Row],[CIntake]]</f>
        <v>ACCY6102/HB/Feb</v>
      </c>
      <c r="J26" t="b">
        <v>0</v>
      </c>
      <c r="K26" t="s">
        <v>15</v>
      </c>
      <c r="L26" t="str">
        <f>tblCourse[[#This Row],[CourseTitle]]&amp;"  -  "&amp;tblCourse[[#This Row],[Ccampus]]&amp;"  -  "&amp;tblCourse[[#This Row],[CIntake]]</f>
        <v>Intermediate Financial Accounting  -  Taradale  -  Feb</v>
      </c>
      <c r="M26" t="str">
        <f>tblCourse[[#This Row],[ProgFullCode]]&amp;"/1"</f>
        <v>BoA/HB/Feb/1</v>
      </c>
      <c r="N26" t="str">
        <f>INDEX(Programmes!G:G,MATCH(tblCourse[[#This Row],[ProgNumb]],Programmes!A:A,))</f>
        <v>BoA/HB/Feb</v>
      </c>
      <c r="O26" t="str">
        <f>tblCourse[[#This Row],[CourseCode]]&amp;"/"&amp;tblCourse[[#This Row],[Ccampus]]&amp;"/"&amp;tblCourse[[#This Row],[CIntake]]</f>
        <v>ACCY6102/Taradale/Feb</v>
      </c>
    </row>
    <row r="27" spans="1:15">
      <c r="A27">
        <v>100021</v>
      </c>
      <c r="B27" t="s">
        <v>105</v>
      </c>
      <c r="C27" t="s">
        <v>106</v>
      </c>
      <c r="D27" t="str">
        <f>INDEX(tblCampus[CampusCode], MATCH(tblCourse[[#This Row],[Ccampus]], tblCampus[CampusName], 0))</f>
        <v>TC</v>
      </c>
      <c r="E27" t="s">
        <v>14</v>
      </c>
      <c r="F27">
        <v>100002</v>
      </c>
      <c r="G27" t="s">
        <v>71</v>
      </c>
      <c r="H27" t="s">
        <v>11</v>
      </c>
      <c r="I27" t="str">
        <f>tblCourse[[#This Row],[CourseCode]]&amp;"/"&amp;tblCourse[[#This Row],[CRegion]]&amp;"/"&amp;tblCourse[[#This Row],[CIntake]]</f>
        <v>ACCY6102/TC/Feb</v>
      </c>
      <c r="J27" t="b">
        <v>0</v>
      </c>
      <c r="K27" t="s">
        <v>16</v>
      </c>
      <c r="L27" t="str">
        <f>tblCourse[[#This Row],[CourseTitle]]&amp;"  -  "&amp;tblCourse[[#This Row],[Ccampus]]&amp;"  -  "&amp;tblCourse[[#This Row],[CIntake]]</f>
        <v>Intermediate Financial Accounting  -  Palmerston Rd  -  Feb</v>
      </c>
      <c r="M27" t="str">
        <f>tblCourse[[#This Row],[ProgFullCode]]&amp;"/1"</f>
        <v>BoA/SS/Feb/1</v>
      </c>
      <c r="N27" t="str">
        <f>INDEX(Programmes!G:G,MATCH(tblCourse[[#This Row],[ProgNumb]],Programmes!A:A,))</f>
        <v>BoA/SS/Feb</v>
      </c>
      <c r="O27" t="str">
        <f>tblCourse[[#This Row],[CourseCode]]&amp;"/"&amp;tblCourse[[#This Row],[Ccampus]]&amp;"/"&amp;tblCourse[[#This Row],[CIntake]]</f>
        <v>ACCY6102/Palmerston Rd/Feb</v>
      </c>
    </row>
    <row r="28" spans="1:15">
      <c r="A28">
        <v>100022</v>
      </c>
      <c r="B28" t="s">
        <v>107</v>
      </c>
      <c r="C28" t="s">
        <v>108</v>
      </c>
      <c r="D28" t="str">
        <f>INDEX(tblCampus[CampusCode], MATCH(tblCourse[[#This Row],[Ccampus]], tblCampus[CampusName], 0))</f>
        <v>HB</v>
      </c>
      <c r="E28" t="s">
        <v>20</v>
      </c>
      <c r="F28">
        <v>100001</v>
      </c>
      <c r="G28" t="s">
        <v>71</v>
      </c>
      <c r="H28" t="s">
        <v>11</v>
      </c>
      <c r="I28" t="str">
        <f>tblCourse[[#This Row],[CourseCode]]&amp;"/"&amp;tblCourse[[#This Row],[CRegion]]&amp;"/"&amp;tblCourse[[#This Row],[CIntake]]</f>
        <v>ACCY6103/HB/Jul</v>
      </c>
      <c r="J28" t="b">
        <v>0</v>
      </c>
      <c r="K28" t="s">
        <v>15</v>
      </c>
      <c r="L28" t="str">
        <f>tblCourse[[#This Row],[CourseTitle]]&amp;"  -  "&amp;tblCourse[[#This Row],[Ccampus]]&amp;"  -  "&amp;tblCourse[[#This Row],[CIntake]]</f>
        <v>Taxation in Aotearoa New Zealand  -  Taradale  -  Jul</v>
      </c>
      <c r="M28" t="str">
        <f>tblCourse[[#This Row],[ProgFullCode]]&amp;"/1"</f>
        <v>BoA/HB/Feb/1</v>
      </c>
      <c r="N28" t="str">
        <f>INDEX(Programmes!G:G,MATCH(tblCourse[[#This Row],[ProgNumb]],Programmes!A:A,))</f>
        <v>BoA/HB/Feb</v>
      </c>
      <c r="O28" t="str">
        <f>tblCourse[[#This Row],[CourseCode]]&amp;"/"&amp;tblCourse[[#This Row],[Ccampus]]&amp;"/"&amp;tblCourse[[#This Row],[CIntake]]</f>
        <v>ACCY6103/Taradale/Jul</v>
      </c>
    </row>
    <row r="29" spans="1:15">
      <c r="A29">
        <v>100023</v>
      </c>
      <c r="B29" t="s">
        <v>107</v>
      </c>
      <c r="C29" t="s">
        <v>108</v>
      </c>
      <c r="D29" t="str">
        <f>INDEX(tblCampus[CampusCode], MATCH(tblCourse[[#This Row],[Ccampus]], tblCampus[CampusName], 0))</f>
        <v>TC</v>
      </c>
      <c r="E29" t="s">
        <v>20</v>
      </c>
      <c r="F29">
        <v>100002</v>
      </c>
      <c r="G29" t="s">
        <v>71</v>
      </c>
      <c r="H29" t="s">
        <v>11</v>
      </c>
      <c r="I29" t="str">
        <f>tblCourse[[#This Row],[CourseCode]]&amp;"/"&amp;tblCourse[[#This Row],[CRegion]]&amp;"/"&amp;tblCourse[[#This Row],[CIntake]]</f>
        <v>ACCY6103/TC/Jul</v>
      </c>
      <c r="J29" t="b">
        <v>0</v>
      </c>
      <c r="K29" t="s">
        <v>16</v>
      </c>
      <c r="L29" t="str">
        <f>tblCourse[[#This Row],[CourseTitle]]&amp;"  -  "&amp;tblCourse[[#This Row],[Ccampus]]&amp;"  -  "&amp;tblCourse[[#This Row],[CIntake]]</f>
        <v>Taxation in Aotearoa New Zealand  -  Palmerston Rd  -  Jul</v>
      </c>
      <c r="M29" t="str">
        <f>tblCourse[[#This Row],[ProgFullCode]]&amp;"/1"</f>
        <v>BoA/SS/Feb/1</v>
      </c>
      <c r="N29" t="str">
        <f>INDEX(Programmes!G:G,MATCH(tblCourse[[#This Row],[ProgNumb]],Programmes!A:A,))</f>
        <v>BoA/SS/Feb</v>
      </c>
      <c r="O29" t="str">
        <f>tblCourse[[#This Row],[CourseCode]]&amp;"/"&amp;tblCourse[[#This Row],[Ccampus]]&amp;"/"&amp;tblCourse[[#This Row],[CIntake]]</f>
        <v>ACCY6103/Palmerston Rd/Jul</v>
      </c>
    </row>
    <row r="30" spans="1:15">
      <c r="A30">
        <v>100025</v>
      </c>
      <c r="B30" t="s">
        <v>109</v>
      </c>
      <c r="C30" t="s">
        <v>110</v>
      </c>
      <c r="D30" t="str">
        <f>INDEX(tblCampus[CampusCode], MATCH(tblCourse[[#This Row],[Ccampus]], tblCampus[CampusName], 0))</f>
        <v>HB</v>
      </c>
      <c r="E30" t="s">
        <v>20</v>
      </c>
      <c r="F30">
        <v>100001</v>
      </c>
      <c r="G30" t="s">
        <v>71</v>
      </c>
      <c r="H30" t="s">
        <v>11</v>
      </c>
      <c r="I30" t="str">
        <f>tblCourse[[#This Row],[CourseCode]]&amp;"/"&amp;tblCourse[[#This Row],[CRegion]]&amp;"/"&amp;tblCourse[[#This Row],[CIntake]]</f>
        <v>ACCY6104/HB/Jul</v>
      </c>
      <c r="J30" t="b">
        <v>0</v>
      </c>
      <c r="K30" t="s">
        <v>15</v>
      </c>
      <c r="L30" t="str">
        <f>tblCourse[[#This Row],[CourseTitle]]&amp;"  -  "&amp;tblCourse[[#This Row],[Ccampus]]&amp;"  -  "&amp;tblCourse[[#This Row],[CIntake]]</f>
        <v>Introductiion to Finance  -  Taradale  -  Jul</v>
      </c>
      <c r="M30" t="str">
        <f>tblCourse[[#This Row],[ProgFullCode]]&amp;"/1"</f>
        <v>BoA/HB/Feb/1</v>
      </c>
      <c r="N30" t="str">
        <f>INDEX(Programmes!G:G,MATCH(tblCourse[[#This Row],[ProgNumb]],Programmes!A:A,))</f>
        <v>BoA/HB/Feb</v>
      </c>
      <c r="O30" t="str">
        <f>tblCourse[[#This Row],[CourseCode]]&amp;"/"&amp;tblCourse[[#This Row],[Ccampus]]&amp;"/"&amp;tblCourse[[#This Row],[CIntake]]</f>
        <v>ACCY6104/Taradale/Jul</v>
      </c>
    </row>
    <row r="31" spans="1:15">
      <c r="A31">
        <v>100026</v>
      </c>
      <c r="B31" t="s">
        <v>111</v>
      </c>
      <c r="C31" t="s">
        <v>110</v>
      </c>
      <c r="D31" t="str">
        <f>INDEX(tblCampus[CampusCode], MATCH(tblCourse[[#This Row],[Ccampus]], tblCampus[CampusName], 0))</f>
        <v>TC</v>
      </c>
      <c r="E31" t="s">
        <v>20</v>
      </c>
      <c r="F31">
        <v>100002</v>
      </c>
      <c r="G31" t="s">
        <v>71</v>
      </c>
      <c r="H31" t="s">
        <v>11</v>
      </c>
      <c r="I31" t="str">
        <f>tblCourse[[#This Row],[CourseCode]]&amp;"/"&amp;tblCourse[[#This Row],[CRegion]]&amp;"/"&amp;tblCourse[[#This Row],[CIntake]]</f>
        <v>ACCY6104/TC/Jul</v>
      </c>
      <c r="J31" t="b">
        <v>0</v>
      </c>
      <c r="K31" t="s">
        <v>16</v>
      </c>
      <c r="L31" t="str">
        <f>tblCourse[[#This Row],[CourseTitle]]&amp;"  -  "&amp;tblCourse[[#This Row],[Ccampus]]&amp;"  -  "&amp;tblCourse[[#This Row],[CIntake]]</f>
        <v>Introduction to Finance  -  Palmerston Rd  -  Jul</v>
      </c>
      <c r="M31" t="str">
        <f>tblCourse[[#This Row],[ProgFullCode]]&amp;"/1"</f>
        <v>BoA/SS/Feb/1</v>
      </c>
      <c r="N31" t="str">
        <f>INDEX(Programmes!G:G,MATCH(tblCourse[[#This Row],[ProgNumb]],Programmes!A:A,))</f>
        <v>BoA/SS/Feb</v>
      </c>
      <c r="O31" t="str">
        <f>tblCourse[[#This Row],[CourseCode]]&amp;"/"&amp;tblCourse[[#This Row],[Ccampus]]&amp;"/"&amp;tblCourse[[#This Row],[CIntake]]</f>
        <v>ACCY6104/Palmerston Rd/Jul</v>
      </c>
    </row>
    <row r="32" spans="1:15">
      <c r="A32">
        <v>100042</v>
      </c>
      <c r="B32" t="s">
        <v>112</v>
      </c>
      <c r="C32" t="s">
        <v>113</v>
      </c>
      <c r="D32" t="str">
        <f>INDEX(tblCampus[CampusCode], MATCH(tblCourse[[#This Row],[Ccampus]], tblCampus[CampusName], 0))</f>
        <v>HB</v>
      </c>
      <c r="E32" t="s">
        <v>14</v>
      </c>
      <c r="F32">
        <v>100001</v>
      </c>
      <c r="G32" t="s">
        <v>71</v>
      </c>
      <c r="H32" t="s">
        <v>11</v>
      </c>
      <c r="I32" t="str">
        <f>tblCourse[[#This Row],[CourseCode]]&amp;"/"&amp;tblCourse[[#This Row],[CRegion]]&amp;"/"&amp;tblCourse[[#This Row],[CIntake]]</f>
        <v>ACCY6105/HB/Feb</v>
      </c>
      <c r="J32" t="b">
        <v>0</v>
      </c>
      <c r="K32" t="s">
        <v>15</v>
      </c>
      <c r="L32" t="str">
        <f>tblCourse[[#This Row],[CourseTitle]]&amp;"  -  "&amp;tblCourse[[#This Row],[Ccampus]]&amp;"  -  "&amp;tblCourse[[#This Row],[CIntake]]</f>
        <v>Data Analytics  -  Taradale  -  Feb</v>
      </c>
      <c r="M32" t="str">
        <f>tblCourse[[#This Row],[ProgFullCode]]&amp;"/1"</f>
        <v>BoA/HB/Feb/1</v>
      </c>
      <c r="N32" t="str">
        <f>INDEX(Programmes!G:G,MATCH(tblCourse[[#This Row],[ProgNumb]],Programmes!A:A,))</f>
        <v>BoA/HB/Feb</v>
      </c>
      <c r="O32" t="str">
        <f>tblCourse[[#This Row],[CourseCode]]&amp;"/"&amp;tblCourse[[#This Row],[Ccampus]]&amp;"/"&amp;tblCourse[[#This Row],[CIntake]]</f>
        <v>ACCY6105/Taradale/Feb</v>
      </c>
    </row>
    <row r="33" spans="1:15">
      <c r="A33">
        <v>100059</v>
      </c>
      <c r="B33" t="s">
        <v>112</v>
      </c>
      <c r="C33" t="s">
        <v>113</v>
      </c>
      <c r="D33" t="str">
        <f>INDEX(tblCampus[CampusCode], MATCH(tblCourse[[#This Row],[Ccampus]], tblCampus[CampusName], 0))</f>
        <v>HB</v>
      </c>
      <c r="E33" t="s">
        <v>20</v>
      </c>
      <c r="F33">
        <v>100001</v>
      </c>
      <c r="G33" t="s">
        <v>71</v>
      </c>
      <c r="H33" t="s">
        <v>11</v>
      </c>
      <c r="I33" t="str">
        <f>tblCourse[[#This Row],[CourseCode]]&amp;"/"&amp;tblCourse[[#This Row],[CRegion]]&amp;"/"&amp;tblCourse[[#This Row],[CIntake]]</f>
        <v>ACCY6105/HB/Jul</v>
      </c>
      <c r="J33" t="b">
        <v>0</v>
      </c>
      <c r="K33" t="s">
        <v>15</v>
      </c>
      <c r="L33" t="str">
        <f>tblCourse[[#This Row],[CourseTitle]]&amp;"  -  "&amp;tblCourse[[#This Row],[Ccampus]]&amp;"  -  "&amp;tblCourse[[#This Row],[CIntake]]</f>
        <v>Data Analytics  -  Taradale  -  Jul</v>
      </c>
      <c r="M33" t="str">
        <f>tblCourse[[#This Row],[ProgFullCode]]&amp;"/1"</f>
        <v>BoA/HB/Feb/1</v>
      </c>
      <c r="N33" t="str">
        <f>INDEX(Programmes!G:G,MATCH(tblCourse[[#This Row],[ProgNumb]],Programmes!A:A,))</f>
        <v>BoA/HB/Feb</v>
      </c>
      <c r="O33" t="str">
        <f>tblCourse[[#This Row],[CourseCode]]&amp;"/"&amp;tblCourse[[#This Row],[Ccampus]]&amp;"/"&amp;tblCourse[[#This Row],[CIntake]]</f>
        <v>ACCY6105/Taradale/Jul</v>
      </c>
    </row>
    <row r="34" spans="1:15">
      <c r="A34">
        <v>100046</v>
      </c>
      <c r="B34" t="s">
        <v>112</v>
      </c>
      <c r="C34" t="s">
        <v>113</v>
      </c>
      <c r="D34" t="str">
        <f>INDEX(tblCampus[CampusCode], MATCH(tblCourse[[#This Row],[Ccampus]], tblCampus[CampusName], 0))</f>
        <v>TC</v>
      </c>
      <c r="E34" t="s">
        <v>14</v>
      </c>
      <c r="F34">
        <v>100002</v>
      </c>
      <c r="G34" t="s">
        <v>71</v>
      </c>
      <c r="H34" t="s">
        <v>11</v>
      </c>
      <c r="I34" t="str">
        <f>tblCourse[[#This Row],[CourseCode]]&amp;"/"&amp;tblCourse[[#This Row],[CRegion]]&amp;"/"&amp;tblCourse[[#This Row],[CIntake]]</f>
        <v>ACCY6105/TC/Feb</v>
      </c>
      <c r="J34" t="b">
        <v>0</v>
      </c>
      <c r="K34" t="s">
        <v>16</v>
      </c>
      <c r="L34" t="str">
        <f>tblCourse[[#This Row],[CourseTitle]]&amp;"  -  "&amp;tblCourse[[#This Row],[Ccampus]]&amp;"  -  "&amp;tblCourse[[#This Row],[CIntake]]</f>
        <v>Data Analytics  -  Palmerston Rd  -  Feb</v>
      </c>
      <c r="M34" t="str">
        <f>tblCourse[[#This Row],[ProgFullCode]]&amp;"/1"</f>
        <v>BoA/SS/Feb/1</v>
      </c>
      <c r="N34" t="str">
        <f>INDEX(Programmes!G:G,MATCH(tblCourse[[#This Row],[ProgNumb]],Programmes!A:A,))</f>
        <v>BoA/SS/Feb</v>
      </c>
      <c r="O34" t="str">
        <f>tblCourse[[#This Row],[CourseCode]]&amp;"/"&amp;tblCourse[[#This Row],[Ccampus]]&amp;"/"&amp;tblCourse[[#This Row],[CIntake]]</f>
        <v>ACCY6105/Palmerston Rd/Feb</v>
      </c>
    </row>
    <row r="35" spans="1:15">
      <c r="A35">
        <v>100043</v>
      </c>
      <c r="B35" t="s">
        <v>114</v>
      </c>
      <c r="C35" t="s">
        <v>115</v>
      </c>
      <c r="D35" t="str">
        <f>INDEX(tblCampus[CampusCode], MATCH(tblCourse[[#This Row],[Ccampus]], tblCampus[CampusName], 0))</f>
        <v>HB</v>
      </c>
      <c r="E35" t="s">
        <v>20</v>
      </c>
      <c r="F35">
        <v>100001</v>
      </c>
      <c r="G35" t="s">
        <v>71</v>
      </c>
      <c r="H35" t="s">
        <v>11</v>
      </c>
      <c r="I35" t="str">
        <f>tblCourse[[#This Row],[CourseCode]]&amp;"/"&amp;tblCourse[[#This Row],[CRegion]]&amp;"/"&amp;tblCourse[[#This Row],[CIntake]]</f>
        <v>ACCY6106/HB/Jul</v>
      </c>
      <c r="J35" t="b">
        <v>0</v>
      </c>
      <c r="K35" t="s">
        <v>15</v>
      </c>
      <c r="L35" t="str">
        <f>tblCourse[[#This Row],[CourseTitle]]&amp;"  -  "&amp;tblCourse[[#This Row],[Ccampus]]&amp;"  -  "&amp;tblCourse[[#This Row],[CIntake]]</f>
        <v>Law of Business Entities  -  Taradale  -  Jul</v>
      </c>
      <c r="M35" t="str">
        <f>tblCourse[[#This Row],[ProgFullCode]]&amp;"/1"</f>
        <v>BoA/HB/Feb/1</v>
      </c>
      <c r="N35" t="str">
        <f>INDEX(Programmes!G:G,MATCH(tblCourse[[#This Row],[ProgNumb]],Programmes!A:A,))</f>
        <v>BoA/HB/Feb</v>
      </c>
      <c r="O35" t="str">
        <f>tblCourse[[#This Row],[CourseCode]]&amp;"/"&amp;tblCourse[[#This Row],[Ccampus]]&amp;"/"&amp;tblCourse[[#This Row],[CIntake]]</f>
        <v>ACCY6106/Taradale/Jul</v>
      </c>
    </row>
    <row r="36" spans="1:15">
      <c r="A36">
        <v>100028</v>
      </c>
      <c r="B36" t="s">
        <v>116</v>
      </c>
      <c r="C36" t="s">
        <v>115</v>
      </c>
      <c r="D36" t="str">
        <f>INDEX(tblCampus[CampusCode], MATCH(tblCourse[[#This Row],[Ccampus]], tblCampus[CampusName], 0))</f>
        <v>TC</v>
      </c>
      <c r="E36" t="s">
        <v>20</v>
      </c>
      <c r="F36">
        <v>100002</v>
      </c>
      <c r="G36" t="s">
        <v>71</v>
      </c>
      <c r="H36" t="s">
        <v>11</v>
      </c>
      <c r="I36" t="str">
        <f>tblCourse[[#This Row],[CourseCode]]&amp;"/"&amp;tblCourse[[#This Row],[CRegion]]&amp;"/"&amp;tblCourse[[#This Row],[CIntake]]</f>
        <v>ACCY6106/TC/Jul</v>
      </c>
      <c r="J36" t="b">
        <v>0</v>
      </c>
      <c r="K36" t="s">
        <v>16</v>
      </c>
      <c r="L36" t="str">
        <f>tblCourse[[#This Row],[CourseTitle]]&amp;"  -  "&amp;tblCourse[[#This Row],[Ccampus]]&amp;"  -  "&amp;tblCourse[[#This Row],[CIntake]]</f>
        <v>Law of Business Entiities  -  Palmerston Rd  -  Jul</v>
      </c>
      <c r="M36" t="str">
        <f>tblCourse[[#This Row],[ProgFullCode]]&amp;"/1"</f>
        <v>BoA/SS/Feb/1</v>
      </c>
      <c r="N36" t="str">
        <f>INDEX(Programmes!G:G,MATCH(tblCourse[[#This Row],[ProgNumb]],Programmes!A:A,))</f>
        <v>BoA/SS/Feb</v>
      </c>
      <c r="O36" t="str">
        <f>tblCourse[[#This Row],[CourseCode]]&amp;"/"&amp;tblCourse[[#This Row],[Ccampus]]&amp;"/"&amp;tblCourse[[#This Row],[CIntake]]</f>
        <v>ACCY6106/Palmerston Rd/Jul</v>
      </c>
    </row>
    <row r="37" spans="1:15">
      <c r="A37">
        <v>100044</v>
      </c>
      <c r="B37" t="s">
        <v>117</v>
      </c>
      <c r="C37" t="s">
        <v>118</v>
      </c>
      <c r="D37" t="str">
        <f>INDEX(tblCampus[CampusCode], MATCH(tblCourse[[#This Row],[Ccampus]], tblCampus[CampusName], 0))</f>
        <v>HB</v>
      </c>
      <c r="E37" t="s">
        <v>20</v>
      </c>
      <c r="F37">
        <v>100001</v>
      </c>
      <c r="G37" t="s">
        <v>71</v>
      </c>
      <c r="H37" t="s">
        <v>11</v>
      </c>
      <c r="I37" t="str">
        <f>tblCourse[[#This Row],[CourseCode]]&amp;"/"&amp;tblCourse[[#This Row],[CRegion]]&amp;"/"&amp;tblCourse[[#This Row],[CIntake]]</f>
        <v>ACCY6107/HB/Jul</v>
      </c>
      <c r="J37" t="b">
        <v>0</v>
      </c>
      <c r="K37" t="s">
        <v>15</v>
      </c>
      <c r="L37" t="str">
        <f>tblCourse[[#This Row],[CourseTitle]]&amp;"  -  "&amp;tblCourse[[#This Row],[Ccampus]]&amp;"  -  "&amp;tblCourse[[#This Row],[CIntake]]</f>
        <v>Research Methods  -  Taradale  -  Jul</v>
      </c>
      <c r="M37" t="str">
        <f>tblCourse[[#This Row],[ProgFullCode]]&amp;"/1"</f>
        <v>BoA/HB/Feb/1</v>
      </c>
      <c r="N37" t="str">
        <f>INDEX(Programmes!G:G,MATCH(tblCourse[[#This Row],[ProgNumb]],Programmes!A:A,))</f>
        <v>BoA/HB/Feb</v>
      </c>
      <c r="O37" t="str">
        <f>tblCourse[[#This Row],[CourseCode]]&amp;"/"&amp;tblCourse[[#This Row],[Ccampus]]&amp;"/"&amp;tblCourse[[#This Row],[CIntake]]</f>
        <v>ACCY6107/Taradale/Jul</v>
      </c>
    </row>
    <row r="38" spans="1:15">
      <c r="A38">
        <v>100030</v>
      </c>
      <c r="B38" t="s">
        <v>117</v>
      </c>
      <c r="C38" t="s">
        <v>118</v>
      </c>
      <c r="D38" t="str">
        <f>INDEX(tblCampus[CampusCode], MATCH(tblCourse[[#This Row],[Ccampus]], tblCampus[CampusName], 0))</f>
        <v>TC</v>
      </c>
      <c r="E38" t="s">
        <v>20</v>
      </c>
      <c r="F38">
        <v>100002</v>
      </c>
      <c r="G38" t="s">
        <v>71</v>
      </c>
      <c r="H38" t="s">
        <v>11</v>
      </c>
      <c r="I38" t="str">
        <f>tblCourse[[#This Row],[CourseCode]]&amp;"/"&amp;tblCourse[[#This Row],[CRegion]]&amp;"/"&amp;tblCourse[[#This Row],[CIntake]]</f>
        <v>ACCY6107/TC/Jul</v>
      </c>
      <c r="J38" t="b">
        <v>0</v>
      </c>
      <c r="K38" t="s">
        <v>16</v>
      </c>
      <c r="L38" t="str">
        <f>tblCourse[[#This Row],[CourseTitle]]&amp;"  -  "&amp;tblCourse[[#This Row],[Ccampus]]&amp;"  -  "&amp;tblCourse[[#This Row],[CIntake]]</f>
        <v>Research Methods  -  Palmerston Rd  -  Jul</v>
      </c>
      <c r="M38" t="str">
        <f>tblCourse[[#This Row],[ProgFullCode]]&amp;"/1"</f>
        <v>BoA/SS/Feb/1</v>
      </c>
      <c r="N38" t="str">
        <f>INDEX(Programmes!G:G,MATCH(tblCourse[[#This Row],[ProgNumb]],Programmes!A:A,))</f>
        <v>BoA/SS/Feb</v>
      </c>
      <c r="O38" t="str">
        <f>tblCourse[[#This Row],[CourseCode]]&amp;"/"&amp;tblCourse[[#This Row],[Ccampus]]&amp;"/"&amp;tblCourse[[#This Row],[CIntake]]</f>
        <v>ACCY6107/Palmerston Rd/Jul</v>
      </c>
    </row>
    <row r="39" spans="1:15">
      <c r="A39">
        <v>100045</v>
      </c>
      <c r="B39" t="s">
        <v>119</v>
      </c>
      <c r="C39" t="s">
        <v>120</v>
      </c>
      <c r="D39" t="str">
        <f>INDEX(tblCampus[CampusCode], MATCH(tblCourse[[#This Row],[Ccampus]], tblCampus[CampusName], 0))</f>
        <v>HB</v>
      </c>
      <c r="E39" t="s">
        <v>14</v>
      </c>
      <c r="F39">
        <v>100001</v>
      </c>
      <c r="G39" t="s">
        <v>71</v>
      </c>
      <c r="H39" t="s">
        <v>11</v>
      </c>
      <c r="I39" t="str">
        <f>tblCourse[[#This Row],[CourseCode]]&amp;"/"&amp;tblCourse[[#This Row],[CRegion]]&amp;"/"&amp;tblCourse[[#This Row],[CIntake]]</f>
        <v>ACCY6108/HB/Feb</v>
      </c>
      <c r="J39" t="b">
        <v>0</v>
      </c>
      <c r="K39" t="s">
        <v>15</v>
      </c>
      <c r="L39" t="str">
        <f>tblCourse[[#This Row],[CourseTitle]]&amp;"  -  "&amp;tblCourse[[#This Row],[Ccampus]]&amp;"  -  "&amp;tblCourse[[#This Row],[CIntake]]</f>
        <v>Accounting Information Systems  -  Taradale  -  Feb</v>
      </c>
      <c r="M39" t="str">
        <f>tblCourse[[#This Row],[ProgFullCode]]&amp;"/1"</f>
        <v>BoA/HB/Feb/1</v>
      </c>
      <c r="N39" t="str">
        <f>INDEX(Programmes!G:G,MATCH(tblCourse[[#This Row],[ProgNumb]],Programmes!A:A,))</f>
        <v>BoA/HB/Feb</v>
      </c>
      <c r="O39" t="str">
        <f>tblCourse[[#This Row],[CourseCode]]&amp;"/"&amp;tblCourse[[#This Row],[Ccampus]]&amp;"/"&amp;tblCourse[[#This Row],[CIntake]]</f>
        <v>ACCY6108/Taradale/Feb</v>
      </c>
    </row>
    <row r="40" spans="1:15">
      <c r="A40">
        <v>100032</v>
      </c>
      <c r="B40" t="s">
        <v>119</v>
      </c>
      <c r="C40" t="s">
        <v>120</v>
      </c>
      <c r="D40" t="str">
        <f>INDEX(tblCampus[CampusCode], MATCH(tblCourse[[#This Row],[Ccampus]], tblCampus[CampusName], 0))</f>
        <v>TC</v>
      </c>
      <c r="E40" t="s">
        <v>14</v>
      </c>
      <c r="F40">
        <v>100002</v>
      </c>
      <c r="G40" t="s">
        <v>71</v>
      </c>
      <c r="H40" t="s">
        <v>11</v>
      </c>
      <c r="I40" t="str">
        <f>tblCourse[[#This Row],[CourseCode]]&amp;"/"&amp;tblCourse[[#This Row],[CRegion]]&amp;"/"&amp;tblCourse[[#This Row],[CIntake]]</f>
        <v>ACCY6108/TC/Feb</v>
      </c>
      <c r="J40" t="b">
        <v>0</v>
      </c>
      <c r="K40" t="s">
        <v>16</v>
      </c>
      <c r="L40" t="str">
        <f>tblCourse[[#This Row],[CourseTitle]]&amp;"  -  "&amp;tblCourse[[#This Row],[Ccampus]]&amp;"  -  "&amp;tblCourse[[#This Row],[CIntake]]</f>
        <v>Accounting Information Systems  -  Palmerston Rd  -  Feb</v>
      </c>
      <c r="M40" t="str">
        <f>tblCourse[[#This Row],[ProgFullCode]]&amp;"/1"</f>
        <v>BoA/SS/Feb/1</v>
      </c>
      <c r="N40" t="str">
        <f>INDEX(Programmes!G:G,MATCH(tblCourse[[#This Row],[ProgNumb]],Programmes!A:A,))</f>
        <v>BoA/SS/Feb</v>
      </c>
      <c r="O40" t="str">
        <f>tblCourse[[#This Row],[CourseCode]]&amp;"/"&amp;tblCourse[[#This Row],[Ccampus]]&amp;"/"&amp;tblCourse[[#This Row],[CIntake]]</f>
        <v>ACCY6108/Palmerston Rd/Feb</v>
      </c>
    </row>
    <row r="41" spans="1:15">
      <c r="A41">
        <v>100047</v>
      </c>
      <c r="B41" t="s">
        <v>121</v>
      </c>
      <c r="C41" t="s">
        <v>122</v>
      </c>
      <c r="D41" t="str">
        <f>INDEX(tblCampus[CampusCode], MATCH(tblCourse[[#This Row],[Ccampus]], tblCampus[CampusName], 0))</f>
        <v>HB</v>
      </c>
      <c r="E41" t="s">
        <v>20</v>
      </c>
      <c r="F41">
        <v>100001</v>
      </c>
      <c r="G41" t="s">
        <v>71</v>
      </c>
      <c r="H41" t="s">
        <v>11</v>
      </c>
      <c r="I41" t="str">
        <f>tblCourse[[#This Row],[CourseCode]]&amp;"/"&amp;tblCourse[[#This Row],[CRegion]]&amp;"/"&amp;tblCourse[[#This Row],[CIntake]]</f>
        <v>ACCY7101/HB/Jul</v>
      </c>
      <c r="J41" t="b">
        <v>0</v>
      </c>
      <c r="K41" t="s">
        <v>15</v>
      </c>
      <c r="L41" t="str">
        <f>tblCourse[[#This Row],[CourseTitle]]&amp;"  -  "&amp;tblCourse[[#This Row],[Ccampus]]&amp;"  -  "&amp;tblCourse[[#This Row],[CIntake]]</f>
        <v>Advanced Management Accounting  -  Taradale  -  Jul</v>
      </c>
      <c r="M41" t="str">
        <f>tblCourse[[#This Row],[ProgFullCode]]&amp;"/1"</f>
        <v>BoA/HB/Feb/1</v>
      </c>
      <c r="N41" t="str">
        <f>INDEX(Programmes!G:G,MATCH(tblCourse[[#This Row],[ProgNumb]],Programmes!A:A,))</f>
        <v>BoA/HB/Feb</v>
      </c>
      <c r="O41" t="str">
        <f>tblCourse[[#This Row],[CourseCode]]&amp;"/"&amp;tblCourse[[#This Row],[Ccampus]]&amp;"/"&amp;tblCourse[[#This Row],[CIntake]]</f>
        <v>ACCY7101/Taradale/Jul</v>
      </c>
    </row>
    <row r="42" spans="1:15">
      <c r="A42">
        <v>100052</v>
      </c>
      <c r="B42" t="s">
        <v>121</v>
      </c>
      <c r="C42" t="s">
        <v>122</v>
      </c>
      <c r="D42" t="str">
        <f>INDEX(tblCampus[CampusCode], MATCH(tblCourse[[#This Row],[Ccampus]], tblCampus[CampusName], 0))</f>
        <v>TC</v>
      </c>
      <c r="E42" t="s">
        <v>20</v>
      </c>
      <c r="F42">
        <v>100002</v>
      </c>
      <c r="G42" t="s">
        <v>71</v>
      </c>
      <c r="H42" t="s">
        <v>11</v>
      </c>
      <c r="I42" t="str">
        <f>tblCourse[[#This Row],[CourseCode]]&amp;"/"&amp;tblCourse[[#This Row],[CRegion]]&amp;"/"&amp;tblCourse[[#This Row],[CIntake]]</f>
        <v>ACCY7101/TC/Jul</v>
      </c>
      <c r="J42" t="b">
        <v>0</v>
      </c>
      <c r="K42" t="s">
        <v>16</v>
      </c>
      <c r="L42" t="str">
        <f>tblCourse[[#This Row],[CourseTitle]]&amp;"  -  "&amp;tblCourse[[#This Row],[Ccampus]]&amp;"  -  "&amp;tblCourse[[#This Row],[CIntake]]</f>
        <v>Advanced Management Accounting  -  Palmerston Rd  -  Jul</v>
      </c>
      <c r="M42" t="str">
        <f>tblCourse[[#This Row],[ProgFullCode]]&amp;"/1"</f>
        <v>BoA/SS/Feb/1</v>
      </c>
      <c r="N42" t="str">
        <f>INDEX(Programmes!G:G,MATCH(tblCourse[[#This Row],[ProgNumb]],Programmes!A:A,))</f>
        <v>BoA/SS/Feb</v>
      </c>
      <c r="O42" t="str">
        <f>tblCourse[[#This Row],[CourseCode]]&amp;"/"&amp;tblCourse[[#This Row],[Ccampus]]&amp;"/"&amp;tblCourse[[#This Row],[CIntake]]</f>
        <v>ACCY7101/Palmerston Rd/Jul</v>
      </c>
    </row>
    <row r="43" spans="1:15">
      <c r="A43">
        <v>100048</v>
      </c>
      <c r="B43" t="s">
        <v>123</v>
      </c>
      <c r="C43" t="s">
        <v>124</v>
      </c>
      <c r="D43" t="str">
        <f>INDEX(tblCampus[CampusCode], MATCH(tblCourse[[#This Row],[Ccampus]], tblCampus[CampusName], 0))</f>
        <v>HB</v>
      </c>
      <c r="E43" t="s">
        <v>14</v>
      </c>
      <c r="F43">
        <v>100001</v>
      </c>
      <c r="G43" t="s">
        <v>71</v>
      </c>
      <c r="H43" t="s">
        <v>11</v>
      </c>
      <c r="I43" t="str">
        <f>tblCourse[[#This Row],[CourseCode]]&amp;"/"&amp;tblCourse[[#This Row],[CRegion]]&amp;"/"&amp;tblCourse[[#This Row],[CIntake]]</f>
        <v>ACCY7102/HB/Feb</v>
      </c>
      <c r="J43" t="b">
        <v>0</v>
      </c>
      <c r="K43" t="s">
        <v>15</v>
      </c>
      <c r="L43" t="str">
        <f>tblCourse[[#This Row],[CourseTitle]]&amp;"  -  "&amp;tblCourse[[#This Row],[Ccampus]]&amp;"  -  "&amp;tblCourse[[#This Row],[CIntake]]</f>
        <v>Advanced Financial Accounting  -  Taradale  -  Feb</v>
      </c>
      <c r="M43" t="str">
        <f>tblCourse[[#This Row],[ProgFullCode]]&amp;"/1"</f>
        <v>BoA/HB/Feb/1</v>
      </c>
      <c r="N43" t="str">
        <f>INDEX(Programmes!G:G,MATCH(tblCourse[[#This Row],[ProgNumb]],Programmes!A:A,))</f>
        <v>BoA/HB/Feb</v>
      </c>
      <c r="O43" t="str">
        <f>tblCourse[[#This Row],[CourseCode]]&amp;"/"&amp;tblCourse[[#This Row],[Ccampus]]&amp;"/"&amp;tblCourse[[#This Row],[CIntake]]</f>
        <v>ACCY7102/Taradale/Feb</v>
      </c>
    </row>
    <row r="44" spans="1:15">
      <c r="A44">
        <v>100053</v>
      </c>
      <c r="B44" t="s">
        <v>123</v>
      </c>
      <c r="C44" t="s">
        <v>124</v>
      </c>
      <c r="D44" t="str">
        <f>INDEX(tblCampus[CampusCode], MATCH(tblCourse[[#This Row],[Ccampus]], tblCampus[CampusName], 0))</f>
        <v>TC</v>
      </c>
      <c r="E44" t="s">
        <v>14</v>
      </c>
      <c r="F44">
        <v>100002</v>
      </c>
      <c r="G44" t="s">
        <v>71</v>
      </c>
      <c r="H44" t="s">
        <v>11</v>
      </c>
      <c r="I44" t="str">
        <f>tblCourse[[#This Row],[CourseCode]]&amp;"/"&amp;tblCourse[[#This Row],[CRegion]]&amp;"/"&amp;tblCourse[[#This Row],[CIntake]]</f>
        <v>ACCY7102/TC/Feb</v>
      </c>
      <c r="J44" t="b">
        <v>0</v>
      </c>
      <c r="K44" t="s">
        <v>16</v>
      </c>
      <c r="L44" t="str">
        <f>tblCourse[[#This Row],[CourseTitle]]&amp;"  -  "&amp;tblCourse[[#This Row],[Ccampus]]&amp;"  -  "&amp;tblCourse[[#This Row],[CIntake]]</f>
        <v>Advanced Financial Accounting  -  Palmerston Rd  -  Feb</v>
      </c>
      <c r="M44" t="str">
        <f>tblCourse[[#This Row],[ProgFullCode]]&amp;"/1"</f>
        <v>BoA/SS/Feb/1</v>
      </c>
      <c r="N44" t="str">
        <f>INDEX(Programmes!G:G,MATCH(tblCourse[[#This Row],[ProgNumb]],Programmes!A:A,))</f>
        <v>BoA/SS/Feb</v>
      </c>
      <c r="O44" t="str">
        <f>tblCourse[[#This Row],[CourseCode]]&amp;"/"&amp;tblCourse[[#This Row],[Ccampus]]&amp;"/"&amp;tblCourse[[#This Row],[CIntake]]</f>
        <v>ACCY7102/Palmerston Rd/Feb</v>
      </c>
    </row>
    <row r="45" spans="1:15">
      <c r="A45">
        <v>100049</v>
      </c>
      <c r="B45" t="s">
        <v>125</v>
      </c>
      <c r="C45" t="s">
        <v>126</v>
      </c>
      <c r="D45" t="str">
        <f>INDEX(tblCampus[CampusCode], MATCH(tblCourse[[#This Row],[Ccampus]], tblCampus[CampusName], 0))</f>
        <v>HB</v>
      </c>
      <c r="E45" t="s">
        <v>20</v>
      </c>
      <c r="F45">
        <v>100001</v>
      </c>
      <c r="G45" t="s">
        <v>71</v>
      </c>
      <c r="H45" t="s">
        <v>11</v>
      </c>
      <c r="I45" t="str">
        <f>tblCourse[[#This Row],[CourseCode]]&amp;"/"&amp;tblCourse[[#This Row],[CRegion]]&amp;"/"&amp;tblCourse[[#This Row],[CIntake]]</f>
        <v>ACCY7103/HB/Jul</v>
      </c>
      <c r="J45" t="b">
        <v>0</v>
      </c>
      <c r="K45" t="s">
        <v>15</v>
      </c>
      <c r="L45" t="str">
        <f>tblCourse[[#This Row],[CourseTitle]]&amp;"  -  "&amp;tblCourse[[#This Row],[Ccampus]]&amp;"  -  "&amp;tblCourse[[#This Row],[CIntake]]</f>
        <v>Audit and Assurance  -  Taradale  -  Jul</v>
      </c>
      <c r="M45" t="str">
        <f>tblCourse[[#This Row],[ProgFullCode]]&amp;"/1"</f>
        <v>BoA/HB/Feb/1</v>
      </c>
      <c r="N45" t="str">
        <f>INDEX(Programmes!G:G,MATCH(tblCourse[[#This Row],[ProgNumb]],Programmes!A:A,))</f>
        <v>BoA/HB/Feb</v>
      </c>
      <c r="O45" t="str">
        <f>tblCourse[[#This Row],[CourseCode]]&amp;"/"&amp;tblCourse[[#This Row],[Ccampus]]&amp;"/"&amp;tblCourse[[#This Row],[CIntake]]</f>
        <v>ACCY7103/Taradale/Jul</v>
      </c>
    </row>
    <row r="46" spans="1:15">
      <c r="A46">
        <v>100054</v>
      </c>
      <c r="B46" t="s">
        <v>125</v>
      </c>
      <c r="C46" t="s">
        <v>126</v>
      </c>
      <c r="D46" t="str">
        <f>INDEX(tblCampus[CampusCode], MATCH(tblCourse[[#This Row],[Ccampus]], tblCampus[CampusName], 0))</f>
        <v>TC</v>
      </c>
      <c r="E46" t="s">
        <v>20</v>
      </c>
      <c r="F46">
        <v>100002</v>
      </c>
      <c r="G46" t="s">
        <v>71</v>
      </c>
      <c r="H46" t="s">
        <v>11</v>
      </c>
      <c r="I46" t="str">
        <f>tblCourse[[#This Row],[CourseCode]]&amp;"/"&amp;tblCourse[[#This Row],[CRegion]]&amp;"/"&amp;tblCourse[[#This Row],[CIntake]]</f>
        <v>ACCY7103/TC/Jul</v>
      </c>
      <c r="J46" t="b">
        <v>0</v>
      </c>
      <c r="K46" t="s">
        <v>16</v>
      </c>
      <c r="L46" t="str">
        <f>tblCourse[[#This Row],[CourseTitle]]&amp;"  -  "&amp;tblCourse[[#This Row],[Ccampus]]&amp;"  -  "&amp;tblCourse[[#This Row],[CIntake]]</f>
        <v>Audit and Assurance  -  Palmerston Rd  -  Jul</v>
      </c>
      <c r="M46" t="str">
        <f>tblCourse[[#This Row],[ProgFullCode]]&amp;"/1"</f>
        <v>BoA/SS/Feb/1</v>
      </c>
      <c r="N46" t="str">
        <f>INDEX(Programmes!G:G,MATCH(tblCourse[[#This Row],[ProgNumb]],Programmes!A:A,))</f>
        <v>BoA/SS/Feb</v>
      </c>
      <c r="O46" t="str">
        <f>tblCourse[[#This Row],[CourseCode]]&amp;"/"&amp;tblCourse[[#This Row],[Ccampus]]&amp;"/"&amp;tblCourse[[#This Row],[CIntake]]</f>
        <v>ACCY7103/Palmerston Rd/Jul</v>
      </c>
    </row>
    <row r="47" spans="1:15">
      <c r="A47">
        <v>613</v>
      </c>
      <c r="B47" t="s">
        <v>127</v>
      </c>
      <c r="C47" t="s">
        <v>128</v>
      </c>
      <c r="D47" t="str">
        <f>INDEX(tblCampus[CampusCode], MATCH(tblCourse[[#This Row],[Ccampus]], tblCampus[CampusName], 0))</f>
        <v>HB</v>
      </c>
      <c r="E47" t="s">
        <v>14</v>
      </c>
      <c r="F47">
        <v>82</v>
      </c>
      <c r="G47" t="s">
        <v>71</v>
      </c>
      <c r="H47" t="s">
        <v>11</v>
      </c>
      <c r="I47" t="str">
        <f>tblCourse[[#This Row],[CourseCode]]&amp;"/"&amp;tblCourse[[#This Row],[CRegion]]&amp;"/"&amp;tblCourse[[#This Row],[CIntake]]</f>
        <v>BSNS5001/HB/Feb</v>
      </c>
      <c r="J47" t="b">
        <v>0</v>
      </c>
      <c r="K47" t="s">
        <v>15</v>
      </c>
      <c r="L47" t="str">
        <f>tblCourse[[#This Row],[CourseTitle]]&amp;"  -  "&amp;tblCourse[[#This Row],[Ccampus]]&amp;"  -  "&amp;tblCourse[[#This Row],[CIntake]]</f>
        <v>Organisations in an Aotearoa New Zealand  -  Taradale  -  Feb</v>
      </c>
      <c r="M47" t="str">
        <f>tblCourse[[#This Row],[ProgFullCode]]&amp;"/1"</f>
        <v>NZDB/HB/Feb/1</v>
      </c>
      <c r="N47" t="str">
        <f>INDEX(Programmes!G:G,MATCH(tblCourse[[#This Row],[ProgNumb]],Programmes!A:A,))</f>
        <v>NZDB/HB/Feb</v>
      </c>
      <c r="O47" t="str">
        <f>tblCourse[[#This Row],[CourseCode]]&amp;"/"&amp;tblCourse[[#This Row],[Ccampus]]&amp;"/"&amp;tblCourse[[#This Row],[CIntake]]</f>
        <v>BSNS5001/Taradale/Feb</v>
      </c>
    </row>
    <row r="48" spans="1:15">
      <c r="A48">
        <v>614</v>
      </c>
      <c r="B48" t="s">
        <v>127</v>
      </c>
      <c r="C48" t="s">
        <v>128</v>
      </c>
      <c r="D48" t="str">
        <f>INDEX(tblCampus[CampusCode], MATCH(tblCourse[[#This Row],[Ccampus]], tblCampus[CampusName], 0))</f>
        <v>HB</v>
      </c>
      <c r="E48" t="s">
        <v>20</v>
      </c>
      <c r="F48">
        <v>82</v>
      </c>
      <c r="G48" t="s">
        <v>71</v>
      </c>
      <c r="H48" t="s">
        <v>11</v>
      </c>
      <c r="I48" t="str">
        <f>tblCourse[[#This Row],[CourseCode]]&amp;"/"&amp;tblCourse[[#This Row],[CRegion]]&amp;"/"&amp;tblCourse[[#This Row],[CIntake]]</f>
        <v>BSNS5001/HB/Jul</v>
      </c>
      <c r="J48" t="b">
        <v>0</v>
      </c>
      <c r="K48" t="s">
        <v>15</v>
      </c>
      <c r="L48" t="str">
        <f>tblCourse[[#This Row],[CourseTitle]]&amp;"  -  "&amp;tblCourse[[#This Row],[Ccampus]]&amp;"  -  "&amp;tblCourse[[#This Row],[CIntake]]</f>
        <v>Organisations in an Aotearoa New Zealand  -  Taradale  -  Jul</v>
      </c>
      <c r="M48" t="str">
        <f>tblCourse[[#This Row],[ProgFullCode]]&amp;"/1"</f>
        <v>NZDB/HB/Feb/1</v>
      </c>
      <c r="N48" t="str">
        <f>INDEX(Programmes!G:G,MATCH(tblCourse[[#This Row],[ProgNumb]],Programmes!A:A,))</f>
        <v>NZDB/HB/Feb</v>
      </c>
      <c r="O48" t="str">
        <f>tblCourse[[#This Row],[CourseCode]]&amp;"/"&amp;tblCourse[[#This Row],[Ccampus]]&amp;"/"&amp;tblCourse[[#This Row],[CIntake]]</f>
        <v>BSNS5001/Taradale/Jul</v>
      </c>
    </row>
    <row r="49" spans="1:15">
      <c r="A49">
        <v>615</v>
      </c>
      <c r="B49" t="s">
        <v>127</v>
      </c>
      <c r="C49" t="s">
        <v>128</v>
      </c>
      <c r="D49" t="str">
        <f>INDEX(tblCampus[CampusCode], MATCH(tblCourse[[#This Row],[Ccampus]], tblCampus[CampusName], 0))</f>
        <v>TC</v>
      </c>
      <c r="E49" t="s">
        <v>20</v>
      </c>
      <c r="F49">
        <v>81</v>
      </c>
      <c r="G49" t="s">
        <v>71</v>
      </c>
      <c r="H49" t="s">
        <v>11</v>
      </c>
      <c r="I49" t="str">
        <f>tblCourse[[#This Row],[CourseCode]]&amp;"/"&amp;tblCourse[[#This Row],[CRegion]]&amp;"/"&amp;tblCourse[[#This Row],[CIntake]]</f>
        <v>BSNS5001/TC/Jul</v>
      </c>
      <c r="J49" t="b">
        <v>0</v>
      </c>
      <c r="K49" t="s">
        <v>16</v>
      </c>
      <c r="L49" t="str">
        <f>tblCourse[[#This Row],[CourseTitle]]&amp;"  -  "&amp;tblCourse[[#This Row],[Ccampus]]&amp;"  -  "&amp;tblCourse[[#This Row],[CIntake]]</f>
        <v>Organisations in an Aotearoa New Zealand  -  Palmerston Rd  -  Jul</v>
      </c>
      <c r="M49" t="str">
        <f>tblCourse[[#This Row],[ProgFullCode]]&amp;"/1"</f>
        <v>NZDB/TC/Feb/1</v>
      </c>
      <c r="N49" t="str">
        <f>INDEX(Programmes!G:G,MATCH(tblCourse[[#This Row],[ProgNumb]],Programmes!A:A,))</f>
        <v>NZDB/TC/Feb</v>
      </c>
      <c r="O49" t="str">
        <f>tblCourse[[#This Row],[CourseCode]]&amp;"/"&amp;tblCourse[[#This Row],[Ccampus]]&amp;"/"&amp;tblCourse[[#This Row],[CIntake]]</f>
        <v>BSNS5001/Palmerston Rd/Jul</v>
      </c>
    </row>
    <row r="50" spans="1:15">
      <c r="A50">
        <v>617</v>
      </c>
      <c r="B50" t="s">
        <v>129</v>
      </c>
      <c r="C50" t="s">
        <v>130</v>
      </c>
      <c r="D50" t="str">
        <f>INDEX(tblCampus[CampusCode], MATCH(tblCourse[[#This Row],[Ccampus]], tblCampus[CampusName], 0))</f>
        <v>HB</v>
      </c>
      <c r="E50" t="s">
        <v>14</v>
      </c>
      <c r="F50">
        <v>82</v>
      </c>
      <c r="G50" t="s">
        <v>71</v>
      </c>
      <c r="H50" t="s">
        <v>11</v>
      </c>
      <c r="I50" t="str">
        <f>tblCourse[[#This Row],[CourseCode]]&amp;"/"&amp;tblCourse[[#This Row],[CRegion]]&amp;"/"&amp;tblCourse[[#This Row],[CIntake]]</f>
        <v>BSNS5002/HB/Feb</v>
      </c>
      <c r="J50" t="b">
        <v>0</v>
      </c>
      <c r="K50" t="s">
        <v>15</v>
      </c>
      <c r="L50" t="str">
        <f>tblCourse[[#This Row],[CourseTitle]]&amp;"  -  "&amp;tblCourse[[#This Row],[Ccampus]]&amp;"  -  "&amp;tblCourse[[#This Row],[CIntake]]</f>
        <v>Business Environments  -  Taradale  -  Feb</v>
      </c>
      <c r="M50" t="str">
        <f>tblCourse[[#This Row],[ProgFullCode]]&amp;"/1"</f>
        <v>NZDB/HB/Feb/1</v>
      </c>
      <c r="N50" t="str">
        <f>INDEX(Programmes!G:G,MATCH(tblCourse[[#This Row],[ProgNumb]],Programmes!A:A,))</f>
        <v>NZDB/HB/Feb</v>
      </c>
      <c r="O50" t="str">
        <f>tblCourse[[#This Row],[CourseCode]]&amp;"/"&amp;tblCourse[[#This Row],[Ccampus]]&amp;"/"&amp;tblCourse[[#This Row],[CIntake]]</f>
        <v>BSNS5002/Taradale/Feb</v>
      </c>
    </row>
    <row r="51" spans="1:15">
      <c r="A51">
        <v>616</v>
      </c>
      <c r="B51" t="s">
        <v>129</v>
      </c>
      <c r="C51" t="s">
        <v>130</v>
      </c>
      <c r="D51" t="str">
        <f>INDEX(tblCampus[CampusCode], MATCH(tblCourse[[#This Row],[Ccampus]], tblCampus[CampusName], 0))</f>
        <v>HB</v>
      </c>
      <c r="E51" t="s">
        <v>20</v>
      </c>
      <c r="F51">
        <v>82</v>
      </c>
      <c r="G51" t="s">
        <v>71</v>
      </c>
      <c r="H51" t="s">
        <v>11</v>
      </c>
      <c r="I51" t="str">
        <f>tblCourse[[#This Row],[CourseCode]]&amp;"/"&amp;tblCourse[[#This Row],[CRegion]]&amp;"/"&amp;tblCourse[[#This Row],[CIntake]]</f>
        <v>BSNS5002/HB/Jul</v>
      </c>
      <c r="J51" t="b">
        <v>0</v>
      </c>
      <c r="K51" t="s">
        <v>15</v>
      </c>
      <c r="L51" t="str">
        <f>tblCourse[[#This Row],[CourseTitle]]&amp;"  -  "&amp;tblCourse[[#This Row],[Ccampus]]&amp;"  -  "&amp;tblCourse[[#This Row],[CIntake]]</f>
        <v>Business Environments  -  Taradale  -  Jul</v>
      </c>
      <c r="M51" t="str">
        <f>tblCourse[[#This Row],[ProgFullCode]]&amp;"/1"</f>
        <v>NZDB/HB/Feb/1</v>
      </c>
      <c r="N51" t="str">
        <f>INDEX(Programmes!G:G,MATCH(tblCourse[[#This Row],[ProgNumb]],Programmes!A:A,))</f>
        <v>NZDB/HB/Feb</v>
      </c>
      <c r="O51" t="str">
        <f>tblCourse[[#This Row],[CourseCode]]&amp;"/"&amp;tblCourse[[#This Row],[Ccampus]]&amp;"/"&amp;tblCourse[[#This Row],[CIntake]]</f>
        <v>BSNS5002/Taradale/Jul</v>
      </c>
    </row>
    <row r="52" spans="1:15">
      <c r="A52">
        <v>568</v>
      </c>
      <c r="B52" t="s">
        <v>131</v>
      </c>
      <c r="C52" t="s">
        <v>130</v>
      </c>
      <c r="D52" t="str">
        <f>INDEX(tblCampus[CampusCode], MATCH(tblCourse[[#This Row],[Ccampus]], tblCampus[CampusName], 0))</f>
        <v>TC</v>
      </c>
      <c r="E52" t="s">
        <v>14</v>
      </c>
      <c r="F52">
        <v>81</v>
      </c>
      <c r="G52" t="s">
        <v>71</v>
      </c>
      <c r="H52" t="s">
        <v>11</v>
      </c>
      <c r="I52" t="str">
        <f>tblCourse[[#This Row],[CourseCode]]&amp;"/"&amp;tblCourse[[#This Row],[CRegion]]&amp;"/"&amp;tblCourse[[#This Row],[CIntake]]</f>
        <v>BSNS5002/TC/Feb</v>
      </c>
      <c r="J52" t="b">
        <v>0</v>
      </c>
      <c r="K52" t="s">
        <v>16</v>
      </c>
      <c r="L52" t="str">
        <f>tblCourse[[#This Row],[CourseTitle]]&amp;"  -  "&amp;tblCourse[[#This Row],[Ccampus]]&amp;"  -  "&amp;tblCourse[[#This Row],[CIntake]]</f>
        <v>Business Environmentsss  -  Palmerston Rd  -  Feb</v>
      </c>
      <c r="M52" t="str">
        <f>tblCourse[[#This Row],[ProgFullCode]]&amp;"/1"</f>
        <v>NZDB/TC/Feb/1</v>
      </c>
      <c r="N52" t="str">
        <f>INDEX(Programmes!G:G,MATCH(tblCourse[[#This Row],[ProgNumb]],Programmes!A:A,))</f>
        <v>NZDB/TC/Feb</v>
      </c>
      <c r="O52" t="str">
        <f>tblCourse[[#This Row],[CourseCode]]&amp;"/"&amp;tblCourse[[#This Row],[Ccampus]]&amp;"/"&amp;tblCourse[[#This Row],[CIntake]]</f>
        <v>BSNS5002/Palmerston Rd/Feb</v>
      </c>
    </row>
    <row r="53" spans="1:15">
      <c r="A53">
        <v>618</v>
      </c>
      <c r="B53" t="s">
        <v>132</v>
      </c>
      <c r="C53" t="s">
        <v>133</v>
      </c>
      <c r="D53" t="str">
        <f>INDEX(tblCampus[CampusCode], MATCH(tblCourse[[#This Row],[Ccampus]], tblCampus[CampusName], 0))</f>
        <v>HB</v>
      </c>
      <c r="E53" t="s">
        <v>14</v>
      </c>
      <c r="F53">
        <v>82</v>
      </c>
      <c r="G53" t="s">
        <v>71</v>
      </c>
      <c r="H53" t="s">
        <v>11</v>
      </c>
      <c r="I53" t="str">
        <f>tblCourse[[#This Row],[CourseCode]]&amp;"/"&amp;tblCourse[[#This Row],[CRegion]]&amp;"/"&amp;tblCourse[[#This Row],[CIntake]]</f>
        <v>BSNS5003/HB/Feb</v>
      </c>
      <c r="J53" t="b">
        <v>0</v>
      </c>
      <c r="K53" t="s">
        <v>15</v>
      </c>
      <c r="L53" t="str">
        <f>tblCourse[[#This Row],[CourseTitle]]&amp;"  -  "&amp;tblCourse[[#This Row],[Ccampus]]&amp;"  -  "&amp;tblCourse[[#This Row],[CIntake]]</f>
        <v>Business Functions  -  Taradale  -  Feb</v>
      </c>
      <c r="M53" t="str">
        <f>tblCourse[[#This Row],[ProgFullCode]]&amp;"/1"</f>
        <v>NZDB/HB/Feb/1</v>
      </c>
      <c r="N53" t="str">
        <f>INDEX(Programmes!G:G,MATCH(tblCourse[[#This Row],[ProgNumb]],Programmes!A:A,))</f>
        <v>NZDB/HB/Feb</v>
      </c>
      <c r="O53" t="str">
        <f>tblCourse[[#This Row],[CourseCode]]&amp;"/"&amp;tblCourse[[#This Row],[Ccampus]]&amp;"/"&amp;tblCourse[[#This Row],[CIntake]]</f>
        <v>BSNS5003/Taradale/Feb</v>
      </c>
    </row>
    <row r="54" spans="1:15">
      <c r="A54">
        <v>620</v>
      </c>
      <c r="B54" t="s">
        <v>132</v>
      </c>
      <c r="C54" t="s">
        <v>133</v>
      </c>
      <c r="D54" t="str">
        <f>INDEX(tblCampus[CampusCode], MATCH(tblCourse[[#This Row],[Ccampus]], tblCampus[CampusName], 0))</f>
        <v>HB</v>
      </c>
      <c r="E54" t="s">
        <v>20</v>
      </c>
      <c r="F54">
        <v>82</v>
      </c>
      <c r="G54" t="s">
        <v>71</v>
      </c>
      <c r="H54" t="s">
        <v>11</v>
      </c>
      <c r="I54" t="str">
        <f>tblCourse[[#This Row],[CourseCode]]&amp;"/"&amp;tblCourse[[#This Row],[CRegion]]&amp;"/"&amp;tblCourse[[#This Row],[CIntake]]</f>
        <v>BSNS5003/HB/Jul</v>
      </c>
      <c r="J54" t="b">
        <v>0</v>
      </c>
      <c r="K54" t="s">
        <v>15</v>
      </c>
      <c r="L54" t="str">
        <f>tblCourse[[#This Row],[CourseTitle]]&amp;"  -  "&amp;tblCourse[[#This Row],[Ccampus]]&amp;"  -  "&amp;tblCourse[[#This Row],[CIntake]]</f>
        <v>Business Functions  -  Taradale  -  Jul</v>
      </c>
      <c r="M54" t="str">
        <f>tblCourse[[#This Row],[ProgFullCode]]&amp;"/1"</f>
        <v>NZDB/HB/Feb/1</v>
      </c>
      <c r="N54" t="str">
        <f>INDEX(Programmes!G:G,MATCH(tblCourse[[#This Row],[ProgNumb]],Programmes!A:A,))</f>
        <v>NZDB/HB/Feb</v>
      </c>
      <c r="O54" t="str">
        <f>tblCourse[[#This Row],[CourseCode]]&amp;"/"&amp;tblCourse[[#This Row],[Ccampus]]&amp;"/"&amp;tblCourse[[#This Row],[CIntake]]</f>
        <v>BSNS5003/Taradale/Jul</v>
      </c>
    </row>
    <row r="55" spans="1:15">
      <c r="A55">
        <v>619</v>
      </c>
      <c r="B55" t="s">
        <v>132</v>
      </c>
      <c r="C55" t="s">
        <v>133</v>
      </c>
      <c r="D55" t="str">
        <f>INDEX(tblCampus[CampusCode], MATCH(tblCourse[[#This Row],[Ccampus]], tblCampus[CampusName], 0))</f>
        <v>TC</v>
      </c>
      <c r="E55" t="s">
        <v>14</v>
      </c>
      <c r="F55">
        <v>81</v>
      </c>
      <c r="G55" t="s">
        <v>71</v>
      </c>
      <c r="H55" t="s">
        <v>11</v>
      </c>
      <c r="I55" t="str">
        <f>tblCourse[[#This Row],[CourseCode]]&amp;"/"&amp;tblCourse[[#This Row],[CRegion]]&amp;"/"&amp;tblCourse[[#This Row],[CIntake]]</f>
        <v>BSNS5003/TC/Feb</v>
      </c>
      <c r="J55" t="b">
        <v>0</v>
      </c>
      <c r="K55" t="s">
        <v>16</v>
      </c>
      <c r="L55" t="str">
        <f>tblCourse[[#This Row],[CourseTitle]]&amp;"  -  "&amp;tblCourse[[#This Row],[Ccampus]]&amp;"  -  "&amp;tblCourse[[#This Row],[CIntake]]</f>
        <v>Business Functions  -  Palmerston Rd  -  Feb</v>
      </c>
      <c r="M55" t="str">
        <f>tblCourse[[#This Row],[ProgFullCode]]&amp;"/1"</f>
        <v>NZDB/TC/Feb/1</v>
      </c>
      <c r="N55" t="str">
        <f>INDEX(Programmes!G:G,MATCH(tblCourse[[#This Row],[ProgNumb]],Programmes!A:A,))</f>
        <v>NZDB/TC/Feb</v>
      </c>
      <c r="O55" t="str">
        <f>tblCourse[[#This Row],[CourseCode]]&amp;"/"&amp;tblCourse[[#This Row],[Ccampus]]&amp;"/"&amp;tblCourse[[#This Row],[CIntake]]</f>
        <v>BSNS5003/Palmerston Rd/Feb</v>
      </c>
    </row>
    <row r="56" spans="1:15">
      <c r="A56">
        <v>621</v>
      </c>
      <c r="B56" t="s">
        <v>134</v>
      </c>
      <c r="C56" t="s">
        <v>135</v>
      </c>
      <c r="D56" t="str">
        <f>INDEX(tblCampus[CampusCode], MATCH(tblCourse[[#This Row],[Ccampus]], tblCampus[CampusName], 0))</f>
        <v>HB</v>
      </c>
      <c r="E56" t="s">
        <v>14</v>
      </c>
      <c r="F56">
        <v>82</v>
      </c>
      <c r="G56" t="s">
        <v>71</v>
      </c>
      <c r="H56" t="s">
        <v>11</v>
      </c>
      <c r="I56" t="str">
        <f>tblCourse[[#This Row],[CourseCode]]&amp;"/"&amp;tblCourse[[#This Row],[CRegion]]&amp;"/"&amp;tblCourse[[#This Row],[CIntake]]</f>
        <v>BSNS5004/HB/Feb</v>
      </c>
      <c r="J56" t="b">
        <v>0</v>
      </c>
      <c r="K56" t="s">
        <v>15</v>
      </c>
      <c r="L56" t="str">
        <f>tblCourse[[#This Row],[CourseTitle]]&amp;"  -  "&amp;tblCourse[[#This Row],[Ccampus]]&amp;"  -  "&amp;tblCourse[[#This Row],[CIntake]]</f>
        <v>Change and Innovation  -  Taradale  -  Feb</v>
      </c>
      <c r="M56" t="str">
        <f>tblCourse[[#This Row],[ProgFullCode]]&amp;"/1"</f>
        <v>NZDB/HB/Feb/1</v>
      </c>
      <c r="N56" t="str">
        <f>INDEX(Programmes!G:G,MATCH(tblCourse[[#This Row],[ProgNumb]],Programmes!A:A,))</f>
        <v>NZDB/HB/Feb</v>
      </c>
      <c r="O56" t="str">
        <f>tblCourse[[#This Row],[CourseCode]]&amp;"/"&amp;tblCourse[[#This Row],[Ccampus]]&amp;"/"&amp;tblCourse[[#This Row],[CIntake]]</f>
        <v>BSNS5004/Taradale/Feb</v>
      </c>
    </row>
    <row r="57" spans="1:15">
      <c r="A57">
        <v>623</v>
      </c>
      <c r="B57" t="s">
        <v>134</v>
      </c>
      <c r="C57" t="s">
        <v>135</v>
      </c>
      <c r="D57" t="str">
        <f>INDEX(tblCampus[CampusCode], MATCH(tblCourse[[#This Row],[Ccampus]], tblCampus[CampusName], 0))</f>
        <v>HB</v>
      </c>
      <c r="E57" t="s">
        <v>20</v>
      </c>
      <c r="F57">
        <v>82</v>
      </c>
      <c r="G57" t="s">
        <v>71</v>
      </c>
      <c r="H57" t="s">
        <v>11</v>
      </c>
      <c r="I57" t="str">
        <f>tblCourse[[#This Row],[CourseCode]]&amp;"/"&amp;tblCourse[[#This Row],[CRegion]]&amp;"/"&amp;tblCourse[[#This Row],[CIntake]]</f>
        <v>BSNS5004/HB/Jul</v>
      </c>
      <c r="J57" t="b">
        <v>0</v>
      </c>
      <c r="K57" t="s">
        <v>15</v>
      </c>
      <c r="L57" t="str">
        <f>tblCourse[[#This Row],[CourseTitle]]&amp;"  -  "&amp;tblCourse[[#This Row],[Ccampus]]&amp;"  -  "&amp;tblCourse[[#This Row],[CIntake]]</f>
        <v>Change and Innovation  -  Taradale  -  Jul</v>
      </c>
      <c r="M57" t="str">
        <f>tblCourse[[#This Row],[ProgFullCode]]&amp;"/1"</f>
        <v>NZDB/HB/Feb/1</v>
      </c>
      <c r="N57" t="str">
        <f>INDEX(Programmes!G:G,MATCH(tblCourse[[#This Row],[ProgNumb]],Programmes!A:A,))</f>
        <v>NZDB/HB/Feb</v>
      </c>
      <c r="O57" t="str">
        <f>tblCourse[[#This Row],[CourseCode]]&amp;"/"&amp;tblCourse[[#This Row],[Ccampus]]&amp;"/"&amp;tblCourse[[#This Row],[CIntake]]</f>
        <v>BSNS5004/Taradale/Jul</v>
      </c>
    </row>
    <row r="58" spans="1:15">
      <c r="A58">
        <v>622</v>
      </c>
      <c r="B58" t="s">
        <v>134</v>
      </c>
      <c r="C58" t="s">
        <v>135</v>
      </c>
      <c r="D58" t="str">
        <f>INDEX(tblCampus[CampusCode], MATCH(tblCourse[[#This Row],[Ccampus]], tblCampus[CampusName], 0))</f>
        <v>TC</v>
      </c>
      <c r="E58" t="s">
        <v>20</v>
      </c>
      <c r="F58">
        <v>81</v>
      </c>
      <c r="G58" t="s">
        <v>71</v>
      </c>
      <c r="H58" t="s">
        <v>11</v>
      </c>
      <c r="I58" t="str">
        <f>tblCourse[[#This Row],[CourseCode]]&amp;"/"&amp;tblCourse[[#This Row],[CRegion]]&amp;"/"&amp;tblCourse[[#This Row],[CIntake]]</f>
        <v>BSNS5004/TC/Jul</v>
      </c>
      <c r="J58" t="b">
        <v>0</v>
      </c>
      <c r="K58" t="s">
        <v>16</v>
      </c>
      <c r="L58" t="str">
        <f>tblCourse[[#This Row],[CourseTitle]]&amp;"  -  "&amp;tblCourse[[#This Row],[Ccampus]]&amp;"  -  "&amp;tblCourse[[#This Row],[CIntake]]</f>
        <v>Change and Innovation  -  Palmerston Rd  -  Jul</v>
      </c>
      <c r="M58" t="str">
        <f>tblCourse[[#This Row],[ProgFullCode]]&amp;"/1"</f>
        <v>NZDB/TC/Feb/1</v>
      </c>
      <c r="N58" t="str">
        <f>INDEX(Programmes!G:G,MATCH(tblCourse[[#This Row],[ProgNumb]],Programmes!A:A,))</f>
        <v>NZDB/TC/Feb</v>
      </c>
      <c r="O58" t="str">
        <f>tblCourse[[#This Row],[CourseCode]]&amp;"/"&amp;tblCourse[[#This Row],[Ccampus]]&amp;"/"&amp;tblCourse[[#This Row],[CIntake]]</f>
        <v>BSNS5004/Palmerston Rd/Jul</v>
      </c>
    </row>
    <row r="59" spans="1:15">
      <c r="A59">
        <v>631</v>
      </c>
      <c r="B59" t="s">
        <v>136</v>
      </c>
      <c r="C59" t="s">
        <v>137</v>
      </c>
      <c r="D59" t="str">
        <f>INDEX(tblCampus[CampusCode], MATCH(tblCourse[[#This Row],[Ccampus]], tblCampus[CampusName], 0))</f>
        <v>HB</v>
      </c>
      <c r="E59" t="s">
        <v>14</v>
      </c>
      <c r="F59">
        <v>82</v>
      </c>
      <c r="G59" t="s">
        <v>71</v>
      </c>
      <c r="H59" t="s">
        <v>11</v>
      </c>
      <c r="I59" t="str">
        <f>tblCourse[[#This Row],[CourseCode]]&amp;"/"&amp;tblCourse[[#This Row],[CRegion]]&amp;"/"&amp;tblCourse[[#This Row],[CIntake]]</f>
        <v>BSNS5401/HB/Feb</v>
      </c>
      <c r="J59" t="b">
        <v>0</v>
      </c>
      <c r="K59" t="s">
        <v>15</v>
      </c>
      <c r="L59" t="str">
        <f>tblCourse[[#This Row],[CourseTitle]]&amp;"  -  "&amp;tblCourse[[#This Row],[Ccampus]]&amp;"  -  "&amp;tblCourse[[#This Row],[CIntake]]</f>
        <v>Introduction to Leadership  -  Taradale  -  Feb</v>
      </c>
      <c r="M59" t="str">
        <f>tblCourse[[#This Row],[ProgFullCode]]&amp;"/1"</f>
        <v>NZDB/HB/Feb/1</v>
      </c>
      <c r="N59" t="str">
        <f>INDEX(Programmes!G:G,MATCH(tblCourse[[#This Row],[ProgNumb]],Programmes!A:A,))</f>
        <v>NZDB/HB/Feb</v>
      </c>
      <c r="O59" t="str">
        <f>tblCourse[[#This Row],[CourseCode]]&amp;"/"&amp;tblCourse[[#This Row],[Ccampus]]&amp;"/"&amp;tblCourse[[#This Row],[CIntake]]</f>
        <v>BSNS5401/Taradale/Feb</v>
      </c>
    </row>
    <row r="60" spans="1:15">
      <c r="A60">
        <v>99998</v>
      </c>
      <c r="B60" t="s">
        <v>136</v>
      </c>
      <c r="C60" t="s">
        <v>137</v>
      </c>
      <c r="D60" t="str">
        <f>INDEX(tblCampus[CampusCode], MATCH(tblCourse[[#This Row],[Ccampus]], tblCampus[CampusName], 0))</f>
        <v>HB</v>
      </c>
      <c r="E60" t="s">
        <v>20</v>
      </c>
      <c r="F60">
        <v>82</v>
      </c>
      <c r="G60" t="s">
        <v>71</v>
      </c>
      <c r="H60" t="s">
        <v>11</v>
      </c>
      <c r="I60" t="str">
        <f>tblCourse[[#This Row],[CourseCode]]&amp;"/"&amp;tblCourse[[#This Row],[CRegion]]&amp;"/"&amp;tblCourse[[#This Row],[CIntake]]</f>
        <v>BSNS5401/HB/Jul</v>
      </c>
      <c r="J60" t="b">
        <v>0</v>
      </c>
      <c r="K60" t="s">
        <v>15</v>
      </c>
      <c r="L60" t="str">
        <f>tblCourse[[#This Row],[CourseTitle]]&amp;"  -  "&amp;tblCourse[[#This Row],[Ccampus]]&amp;"  -  "&amp;tblCourse[[#This Row],[CIntake]]</f>
        <v>Introduction to Leadership  -  Taradale  -  Jul</v>
      </c>
      <c r="M60" t="str">
        <f>tblCourse[[#This Row],[ProgFullCode]]&amp;"/1"</f>
        <v>NZDB/HB/Feb/1</v>
      </c>
      <c r="N60" t="str">
        <f>INDEX(Programmes!G:G,MATCH(tblCourse[[#This Row],[ProgNumb]],Programmes!A:A,))</f>
        <v>NZDB/HB/Feb</v>
      </c>
      <c r="O60" t="str">
        <f>tblCourse[[#This Row],[CourseCode]]&amp;"/"&amp;tblCourse[[#This Row],[Ccampus]]&amp;"/"&amp;tblCourse[[#This Row],[CIntake]]</f>
        <v>BSNS5401/Taradale/Jul</v>
      </c>
    </row>
    <row r="61" spans="1:15">
      <c r="A61">
        <v>632</v>
      </c>
      <c r="B61" t="s">
        <v>136</v>
      </c>
      <c r="C61" t="s">
        <v>137</v>
      </c>
      <c r="D61" t="str">
        <f>INDEX(tblCampus[CampusCode], MATCH(tblCourse[[#This Row],[Ccampus]], tblCampus[CampusName], 0))</f>
        <v>TC</v>
      </c>
      <c r="E61" t="s">
        <v>20</v>
      </c>
      <c r="F61">
        <v>81</v>
      </c>
      <c r="G61" t="s">
        <v>71</v>
      </c>
      <c r="H61" t="s">
        <v>11</v>
      </c>
      <c r="I61" t="str">
        <f>tblCourse[[#This Row],[CourseCode]]&amp;"/"&amp;tblCourse[[#This Row],[CRegion]]&amp;"/"&amp;tblCourse[[#This Row],[CIntake]]</f>
        <v>BSNS5401/TC/Jul</v>
      </c>
      <c r="J61" t="b">
        <v>0</v>
      </c>
      <c r="K61" t="s">
        <v>16</v>
      </c>
      <c r="L61" t="str">
        <f>tblCourse[[#This Row],[CourseTitle]]&amp;"  -  "&amp;tblCourse[[#This Row],[Ccampus]]&amp;"  -  "&amp;tblCourse[[#This Row],[CIntake]]</f>
        <v>Introduction to Leadership  -  Palmerston Rd  -  Jul</v>
      </c>
      <c r="M61" t="str">
        <f>tblCourse[[#This Row],[ProgFullCode]]&amp;"/1"</f>
        <v>NZDB/TC/Feb/1</v>
      </c>
      <c r="N61" t="str">
        <f>INDEX(Programmes!G:G,MATCH(tblCourse[[#This Row],[ProgNumb]],Programmes!A:A,))</f>
        <v>NZDB/TC/Feb</v>
      </c>
      <c r="O61" t="str">
        <f>tblCourse[[#This Row],[CourseCode]]&amp;"/"&amp;tblCourse[[#This Row],[Ccampus]]&amp;"/"&amp;tblCourse[[#This Row],[CIntake]]</f>
        <v>BSNS5401/Palmerston Rd/Jul</v>
      </c>
    </row>
    <row r="62" spans="1:15">
      <c r="A62">
        <v>625</v>
      </c>
      <c r="B62" t="s">
        <v>138</v>
      </c>
      <c r="C62" t="s">
        <v>139</v>
      </c>
      <c r="D62" t="str">
        <f>INDEX(tblCampus[CampusCode], MATCH(tblCourse[[#This Row],[Ccampus]], tblCampus[CampusName], 0))</f>
        <v>HB</v>
      </c>
      <c r="E62" t="s">
        <v>14</v>
      </c>
      <c r="F62">
        <v>82</v>
      </c>
      <c r="G62" t="s">
        <v>71</v>
      </c>
      <c r="H62" t="s">
        <v>11</v>
      </c>
      <c r="I62" t="str">
        <f>tblCourse[[#This Row],[CourseCode]]&amp;"/"&amp;tblCourse[[#This Row],[CRegion]]&amp;"/"&amp;tblCourse[[#This Row],[CIntake]]</f>
        <v>BSNS5402/HB/Feb</v>
      </c>
      <c r="J62" t="b">
        <v>0</v>
      </c>
      <c r="K62" t="s">
        <v>15</v>
      </c>
      <c r="L62" t="str">
        <f>tblCourse[[#This Row],[CourseTitle]]&amp;"  -  "&amp;tblCourse[[#This Row],[Ccampus]]&amp;"  -  "&amp;tblCourse[[#This Row],[CIntake]]</f>
        <v>Operations Management and Compliance  -  Taradale  -  Feb</v>
      </c>
      <c r="M62" t="str">
        <f>tblCourse[[#This Row],[ProgFullCode]]&amp;"/1"</f>
        <v>NZDB/HB/Feb/1</v>
      </c>
      <c r="N62" t="str">
        <f>INDEX(Programmes!G:G,MATCH(tblCourse[[#This Row],[ProgNumb]],Programmes!A:A,))</f>
        <v>NZDB/HB/Feb</v>
      </c>
      <c r="O62" t="str">
        <f>tblCourse[[#This Row],[CourseCode]]&amp;"/"&amp;tblCourse[[#This Row],[Ccampus]]&amp;"/"&amp;tblCourse[[#This Row],[CIntake]]</f>
        <v>BSNS5402/Taradale/Feb</v>
      </c>
    </row>
    <row r="63" spans="1:15">
      <c r="A63">
        <v>99999</v>
      </c>
      <c r="B63" t="s">
        <v>138</v>
      </c>
      <c r="C63" t="s">
        <v>139</v>
      </c>
      <c r="D63" t="str">
        <f>INDEX(tblCampus[CampusCode], MATCH(tblCourse[[#This Row],[Ccampus]], tblCampus[CampusName], 0))</f>
        <v>HB</v>
      </c>
      <c r="E63" t="s">
        <v>20</v>
      </c>
      <c r="F63">
        <v>82</v>
      </c>
      <c r="G63" t="s">
        <v>71</v>
      </c>
      <c r="H63" t="s">
        <v>11</v>
      </c>
      <c r="I63" t="str">
        <f>tblCourse[[#This Row],[CourseCode]]&amp;"/"&amp;tblCourse[[#This Row],[CRegion]]&amp;"/"&amp;tblCourse[[#This Row],[CIntake]]</f>
        <v>BSNS5402/HB/Jul</v>
      </c>
      <c r="J63" t="b">
        <v>0</v>
      </c>
      <c r="K63" t="s">
        <v>15</v>
      </c>
      <c r="L63" t="str">
        <f>tblCourse[[#This Row],[CourseTitle]]&amp;"  -  "&amp;tblCourse[[#This Row],[Ccampus]]&amp;"  -  "&amp;tblCourse[[#This Row],[CIntake]]</f>
        <v>Operations Management and Compliance  -  Taradale  -  Jul</v>
      </c>
      <c r="M63" t="str">
        <f>tblCourse[[#This Row],[ProgFullCode]]&amp;"/1"</f>
        <v>NZDB/HB/Feb/1</v>
      </c>
      <c r="N63" t="str">
        <f>INDEX(Programmes!G:G,MATCH(tblCourse[[#This Row],[ProgNumb]],Programmes!A:A,))</f>
        <v>NZDB/HB/Feb</v>
      </c>
      <c r="O63" t="str">
        <f>tblCourse[[#This Row],[CourseCode]]&amp;"/"&amp;tblCourse[[#This Row],[Ccampus]]&amp;"/"&amp;tblCourse[[#This Row],[CIntake]]</f>
        <v>BSNS5402/Taradale/Jul</v>
      </c>
    </row>
    <row r="64" spans="1:15">
      <c r="A64">
        <v>626</v>
      </c>
      <c r="B64" t="s">
        <v>138</v>
      </c>
      <c r="C64" t="s">
        <v>139</v>
      </c>
      <c r="D64" t="str">
        <f>INDEX(tblCampus[CampusCode], MATCH(tblCourse[[#This Row],[Ccampus]], tblCampus[CampusName], 0))</f>
        <v>TC</v>
      </c>
      <c r="E64" t="s">
        <v>14</v>
      </c>
      <c r="F64">
        <v>81</v>
      </c>
      <c r="G64" t="s">
        <v>71</v>
      </c>
      <c r="H64" t="s">
        <v>11</v>
      </c>
      <c r="I64" t="str">
        <f>tblCourse[[#This Row],[CourseCode]]&amp;"/"&amp;tblCourse[[#This Row],[CRegion]]&amp;"/"&amp;tblCourse[[#This Row],[CIntake]]</f>
        <v>BSNS5402/TC/Feb</v>
      </c>
      <c r="J64" t="b">
        <v>0</v>
      </c>
      <c r="K64" t="s">
        <v>16</v>
      </c>
      <c r="L64" t="str">
        <f>tblCourse[[#This Row],[CourseTitle]]&amp;"  -  "&amp;tblCourse[[#This Row],[Ccampus]]&amp;"  -  "&amp;tblCourse[[#This Row],[CIntake]]</f>
        <v>Operations Management and Compliance  -  Palmerston Rd  -  Feb</v>
      </c>
      <c r="M64" t="str">
        <f>tblCourse[[#This Row],[ProgFullCode]]&amp;"/1"</f>
        <v>NZDB/TC/Feb/1</v>
      </c>
      <c r="N64" t="str">
        <f>INDEX(Programmes!G:G,MATCH(tblCourse[[#This Row],[ProgNumb]],Programmes!A:A,))</f>
        <v>NZDB/TC/Feb</v>
      </c>
      <c r="O64" t="str">
        <f>tblCourse[[#This Row],[CourseCode]]&amp;"/"&amp;tblCourse[[#This Row],[Ccampus]]&amp;"/"&amp;tblCourse[[#This Row],[CIntake]]</f>
        <v>BSNS5402/Palmerston Rd/Feb</v>
      </c>
    </row>
    <row r="65" spans="1:15">
      <c r="A65">
        <v>627</v>
      </c>
      <c r="B65" t="s">
        <v>140</v>
      </c>
      <c r="C65" t="s">
        <v>141</v>
      </c>
      <c r="D65" t="str">
        <f>INDEX(tblCampus[CampusCode], MATCH(tblCourse[[#This Row],[Ccampus]], tblCampus[CampusName], 0))</f>
        <v>HB</v>
      </c>
      <c r="E65" t="s">
        <v>14</v>
      </c>
      <c r="F65">
        <v>82</v>
      </c>
      <c r="G65" t="s">
        <v>71</v>
      </c>
      <c r="H65" t="s">
        <v>11</v>
      </c>
      <c r="I65" t="str">
        <f>tblCourse[[#This Row],[CourseCode]]&amp;"/"&amp;tblCourse[[#This Row],[CRegion]]&amp;"/"&amp;tblCourse[[#This Row],[CIntake]]</f>
        <v>BSNS5403/HB/Feb</v>
      </c>
      <c r="J65" t="b">
        <v>0</v>
      </c>
      <c r="K65" t="s">
        <v>15</v>
      </c>
      <c r="L65" t="str">
        <f>tblCourse[[#This Row],[CourseTitle]]&amp;"  -  "&amp;tblCourse[[#This Row],[Ccampus]]&amp;"  -  "&amp;tblCourse[[#This Row],[CIntake]]</f>
        <v>Business Planning  -  Taradale  -  Feb</v>
      </c>
      <c r="M65" t="str">
        <f>tblCourse[[#This Row],[ProgFullCode]]&amp;"/1"</f>
        <v>NZDB/HB/Feb/1</v>
      </c>
      <c r="N65" t="str">
        <f>INDEX(Programmes!G:G,MATCH(tblCourse[[#This Row],[ProgNumb]],Programmes!A:A,))</f>
        <v>NZDB/HB/Feb</v>
      </c>
      <c r="O65" t="str">
        <f>tblCourse[[#This Row],[CourseCode]]&amp;"/"&amp;tblCourse[[#This Row],[Ccampus]]&amp;"/"&amp;tblCourse[[#This Row],[CIntake]]</f>
        <v>BSNS5403/Taradale/Feb</v>
      </c>
    </row>
    <row r="66" spans="1:15">
      <c r="A66">
        <v>100000</v>
      </c>
      <c r="B66" t="s">
        <v>140</v>
      </c>
      <c r="C66" t="s">
        <v>141</v>
      </c>
      <c r="D66" t="str">
        <f>INDEX(tblCampus[CampusCode], MATCH(tblCourse[[#This Row],[Ccampus]], tblCampus[CampusName], 0))</f>
        <v>HB</v>
      </c>
      <c r="E66" t="s">
        <v>20</v>
      </c>
      <c r="F66">
        <v>82</v>
      </c>
      <c r="G66" t="s">
        <v>71</v>
      </c>
      <c r="H66" t="s">
        <v>11</v>
      </c>
      <c r="I66" t="str">
        <f>tblCourse[[#This Row],[CourseCode]]&amp;"/"&amp;tblCourse[[#This Row],[CRegion]]&amp;"/"&amp;tblCourse[[#This Row],[CIntake]]</f>
        <v>BSNS5403/HB/Jul</v>
      </c>
      <c r="J66" t="b">
        <v>0</v>
      </c>
      <c r="K66" t="s">
        <v>15</v>
      </c>
      <c r="L66" t="str">
        <f>tblCourse[[#This Row],[CourseTitle]]&amp;"  -  "&amp;tblCourse[[#This Row],[Ccampus]]&amp;"  -  "&amp;tblCourse[[#This Row],[CIntake]]</f>
        <v>Business Planning  -  Taradale  -  Jul</v>
      </c>
      <c r="M66" t="str">
        <f>tblCourse[[#This Row],[ProgFullCode]]&amp;"/1"</f>
        <v>NZDB/HB/Feb/1</v>
      </c>
      <c r="N66" t="str">
        <f>INDEX(Programmes!G:G,MATCH(tblCourse[[#This Row],[ProgNumb]],Programmes!A:A,))</f>
        <v>NZDB/HB/Feb</v>
      </c>
      <c r="O66" t="str">
        <f>tblCourse[[#This Row],[CourseCode]]&amp;"/"&amp;tblCourse[[#This Row],[Ccampus]]&amp;"/"&amp;tblCourse[[#This Row],[CIntake]]</f>
        <v>BSNS5403/Taradale/Jul</v>
      </c>
    </row>
    <row r="67" spans="1:15">
      <c r="A67">
        <v>628</v>
      </c>
      <c r="B67" t="s">
        <v>140</v>
      </c>
      <c r="C67" t="s">
        <v>141</v>
      </c>
      <c r="D67" t="str">
        <f>INDEX(tblCampus[CampusCode], MATCH(tblCourse[[#This Row],[Ccampus]], tblCampus[CampusName], 0))</f>
        <v>TC</v>
      </c>
      <c r="E67" t="s">
        <v>14</v>
      </c>
      <c r="F67">
        <v>81</v>
      </c>
      <c r="G67" t="s">
        <v>71</v>
      </c>
      <c r="H67" t="s">
        <v>11</v>
      </c>
      <c r="I67" t="str">
        <f>tblCourse[[#This Row],[CourseCode]]&amp;"/"&amp;tblCourse[[#This Row],[CRegion]]&amp;"/"&amp;tblCourse[[#This Row],[CIntake]]</f>
        <v>BSNS5403/TC/Feb</v>
      </c>
      <c r="J67" t="b">
        <v>0</v>
      </c>
      <c r="K67" t="s">
        <v>16</v>
      </c>
      <c r="L67" t="str">
        <f>tblCourse[[#This Row],[CourseTitle]]&amp;"  -  "&amp;tblCourse[[#This Row],[Ccampus]]&amp;"  -  "&amp;tblCourse[[#This Row],[CIntake]]</f>
        <v>Business Planning  -  Palmerston Rd  -  Feb</v>
      </c>
      <c r="M67" t="str">
        <f>tblCourse[[#This Row],[ProgFullCode]]&amp;"/1"</f>
        <v>NZDB/TC/Feb/1</v>
      </c>
      <c r="N67" t="str">
        <f>INDEX(Programmes!G:G,MATCH(tblCourse[[#This Row],[ProgNumb]],Programmes!A:A,))</f>
        <v>NZDB/TC/Feb</v>
      </c>
      <c r="O67" t="str">
        <f>tblCourse[[#This Row],[CourseCode]]&amp;"/"&amp;tblCourse[[#This Row],[Ccampus]]&amp;"/"&amp;tblCourse[[#This Row],[CIntake]]</f>
        <v>BSNS5403/Palmerston Rd/Feb</v>
      </c>
    </row>
    <row r="68" spans="1:15">
      <c r="A68">
        <v>634</v>
      </c>
      <c r="B68" t="s">
        <v>142</v>
      </c>
      <c r="C68" t="s">
        <v>143</v>
      </c>
      <c r="D68" t="str">
        <f>INDEX(tblCampus[CampusCode], MATCH(tblCourse[[#This Row],[Ccampus]], tblCampus[CampusName], 0))</f>
        <v>HB</v>
      </c>
      <c r="E68" t="s">
        <v>14</v>
      </c>
      <c r="F68">
        <v>82</v>
      </c>
      <c r="G68" t="s">
        <v>71</v>
      </c>
      <c r="H68" t="s">
        <v>11</v>
      </c>
      <c r="I68" t="str">
        <f>tblCourse[[#This Row],[CourseCode]]&amp;"/"&amp;tblCourse[[#This Row],[CRegion]]&amp;"/"&amp;tblCourse[[#This Row],[CIntake]]</f>
        <v>BSNS5404/HB/Feb</v>
      </c>
      <c r="J68" t="b">
        <v>0</v>
      </c>
      <c r="K68" t="s">
        <v>15</v>
      </c>
      <c r="L68" t="str">
        <f>tblCourse[[#This Row],[CourseTitle]]&amp;"  -  "&amp;tblCourse[[#This Row],[Ccampus]]&amp;"  -  "&amp;tblCourse[[#This Row],[CIntake]]</f>
        <v>Managing Projects  -  Taradale  -  Feb</v>
      </c>
      <c r="M68" t="str">
        <f>tblCourse[[#This Row],[ProgFullCode]]&amp;"/1"</f>
        <v>NZDB/HB/Feb/1</v>
      </c>
      <c r="N68" t="str">
        <f>INDEX(Programmes!G:G,MATCH(tblCourse[[#This Row],[ProgNumb]],Programmes!A:A,))</f>
        <v>NZDB/HB/Feb</v>
      </c>
      <c r="O68" t="str">
        <f>tblCourse[[#This Row],[CourseCode]]&amp;"/"&amp;tblCourse[[#This Row],[Ccampus]]&amp;"/"&amp;tblCourse[[#This Row],[CIntake]]</f>
        <v>BSNS5404/Taradale/Feb</v>
      </c>
    </row>
    <row r="69" spans="1:15">
      <c r="A69">
        <v>100002</v>
      </c>
      <c r="B69" t="s">
        <v>142</v>
      </c>
      <c r="C69" t="s">
        <v>143</v>
      </c>
      <c r="D69" t="str">
        <f>INDEX(tblCampus[CampusCode], MATCH(tblCourse[[#This Row],[Ccampus]], tblCampus[CampusName], 0))</f>
        <v>HB</v>
      </c>
      <c r="E69" t="s">
        <v>20</v>
      </c>
      <c r="F69">
        <v>82</v>
      </c>
      <c r="G69" t="s">
        <v>71</v>
      </c>
      <c r="H69" t="s">
        <v>11</v>
      </c>
      <c r="I69" t="str">
        <f>tblCourse[[#This Row],[CourseCode]]&amp;"/"&amp;tblCourse[[#This Row],[CRegion]]&amp;"/"&amp;tblCourse[[#This Row],[CIntake]]</f>
        <v>BSNS5404/HB/Jul</v>
      </c>
      <c r="J69" t="b">
        <v>0</v>
      </c>
      <c r="K69" t="s">
        <v>15</v>
      </c>
      <c r="L69" t="str">
        <f>tblCourse[[#This Row],[CourseTitle]]&amp;"  -  "&amp;tblCourse[[#This Row],[Ccampus]]&amp;"  -  "&amp;tblCourse[[#This Row],[CIntake]]</f>
        <v>Managing Projects  -  Taradale  -  Jul</v>
      </c>
      <c r="M69" t="str">
        <f>tblCourse[[#This Row],[ProgFullCode]]&amp;"/1"</f>
        <v>NZDB/HB/Feb/1</v>
      </c>
      <c r="N69" t="str">
        <f>INDEX(Programmes!G:G,MATCH(tblCourse[[#This Row],[ProgNumb]],Programmes!A:A,))</f>
        <v>NZDB/HB/Feb</v>
      </c>
      <c r="O69" t="str">
        <f>tblCourse[[#This Row],[CourseCode]]&amp;"/"&amp;tblCourse[[#This Row],[Ccampus]]&amp;"/"&amp;tblCourse[[#This Row],[CIntake]]</f>
        <v>BSNS5404/Taradale/Jul</v>
      </c>
    </row>
    <row r="70" spans="1:15">
      <c r="A70">
        <v>635</v>
      </c>
      <c r="B70" t="s">
        <v>142</v>
      </c>
      <c r="C70" t="s">
        <v>143</v>
      </c>
      <c r="D70" t="str">
        <f>INDEX(tblCampus[CampusCode], MATCH(tblCourse[[#This Row],[Ccampus]], tblCampus[CampusName], 0))</f>
        <v>TC</v>
      </c>
      <c r="E70" t="s">
        <v>20</v>
      </c>
      <c r="F70">
        <v>81</v>
      </c>
      <c r="G70" t="s">
        <v>71</v>
      </c>
      <c r="H70" t="s">
        <v>11</v>
      </c>
      <c r="I70" t="str">
        <f>tblCourse[[#This Row],[CourseCode]]&amp;"/"&amp;tblCourse[[#This Row],[CRegion]]&amp;"/"&amp;tblCourse[[#This Row],[CIntake]]</f>
        <v>BSNS5404/TC/Jul</v>
      </c>
      <c r="J70" t="b">
        <v>0</v>
      </c>
      <c r="K70" t="s">
        <v>16</v>
      </c>
      <c r="L70" t="str">
        <f>tblCourse[[#This Row],[CourseTitle]]&amp;"  -  "&amp;tblCourse[[#This Row],[Ccampus]]&amp;"  -  "&amp;tblCourse[[#This Row],[CIntake]]</f>
        <v>Managing Projects  -  Palmerston Rd  -  Jul</v>
      </c>
      <c r="M70" t="str">
        <f>tblCourse[[#This Row],[ProgFullCode]]&amp;"/1"</f>
        <v>NZDB/TC/Feb/1</v>
      </c>
      <c r="N70" t="str">
        <f>INDEX(Programmes!G:G,MATCH(tblCourse[[#This Row],[ProgNumb]],Programmes!A:A,))</f>
        <v>NZDB/TC/Feb</v>
      </c>
      <c r="O70" t="str">
        <f>tblCourse[[#This Row],[CourseCode]]&amp;"/"&amp;tblCourse[[#This Row],[Ccampus]]&amp;"/"&amp;tblCourse[[#This Row],[CIntake]]</f>
        <v>BSNS5404/Palmerston Rd/Jul</v>
      </c>
    </row>
    <row r="71" spans="1:15">
      <c r="A71">
        <v>474</v>
      </c>
      <c r="B71" t="s">
        <v>144</v>
      </c>
      <c r="C71" t="s">
        <v>145</v>
      </c>
      <c r="D71" t="str">
        <f>INDEX(tblCampus[CampusCode], MATCH(tblCourse[[#This Row],[Ccampus]], tblCampus[CampusName], 0))</f>
        <v>HB</v>
      </c>
      <c r="E71" t="s">
        <v>14</v>
      </c>
      <c r="F71">
        <v>72</v>
      </c>
      <c r="G71" t="s">
        <v>71</v>
      </c>
      <c r="H71" t="s">
        <v>11</v>
      </c>
      <c r="I71" t="str">
        <f>tblCourse[[#This Row],[CourseCode]]&amp;"/"&amp;tblCourse[[#This Row],[CRegion]]&amp;"/"&amp;tblCourse[[#This Row],[CIntake]]</f>
        <v>LM6.01/HB/Feb</v>
      </c>
      <c r="J71" t="b">
        <v>0</v>
      </c>
      <c r="K71" t="s">
        <v>15</v>
      </c>
      <c r="L71" t="str">
        <f>tblCourse[[#This Row],[CourseTitle]]&amp;"  -  "&amp;tblCourse[[#This Row],[Ccampus]]&amp;"  -  "&amp;tblCourse[[#This Row],[CIntake]]</f>
        <v>Accounting and Finance for Managers  -  Taradale  -  Feb</v>
      </c>
      <c r="M71" t="str">
        <f>tblCourse[[#This Row],[ProgFullCode]]&amp;"/1"</f>
        <v>BBS/HB/Feb/1</v>
      </c>
      <c r="N71" t="str">
        <f>INDEX(Programmes!G:G,MATCH(tblCourse[[#This Row],[ProgNumb]],Programmes!A:A,))</f>
        <v>BBS/HB/Feb</v>
      </c>
      <c r="O71" t="str">
        <f>tblCourse[[#This Row],[CourseCode]]&amp;"/"&amp;tblCourse[[#This Row],[Ccampus]]&amp;"/"&amp;tblCourse[[#This Row],[CIntake]]</f>
        <v>LM6.01/Taradale/Feb</v>
      </c>
    </row>
    <row r="72" spans="1:15">
      <c r="A72">
        <v>475</v>
      </c>
      <c r="B72" t="s">
        <v>144</v>
      </c>
      <c r="C72" t="s">
        <v>145</v>
      </c>
      <c r="D72" t="str">
        <f>INDEX(tblCampus[CampusCode], MATCH(tblCourse[[#This Row],[Ccampus]], tblCampus[CampusName], 0))</f>
        <v>TC</v>
      </c>
      <c r="E72" t="s">
        <v>14</v>
      </c>
      <c r="F72">
        <v>73</v>
      </c>
      <c r="G72" t="s">
        <v>71</v>
      </c>
      <c r="H72" t="s">
        <v>11</v>
      </c>
      <c r="I72" t="str">
        <f>tblCourse[[#This Row],[CourseCode]]&amp;"/"&amp;tblCourse[[#This Row],[CRegion]]&amp;"/"&amp;tblCourse[[#This Row],[CIntake]]</f>
        <v>LM6.01/TC/Feb</v>
      </c>
      <c r="J72" t="b">
        <v>0</v>
      </c>
      <c r="K72" t="s">
        <v>16</v>
      </c>
      <c r="L72" t="str">
        <f>tblCourse[[#This Row],[CourseTitle]]&amp;"  -  "&amp;tblCourse[[#This Row],[Ccampus]]&amp;"  -  "&amp;tblCourse[[#This Row],[CIntake]]</f>
        <v>Accounting and Finance for Managers  -  Palmerston Rd  -  Feb</v>
      </c>
      <c r="M72" t="str">
        <f>tblCourse[[#This Row],[ProgFullCode]]&amp;"/1"</f>
        <v>BBS/TC/Feb/1</v>
      </c>
      <c r="N72" t="str">
        <f>INDEX(Programmes!G:G,MATCH(tblCourse[[#This Row],[ProgNumb]],Programmes!A:A,))</f>
        <v>BBS/TC/Feb</v>
      </c>
      <c r="O72" t="str">
        <f>tblCourse[[#This Row],[CourseCode]]&amp;"/"&amp;tblCourse[[#This Row],[Ccampus]]&amp;"/"&amp;tblCourse[[#This Row],[CIntake]]</f>
        <v>LM6.01/Palmerston Rd/Feb</v>
      </c>
    </row>
    <row r="73" spans="1:15">
      <c r="A73">
        <v>693</v>
      </c>
      <c r="B73" t="s">
        <v>140</v>
      </c>
      <c r="C73" t="s">
        <v>146</v>
      </c>
      <c r="D73" t="str">
        <f>INDEX(tblCampus[CampusCode], MATCH(tblCourse[[#This Row],[Ccampus]], tblCampus[CampusName], 0))</f>
        <v>HB</v>
      </c>
      <c r="E73" t="s">
        <v>20</v>
      </c>
      <c r="F73">
        <v>72</v>
      </c>
      <c r="G73" t="s">
        <v>71</v>
      </c>
      <c r="H73" t="s">
        <v>11</v>
      </c>
      <c r="I73" t="str">
        <f>tblCourse[[#This Row],[CourseCode]]&amp;"/"&amp;tblCourse[[#This Row],[CRegion]]&amp;"/"&amp;tblCourse[[#This Row],[CIntake]]</f>
        <v>LM6.02/HB/Jul</v>
      </c>
      <c r="J73" t="b">
        <v>0</v>
      </c>
      <c r="K73" t="s">
        <v>15</v>
      </c>
      <c r="L73" t="str">
        <f>tblCourse[[#This Row],[CourseTitle]]&amp;"  -  "&amp;tblCourse[[#This Row],[Ccampus]]&amp;"  -  "&amp;tblCourse[[#This Row],[CIntake]]</f>
        <v>Business Planning  -  Taradale  -  Jul</v>
      </c>
      <c r="M73" t="str">
        <f>tblCourse[[#This Row],[ProgFullCode]]&amp;"/1"</f>
        <v>BBS/HB/Feb/1</v>
      </c>
      <c r="N73" t="str">
        <f>INDEX(Programmes!G:G,MATCH(tblCourse[[#This Row],[ProgNumb]],Programmes!A:A,))</f>
        <v>BBS/HB/Feb</v>
      </c>
      <c r="O73" t="str">
        <f>tblCourse[[#This Row],[CourseCode]]&amp;"/"&amp;tblCourse[[#This Row],[Ccampus]]&amp;"/"&amp;tblCourse[[#This Row],[CIntake]]</f>
        <v>LM6.02/Taradale/Jul</v>
      </c>
    </row>
    <row r="74" spans="1:15">
      <c r="A74">
        <v>696</v>
      </c>
      <c r="B74" t="s">
        <v>140</v>
      </c>
      <c r="C74" t="s">
        <v>146</v>
      </c>
      <c r="D74" t="str">
        <f>INDEX(tblCampus[CampusCode], MATCH(tblCourse[[#This Row],[Ccampus]], tblCampus[CampusName], 0))</f>
        <v>TC</v>
      </c>
      <c r="E74" t="s">
        <v>20</v>
      </c>
      <c r="F74">
        <v>73</v>
      </c>
      <c r="G74" t="s">
        <v>71</v>
      </c>
      <c r="H74" t="s">
        <v>11</v>
      </c>
      <c r="I74" t="str">
        <f>tblCourse[[#This Row],[CourseCode]]&amp;"/"&amp;tblCourse[[#This Row],[CRegion]]&amp;"/"&amp;tblCourse[[#This Row],[CIntake]]</f>
        <v>LM6.02/TC/Jul</v>
      </c>
      <c r="J74" t="b">
        <v>0</v>
      </c>
      <c r="K74" t="s">
        <v>16</v>
      </c>
      <c r="L74" t="str">
        <f>tblCourse[[#This Row],[CourseTitle]]&amp;"  -  "&amp;tblCourse[[#This Row],[Ccampus]]&amp;"  -  "&amp;tblCourse[[#This Row],[CIntake]]</f>
        <v>Business Planning  -  Palmerston Rd  -  Jul</v>
      </c>
      <c r="M74" t="str">
        <f>tblCourse[[#This Row],[ProgFullCode]]&amp;"/1"</f>
        <v>BBS/TC/Feb/1</v>
      </c>
      <c r="N74" t="str">
        <f>INDEX(Programmes!G:G,MATCH(tblCourse[[#This Row],[ProgNumb]],Programmes!A:A,))</f>
        <v>BBS/TC/Feb</v>
      </c>
      <c r="O74" t="str">
        <f>tblCourse[[#This Row],[CourseCode]]&amp;"/"&amp;tblCourse[[#This Row],[Ccampus]]&amp;"/"&amp;tblCourse[[#This Row],[CIntake]]</f>
        <v>LM6.02/Palmerston Rd/Jul</v>
      </c>
    </row>
    <row r="75" spans="1:15">
      <c r="A75">
        <v>483</v>
      </c>
      <c r="B75" t="s">
        <v>147</v>
      </c>
      <c r="C75" t="s">
        <v>148</v>
      </c>
      <c r="D75" t="str">
        <f>INDEX(tblCampus[CampusCode], MATCH(tblCourse[[#This Row],[Ccampus]], tblCampus[CampusName], 0))</f>
        <v>HB</v>
      </c>
      <c r="E75" t="s">
        <v>14</v>
      </c>
      <c r="F75">
        <v>72</v>
      </c>
      <c r="G75" t="s">
        <v>71</v>
      </c>
      <c r="H75" t="s">
        <v>11</v>
      </c>
      <c r="I75" t="str">
        <f>tblCourse[[#This Row],[CourseCode]]&amp;"/"&amp;tblCourse[[#This Row],[CRegion]]&amp;"/"&amp;tblCourse[[#This Row],[CIntake]]</f>
        <v>LM7.07/HB/Feb</v>
      </c>
      <c r="J75" t="b">
        <v>0</v>
      </c>
      <c r="K75" t="s">
        <v>15</v>
      </c>
      <c r="L75" t="str">
        <f>tblCourse[[#This Row],[CourseTitle]]&amp;"  -  "&amp;tblCourse[[#This Row],[Ccampus]]&amp;"  -  "&amp;tblCourse[[#This Row],[CIntake]]</f>
        <v>International Business  -  Taradale  -  Feb</v>
      </c>
      <c r="M75" t="str">
        <f>tblCourse[[#This Row],[ProgFullCode]]&amp;"/1"</f>
        <v>BBS/HB/Feb/1</v>
      </c>
      <c r="N75" t="str">
        <f>INDEX(Programmes!G:G,MATCH(tblCourse[[#This Row],[ProgNumb]],Programmes!A:A,))</f>
        <v>BBS/HB/Feb</v>
      </c>
      <c r="O75" t="str">
        <f>tblCourse[[#This Row],[CourseCode]]&amp;"/"&amp;tblCourse[[#This Row],[Ccampus]]&amp;"/"&amp;tblCourse[[#This Row],[CIntake]]</f>
        <v>LM7.07/Taradale/Feb</v>
      </c>
    </row>
    <row r="76" spans="1:15">
      <c r="A76">
        <v>100057</v>
      </c>
      <c r="B76" t="s">
        <v>147</v>
      </c>
      <c r="C76" t="s">
        <v>148</v>
      </c>
      <c r="D76" t="str">
        <f>INDEX(tblCampus[CampusCode], MATCH(tblCourse[[#This Row],[Ccampus]], tblCampus[CampusName], 0))</f>
        <v>TC</v>
      </c>
      <c r="E76" t="s">
        <v>14</v>
      </c>
      <c r="F76">
        <v>73</v>
      </c>
      <c r="G76" t="s">
        <v>71</v>
      </c>
      <c r="H76" t="s">
        <v>11</v>
      </c>
      <c r="I76" t="str">
        <f>tblCourse[[#This Row],[CourseCode]]&amp;"/"&amp;tblCourse[[#This Row],[CRegion]]&amp;"/"&amp;tblCourse[[#This Row],[CIntake]]</f>
        <v>LM7.07/TC/Feb</v>
      </c>
      <c r="J76" t="b">
        <v>0</v>
      </c>
      <c r="K76" t="s">
        <v>16</v>
      </c>
      <c r="L76" t="str">
        <f>tblCourse[[#This Row],[CourseTitle]]&amp;"  -  "&amp;tblCourse[[#This Row],[Ccampus]]&amp;"  -  "&amp;tblCourse[[#This Row],[CIntake]]</f>
        <v>International Business  -  Palmerston Rd  -  Feb</v>
      </c>
      <c r="M76" t="str">
        <f>tblCourse[[#This Row],[ProgFullCode]]&amp;"/1"</f>
        <v>BBS/TC/Feb/1</v>
      </c>
      <c r="N76" t="str">
        <f>INDEX(Programmes!G:G,MATCH(tblCourse[[#This Row],[ProgNumb]],Programmes!A:A,))</f>
        <v>BBS/TC/Feb</v>
      </c>
      <c r="O76" t="str">
        <f>tblCourse[[#This Row],[CourseCode]]&amp;"/"&amp;tblCourse[[#This Row],[Ccampus]]&amp;"/"&amp;tblCourse[[#This Row],[CIntake]]</f>
        <v>LM7.07/Palmerston Rd/Feb</v>
      </c>
    </row>
    <row r="77" spans="1:15">
      <c r="A77">
        <v>490</v>
      </c>
      <c r="B77" t="s">
        <v>149</v>
      </c>
      <c r="C77" t="s">
        <v>150</v>
      </c>
      <c r="D77" t="str">
        <f>INDEX(tblCampus[CampusCode], MATCH(tblCourse[[#This Row],[Ccampus]], tblCampus[CampusName], 0))</f>
        <v>HB</v>
      </c>
      <c r="E77" t="s">
        <v>14</v>
      </c>
      <c r="F77">
        <v>72</v>
      </c>
      <c r="G77" t="s">
        <v>71</v>
      </c>
      <c r="H77" t="s">
        <v>11</v>
      </c>
      <c r="I77" t="str">
        <f>tblCourse[[#This Row],[CourseCode]]&amp;"/"&amp;tblCourse[[#This Row],[CRegion]]&amp;"/"&amp;tblCourse[[#This Row],[CIntake]]</f>
        <v>MG6.01/HB/Feb</v>
      </c>
      <c r="J77" t="b">
        <v>0</v>
      </c>
      <c r="K77" t="s">
        <v>15</v>
      </c>
      <c r="L77" t="str">
        <f>tblCourse[[#This Row],[CourseTitle]]&amp;"  -  "&amp;tblCourse[[#This Row],[Ccampus]]&amp;"  -  "&amp;tblCourse[[#This Row],[CIntake]]</f>
        <v>Supply Chain Management  -  Taradale  -  Feb</v>
      </c>
      <c r="M77" t="str">
        <f>tblCourse[[#This Row],[ProgFullCode]]&amp;"/1"</f>
        <v>BBS/HB/Feb/1</v>
      </c>
      <c r="N77" t="str">
        <f>INDEX(Programmes!G:G,MATCH(tblCourse[[#This Row],[ProgNumb]],Programmes!A:A,))</f>
        <v>BBS/HB/Feb</v>
      </c>
      <c r="O77" t="str">
        <f>tblCourse[[#This Row],[CourseCode]]&amp;"/"&amp;tblCourse[[#This Row],[Ccampus]]&amp;"/"&amp;tblCourse[[#This Row],[CIntake]]</f>
        <v>MG6.01/Taradale/Feb</v>
      </c>
    </row>
    <row r="78" spans="1:15">
      <c r="A78">
        <v>695</v>
      </c>
      <c r="B78" t="s">
        <v>149</v>
      </c>
      <c r="C78" t="s">
        <v>150</v>
      </c>
      <c r="D78" t="str">
        <f>INDEX(tblCampus[CampusCode], MATCH(tblCourse[[#This Row],[Ccampus]], tblCampus[CampusName], 0))</f>
        <v>TC</v>
      </c>
      <c r="E78" t="s">
        <v>14</v>
      </c>
      <c r="F78">
        <v>73</v>
      </c>
      <c r="G78" t="s">
        <v>71</v>
      </c>
      <c r="H78" t="s">
        <v>11</v>
      </c>
      <c r="I78" t="str">
        <f>tblCourse[[#This Row],[CourseCode]]&amp;"/"&amp;tblCourse[[#This Row],[CRegion]]&amp;"/"&amp;tblCourse[[#This Row],[CIntake]]</f>
        <v>MG6.01/TC/Feb</v>
      </c>
      <c r="J78" t="b">
        <v>0</v>
      </c>
      <c r="K78" t="s">
        <v>16</v>
      </c>
      <c r="L78" t="str">
        <f>tblCourse[[#This Row],[CourseTitle]]&amp;"  -  "&amp;tblCourse[[#This Row],[Ccampus]]&amp;"  -  "&amp;tblCourse[[#This Row],[CIntake]]</f>
        <v>Supply Chain Management  -  Palmerston Rd  -  Feb</v>
      </c>
      <c r="M78" t="str">
        <f>tblCourse[[#This Row],[ProgFullCode]]&amp;"/1"</f>
        <v>BBS/TC/Feb/1</v>
      </c>
      <c r="N78" t="str">
        <f>INDEX(Programmes!G:G,MATCH(tblCourse[[#This Row],[ProgNumb]],Programmes!A:A,))</f>
        <v>BBS/TC/Feb</v>
      </c>
      <c r="O78" t="str">
        <f>tblCourse[[#This Row],[CourseCode]]&amp;"/"&amp;tblCourse[[#This Row],[Ccampus]]&amp;"/"&amp;tblCourse[[#This Row],[CIntake]]</f>
        <v>MG6.01/Palmerston Rd/Feb</v>
      </c>
    </row>
    <row r="79" spans="1:15">
      <c r="A79">
        <v>492</v>
      </c>
      <c r="B79" t="s">
        <v>151</v>
      </c>
      <c r="C79" t="s">
        <v>152</v>
      </c>
      <c r="D79" t="str">
        <f>INDEX(tblCampus[CampusCode], MATCH(tblCourse[[#This Row],[Ccampus]], tblCampus[CampusName], 0))</f>
        <v>HB</v>
      </c>
      <c r="E79" t="s">
        <v>20</v>
      </c>
      <c r="F79">
        <v>72</v>
      </c>
      <c r="G79" t="s">
        <v>71</v>
      </c>
      <c r="H79" t="s">
        <v>11</v>
      </c>
      <c r="I79" t="str">
        <f>tblCourse[[#This Row],[CourseCode]]&amp;"/"&amp;tblCourse[[#This Row],[CRegion]]&amp;"/"&amp;tblCourse[[#This Row],[CIntake]]</f>
        <v>MG6.02/HB/Jul</v>
      </c>
      <c r="J79" t="b">
        <v>0</v>
      </c>
      <c r="K79" t="s">
        <v>15</v>
      </c>
      <c r="L79" t="str">
        <f>tblCourse[[#This Row],[CourseTitle]]&amp;"  -  "&amp;tblCourse[[#This Row],[Ccampus]]&amp;"  -  "&amp;tblCourse[[#This Row],[CIntake]]</f>
        <v>Designing and Improving Operations  -  Taradale  -  Jul</v>
      </c>
      <c r="M79" t="str">
        <f>tblCourse[[#This Row],[ProgFullCode]]&amp;"/1"</f>
        <v>BBS/HB/Feb/1</v>
      </c>
      <c r="N79" t="str">
        <f>INDEX(Programmes!G:G,MATCH(tblCourse[[#This Row],[ProgNumb]],Programmes!A:A,))</f>
        <v>BBS/HB/Feb</v>
      </c>
      <c r="O79" t="str">
        <f>tblCourse[[#This Row],[CourseCode]]&amp;"/"&amp;tblCourse[[#This Row],[Ccampus]]&amp;"/"&amp;tblCourse[[#This Row],[CIntake]]</f>
        <v>MG6.02/Taradale/Jul</v>
      </c>
    </row>
    <row r="80" spans="1:15">
      <c r="A80">
        <v>493</v>
      </c>
      <c r="B80" t="s">
        <v>151</v>
      </c>
      <c r="C80" t="s">
        <v>152</v>
      </c>
      <c r="D80" t="str">
        <f>INDEX(tblCampus[CampusCode], MATCH(tblCourse[[#This Row],[Ccampus]], tblCampus[CampusName], 0))</f>
        <v>TC</v>
      </c>
      <c r="E80" t="s">
        <v>20</v>
      </c>
      <c r="F80">
        <v>73</v>
      </c>
      <c r="G80" t="s">
        <v>71</v>
      </c>
      <c r="H80" t="s">
        <v>11</v>
      </c>
      <c r="I80" t="str">
        <f>tblCourse[[#This Row],[CourseCode]]&amp;"/"&amp;tblCourse[[#This Row],[CRegion]]&amp;"/"&amp;tblCourse[[#This Row],[CIntake]]</f>
        <v>MG6.02/TC/Jul</v>
      </c>
      <c r="J80" t="b">
        <v>0</v>
      </c>
      <c r="K80" t="s">
        <v>16</v>
      </c>
      <c r="L80" t="str">
        <f>tblCourse[[#This Row],[CourseTitle]]&amp;"  -  "&amp;tblCourse[[#This Row],[Ccampus]]&amp;"  -  "&amp;tblCourse[[#This Row],[CIntake]]</f>
        <v>Designing and Improving Operations  -  Palmerston Rd  -  Jul</v>
      </c>
      <c r="M80" t="str">
        <f>tblCourse[[#This Row],[ProgFullCode]]&amp;"/1"</f>
        <v>BBS/TC/Feb/1</v>
      </c>
      <c r="N80" t="str">
        <f>INDEX(Programmes!G:G,MATCH(tblCourse[[#This Row],[ProgNumb]],Programmes!A:A,))</f>
        <v>BBS/TC/Feb</v>
      </c>
      <c r="O80" t="str">
        <f>tblCourse[[#This Row],[CourseCode]]&amp;"/"&amp;tblCourse[[#This Row],[Ccampus]]&amp;"/"&amp;tblCourse[[#This Row],[CIntake]]</f>
        <v>MG6.02/Palmerston Rd/Jul</v>
      </c>
    </row>
    <row r="81" spans="1:15">
      <c r="A81">
        <v>496</v>
      </c>
      <c r="B81" t="s">
        <v>153</v>
      </c>
      <c r="C81" t="s">
        <v>154</v>
      </c>
      <c r="D81" t="str">
        <f>INDEX(tblCampus[CampusCode], MATCH(tblCourse[[#This Row],[Ccampus]], tblCampus[CampusName], 0))</f>
        <v>HB</v>
      </c>
      <c r="E81" t="s">
        <v>14</v>
      </c>
      <c r="F81">
        <v>72</v>
      </c>
      <c r="G81" t="s">
        <v>71</v>
      </c>
      <c r="H81" t="s">
        <v>11</v>
      </c>
      <c r="I81" t="str">
        <f>tblCourse[[#This Row],[CourseCode]]&amp;"/"&amp;tblCourse[[#This Row],[CRegion]]&amp;"/"&amp;tblCourse[[#This Row],[CIntake]]</f>
        <v>MG6.03/HB/Feb</v>
      </c>
      <c r="J81" t="b">
        <v>0</v>
      </c>
      <c r="K81" t="s">
        <v>15</v>
      </c>
      <c r="L81" t="str">
        <f>tblCourse[[#This Row],[CourseTitle]]&amp;"  -  "&amp;tblCourse[[#This Row],[Ccampus]]&amp;"  -  "&amp;tblCourse[[#This Row],[CIntake]]</f>
        <v>Human Resource Management  -  Taradale  -  Feb</v>
      </c>
      <c r="M81" t="str">
        <f>tblCourse[[#This Row],[ProgFullCode]]&amp;"/1"</f>
        <v>BBS/HB/Feb/1</v>
      </c>
      <c r="N81" t="str">
        <f>INDEX(Programmes!G:G,MATCH(tblCourse[[#This Row],[ProgNumb]],Programmes!A:A,))</f>
        <v>BBS/HB/Feb</v>
      </c>
      <c r="O81" t="str">
        <f>tblCourse[[#This Row],[CourseCode]]&amp;"/"&amp;tblCourse[[#This Row],[Ccampus]]&amp;"/"&amp;tblCourse[[#This Row],[CIntake]]</f>
        <v>MG6.03/Taradale/Feb</v>
      </c>
    </row>
    <row r="82" spans="1:15">
      <c r="A82">
        <v>100009</v>
      </c>
      <c r="B82" t="s">
        <v>153</v>
      </c>
      <c r="C82" t="s">
        <v>154</v>
      </c>
      <c r="D82" t="str">
        <f>INDEX(tblCampus[CampusCode], MATCH(tblCourse[[#This Row],[Ccampus]], tblCampus[CampusName], 0))</f>
        <v>TC</v>
      </c>
      <c r="E82" t="s">
        <v>14</v>
      </c>
      <c r="F82">
        <v>73</v>
      </c>
      <c r="G82" t="s">
        <v>71</v>
      </c>
      <c r="H82" t="s">
        <v>11</v>
      </c>
      <c r="I82" t="str">
        <f>tblCourse[[#This Row],[CourseCode]]&amp;"/"&amp;tblCourse[[#This Row],[CRegion]]&amp;"/"&amp;tblCourse[[#This Row],[CIntake]]</f>
        <v>MG6.03/TC/Feb</v>
      </c>
      <c r="J82" t="b">
        <v>0</v>
      </c>
      <c r="K82" t="s">
        <v>16</v>
      </c>
      <c r="L82" t="str">
        <f>tblCourse[[#This Row],[CourseTitle]]&amp;"  -  "&amp;tblCourse[[#This Row],[Ccampus]]&amp;"  -  "&amp;tblCourse[[#This Row],[CIntake]]</f>
        <v>Human Resource Management  -  Palmerston Rd  -  Feb</v>
      </c>
      <c r="M82" t="str">
        <f>tblCourse[[#This Row],[ProgFullCode]]&amp;"/1"</f>
        <v>BBS/TC/Feb/1</v>
      </c>
      <c r="N82" t="str">
        <f>INDEX(Programmes!G:G,MATCH(tblCourse[[#This Row],[ProgNumb]],Programmes!A:A,))</f>
        <v>BBS/TC/Feb</v>
      </c>
      <c r="O82" t="str">
        <f>tblCourse[[#This Row],[CourseCode]]&amp;"/"&amp;tblCourse[[#This Row],[Ccampus]]&amp;"/"&amp;tblCourse[[#This Row],[CIntake]]</f>
        <v>MG6.03/Palmerston Rd/Feb</v>
      </c>
    </row>
    <row r="83" spans="1:15">
      <c r="A83">
        <v>499</v>
      </c>
      <c r="B83" t="s">
        <v>155</v>
      </c>
      <c r="C83" t="s">
        <v>156</v>
      </c>
      <c r="D83" t="str">
        <f>INDEX(tblCampus[CampusCode], MATCH(tblCourse[[#This Row],[Ccampus]], tblCampus[CampusName], 0))</f>
        <v>HB</v>
      </c>
      <c r="E83" t="s">
        <v>20</v>
      </c>
      <c r="F83">
        <v>72</v>
      </c>
      <c r="G83" t="s">
        <v>71</v>
      </c>
      <c r="H83" t="s">
        <v>11</v>
      </c>
      <c r="I83" t="str">
        <f>tblCourse[[#This Row],[CourseCode]]&amp;"/"&amp;tblCourse[[#This Row],[CRegion]]&amp;"/"&amp;tblCourse[[#This Row],[CIntake]]</f>
        <v>MG6.04/HB/Jul</v>
      </c>
      <c r="J83" t="b">
        <v>0</v>
      </c>
      <c r="K83" t="s">
        <v>15</v>
      </c>
      <c r="L83" t="str">
        <f>tblCourse[[#This Row],[CourseTitle]]&amp;"  -  "&amp;tblCourse[[#This Row],[Ccampus]]&amp;"  -  "&amp;tblCourse[[#This Row],[CIntake]]</f>
        <v>Organisational Behaviour  -  Taradale  -  Jul</v>
      </c>
      <c r="M83" t="str">
        <f>tblCourse[[#This Row],[ProgFullCode]]&amp;"/1"</f>
        <v>BBS/HB/Feb/1</v>
      </c>
      <c r="N83" t="str">
        <f>INDEX(Programmes!G:G,MATCH(tblCourse[[#This Row],[ProgNumb]],Programmes!A:A,))</f>
        <v>BBS/HB/Feb</v>
      </c>
      <c r="O83" t="str">
        <f>tblCourse[[#This Row],[CourseCode]]&amp;"/"&amp;tblCourse[[#This Row],[Ccampus]]&amp;"/"&amp;tblCourse[[#This Row],[CIntake]]</f>
        <v>MG6.04/Taradale/Jul</v>
      </c>
    </row>
    <row r="84" spans="1:15">
      <c r="A84">
        <v>500</v>
      </c>
      <c r="B84" t="s">
        <v>155</v>
      </c>
      <c r="C84" t="s">
        <v>156</v>
      </c>
      <c r="D84" t="str">
        <f>INDEX(tblCampus[CampusCode], MATCH(tblCourse[[#This Row],[Ccampus]], tblCampus[CampusName], 0))</f>
        <v>TC</v>
      </c>
      <c r="E84" t="s">
        <v>20</v>
      </c>
      <c r="F84">
        <v>73</v>
      </c>
      <c r="G84" t="s">
        <v>71</v>
      </c>
      <c r="H84" t="s">
        <v>11</v>
      </c>
      <c r="I84" t="str">
        <f>tblCourse[[#This Row],[CourseCode]]&amp;"/"&amp;tblCourse[[#This Row],[CRegion]]&amp;"/"&amp;tblCourse[[#This Row],[CIntake]]</f>
        <v>MG6.04/TC/Jul</v>
      </c>
      <c r="J84" t="b">
        <v>0</v>
      </c>
      <c r="K84" t="s">
        <v>16</v>
      </c>
      <c r="L84" t="str">
        <f>tblCourse[[#This Row],[CourseTitle]]&amp;"  -  "&amp;tblCourse[[#This Row],[Ccampus]]&amp;"  -  "&amp;tblCourse[[#This Row],[CIntake]]</f>
        <v>Organisational Behaviour  -  Palmerston Rd  -  Jul</v>
      </c>
      <c r="M84" t="str">
        <f>tblCourse[[#This Row],[ProgFullCode]]&amp;"/1"</f>
        <v>BBS/TC/Feb/1</v>
      </c>
      <c r="N84" t="str">
        <f>INDEX(Programmes!G:G,MATCH(tblCourse[[#This Row],[ProgNumb]],Programmes!A:A,))</f>
        <v>BBS/TC/Feb</v>
      </c>
      <c r="O84" t="str">
        <f>tblCourse[[#This Row],[CourseCode]]&amp;"/"&amp;tblCourse[[#This Row],[Ccampus]]&amp;"/"&amp;tblCourse[[#This Row],[CIntake]]</f>
        <v>MG6.04/Palmerston Rd/Jul</v>
      </c>
    </row>
    <row r="85" spans="1:15">
      <c r="A85">
        <v>501</v>
      </c>
      <c r="B85" t="s">
        <v>157</v>
      </c>
      <c r="C85" t="s">
        <v>158</v>
      </c>
      <c r="D85" t="str">
        <f>INDEX(tblCampus[CampusCode], MATCH(tblCourse[[#This Row],[Ccampus]], tblCampus[CampusName], 0))</f>
        <v>HB</v>
      </c>
      <c r="E85" t="s">
        <v>14</v>
      </c>
      <c r="F85">
        <v>72</v>
      </c>
      <c r="G85" t="s">
        <v>71</v>
      </c>
      <c r="H85" t="s">
        <v>11</v>
      </c>
      <c r="I85" t="str">
        <f>tblCourse[[#This Row],[CourseCode]]&amp;"/"&amp;tblCourse[[#This Row],[CRegion]]&amp;"/"&amp;tblCourse[[#This Row],[CIntake]]</f>
        <v>MG6.05/HB/Feb</v>
      </c>
      <c r="J85" t="b">
        <v>0</v>
      </c>
      <c r="K85" t="s">
        <v>15</v>
      </c>
      <c r="L85" t="str">
        <f>tblCourse[[#This Row],[CourseTitle]]&amp;"  -  "&amp;tblCourse[[#This Row],[Ccampus]]&amp;"  -  "&amp;tblCourse[[#This Row],[CIntake]]</f>
        <v>Employment Relations  -  Taradale  -  Feb</v>
      </c>
      <c r="M85" t="str">
        <f>tblCourse[[#This Row],[ProgFullCode]]&amp;"/1"</f>
        <v>BBS/HB/Feb/1</v>
      </c>
      <c r="N85" t="str">
        <f>INDEX(Programmes!G:G,MATCH(tblCourse[[#This Row],[ProgNumb]],Programmes!A:A,))</f>
        <v>BBS/HB/Feb</v>
      </c>
      <c r="O85" t="str">
        <f>tblCourse[[#This Row],[CourseCode]]&amp;"/"&amp;tblCourse[[#This Row],[Ccampus]]&amp;"/"&amp;tblCourse[[#This Row],[CIntake]]</f>
        <v>MG6.05/Taradale/Feb</v>
      </c>
    </row>
    <row r="86" spans="1:15">
      <c r="A86">
        <v>502</v>
      </c>
      <c r="B86" t="s">
        <v>157</v>
      </c>
      <c r="C86" t="s">
        <v>158</v>
      </c>
      <c r="D86" t="str">
        <f>INDEX(tblCampus[CampusCode], MATCH(tblCourse[[#This Row],[Ccampus]], tblCampus[CampusName], 0))</f>
        <v>TC</v>
      </c>
      <c r="E86" t="s">
        <v>14</v>
      </c>
      <c r="F86">
        <v>73</v>
      </c>
      <c r="G86" t="s">
        <v>71</v>
      </c>
      <c r="H86" t="s">
        <v>11</v>
      </c>
      <c r="I86" t="str">
        <f>tblCourse[[#This Row],[CourseCode]]&amp;"/"&amp;tblCourse[[#This Row],[CRegion]]&amp;"/"&amp;tblCourse[[#This Row],[CIntake]]</f>
        <v>MG6.05/TC/Feb</v>
      </c>
      <c r="J86" t="b">
        <v>0</v>
      </c>
      <c r="K86" t="s">
        <v>16</v>
      </c>
      <c r="L86" t="str">
        <f>tblCourse[[#This Row],[CourseTitle]]&amp;"  -  "&amp;tblCourse[[#This Row],[Ccampus]]&amp;"  -  "&amp;tblCourse[[#This Row],[CIntake]]</f>
        <v>Employment Relations  -  Palmerston Rd  -  Feb</v>
      </c>
      <c r="M86" t="str">
        <f>tblCourse[[#This Row],[ProgFullCode]]&amp;"/1"</f>
        <v>BBS/TC/Feb/1</v>
      </c>
      <c r="N86" t="str">
        <f>INDEX(Programmes!G:G,MATCH(tblCourse[[#This Row],[ProgNumb]],Programmes!A:A,))</f>
        <v>BBS/TC/Feb</v>
      </c>
      <c r="O86" t="str">
        <f>tblCourse[[#This Row],[CourseCode]]&amp;"/"&amp;tblCourse[[#This Row],[Ccampus]]&amp;"/"&amp;tblCourse[[#This Row],[CIntake]]</f>
        <v>MG6.05/Palmerston Rd/Feb</v>
      </c>
    </row>
    <row r="87" spans="1:15">
      <c r="A87">
        <v>503</v>
      </c>
      <c r="B87" t="s">
        <v>159</v>
      </c>
      <c r="C87" t="s">
        <v>160</v>
      </c>
      <c r="D87" t="str">
        <f>INDEX(tblCampus[CampusCode], MATCH(tblCourse[[#This Row],[Ccampus]], tblCampus[CampusName], 0))</f>
        <v>HB</v>
      </c>
      <c r="E87" t="s">
        <v>14</v>
      </c>
      <c r="F87">
        <v>72</v>
      </c>
      <c r="G87" t="s">
        <v>71</v>
      </c>
      <c r="H87" t="s">
        <v>11</v>
      </c>
      <c r="I87" t="str">
        <f>tblCourse[[#This Row],[CourseCode]]&amp;"/"&amp;tblCourse[[#This Row],[CRegion]]&amp;"/"&amp;tblCourse[[#This Row],[CIntake]]</f>
        <v>MG7.01/HB/Feb</v>
      </c>
      <c r="J87" t="b">
        <v>0</v>
      </c>
      <c r="K87" t="s">
        <v>15</v>
      </c>
      <c r="L87" t="str">
        <f>tblCourse[[#This Row],[CourseTitle]]&amp;"  -  "&amp;tblCourse[[#This Row],[Ccampus]]&amp;"  -  "&amp;tblCourse[[#This Row],[CIntake]]</f>
        <v>Strategic Management  -  Taradale  -  Feb</v>
      </c>
      <c r="M87" t="str">
        <f>tblCourse[[#This Row],[ProgFullCode]]&amp;"/1"</f>
        <v>BBS/HB/Feb/1</v>
      </c>
      <c r="N87" t="str">
        <f>INDEX(Programmes!G:G,MATCH(tblCourse[[#This Row],[ProgNumb]],Programmes!A:A,))</f>
        <v>BBS/HB/Feb</v>
      </c>
      <c r="O87" t="str">
        <f>tblCourse[[#This Row],[CourseCode]]&amp;"/"&amp;tblCourse[[#This Row],[Ccampus]]&amp;"/"&amp;tblCourse[[#This Row],[CIntake]]</f>
        <v>MG7.01/Taradale/Feb</v>
      </c>
    </row>
    <row r="88" spans="1:15">
      <c r="A88">
        <v>504</v>
      </c>
      <c r="B88" t="s">
        <v>159</v>
      </c>
      <c r="C88" t="s">
        <v>160</v>
      </c>
      <c r="D88" t="str">
        <f>INDEX(tblCampus[CampusCode], MATCH(tblCourse[[#This Row],[Ccampus]], tblCampus[CampusName], 0))</f>
        <v>TC</v>
      </c>
      <c r="E88" t="s">
        <v>14</v>
      </c>
      <c r="F88">
        <v>73</v>
      </c>
      <c r="G88" t="s">
        <v>71</v>
      </c>
      <c r="H88" t="s">
        <v>11</v>
      </c>
      <c r="I88" t="str">
        <f>tblCourse[[#This Row],[CourseCode]]&amp;"/"&amp;tblCourse[[#This Row],[CRegion]]&amp;"/"&amp;tblCourse[[#This Row],[CIntake]]</f>
        <v>MG7.01/TC/Feb</v>
      </c>
      <c r="J88" t="b">
        <v>0</v>
      </c>
      <c r="K88" t="s">
        <v>16</v>
      </c>
      <c r="L88" t="str">
        <f>tblCourse[[#This Row],[CourseTitle]]&amp;"  -  "&amp;tblCourse[[#This Row],[Ccampus]]&amp;"  -  "&amp;tblCourse[[#This Row],[CIntake]]</f>
        <v>Strategic Management  -  Palmerston Rd  -  Feb</v>
      </c>
      <c r="M88" t="str">
        <f>tblCourse[[#This Row],[ProgFullCode]]&amp;"/1"</f>
        <v>BBS/TC/Feb/1</v>
      </c>
      <c r="N88" t="str">
        <f>INDEX(Programmes!G:G,MATCH(tblCourse[[#This Row],[ProgNumb]],Programmes!A:A,))</f>
        <v>BBS/TC/Feb</v>
      </c>
      <c r="O88" t="str">
        <f>tblCourse[[#This Row],[CourseCode]]&amp;"/"&amp;tblCourse[[#This Row],[Ccampus]]&amp;"/"&amp;tblCourse[[#This Row],[CIntake]]</f>
        <v>MG7.01/Palmerston Rd/Feb</v>
      </c>
    </row>
    <row r="89" spans="1:15">
      <c r="A89">
        <v>509</v>
      </c>
      <c r="B89" t="s">
        <v>161</v>
      </c>
      <c r="C89" t="s">
        <v>162</v>
      </c>
      <c r="D89" t="str">
        <f>INDEX(tblCampus[CampusCode], MATCH(tblCourse[[#This Row],[Ccampus]], tblCampus[CampusName], 0))</f>
        <v>HB</v>
      </c>
      <c r="E89" t="s">
        <v>14</v>
      </c>
      <c r="F89">
        <v>72</v>
      </c>
      <c r="G89" t="s">
        <v>71</v>
      </c>
      <c r="H89" t="s">
        <v>11</v>
      </c>
      <c r="I89" t="str">
        <f>tblCourse[[#This Row],[CourseCode]]&amp;"/"&amp;tblCourse[[#This Row],[CRegion]]&amp;"/"&amp;tblCourse[[#This Row],[CIntake]]</f>
        <v>MG7.02/HB/Feb</v>
      </c>
      <c r="J89" t="b">
        <v>0</v>
      </c>
      <c r="K89" t="s">
        <v>15</v>
      </c>
      <c r="L89" t="str">
        <f>tblCourse[[#This Row],[CourseTitle]]&amp;"  -  "&amp;tblCourse[[#This Row],[Ccampus]]&amp;"  -  "&amp;tblCourse[[#This Row],[CIntake]]</f>
        <v>Advanced Operations Management  -  Taradale  -  Feb</v>
      </c>
      <c r="M89" t="str">
        <f>tblCourse[[#This Row],[ProgFullCode]]&amp;"/1"</f>
        <v>BBS/HB/Feb/1</v>
      </c>
      <c r="N89" t="str">
        <f>INDEX(Programmes!G:G,MATCH(tblCourse[[#This Row],[ProgNumb]],Programmes!A:A,))</f>
        <v>BBS/HB/Feb</v>
      </c>
      <c r="O89" t="str">
        <f>tblCourse[[#This Row],[CourseCode]]&amp;"/"&amp;tblCourse[[#This Row],[Ccampus]]&amp;"/"&amp;tblCourse[[#This Row],[CIntake]]</f>
        <v>MG7.02/Taradale/Feb</v>
      </c>
    </row>
    <row r="90" spans="1:15">
      <c r="A90">
        <v>508</v>
      </c>
      <c r="B90" t="s">
        <v>161</v>
      </c>
      <c r="C90" t="s">
        <v>162</v>
      </c>
      <c r="D90" t="str">
        <f>INDEX(tblCampus[CampusCode], MATCH(tblCourse[[#This Row],[Ccampus]], tblCampus[CampusName], 0))</f>
        <v>TC</v>
      </c>
      <c r="E90" t="s">
        <v>14</v>
      </c>
      <c r="F90">
        <v>73</v>
      </c>
      <c r="G90" t="s">
        <v>71</v>
      </c>
      <c r="H90" t="s">
        <v>11</v>
      </c>
      <c r="I90" t="str">
        <f>tblCourse[[#This Row],[CourseCode]]&amp;"/"&amp;tblCourse[[#This Row],[CRegion]]&amp;"/"&amp;tblCourse[[#This Row],[CIntake]]</f>
        <v>MG7.02/TC/Feb</v>
      </c>
      <c r="J90" t="b">
        <v>0</v>
      </c>
      <c r="K90" t="s">
        <v>16</v>
      </c>
      <c r="L90" t="str">
        <f>tblCourse[[#This Row],[CourseTitle]]&amp;"  -  "&amp;tblCourse[[#This Row],[Ccampus]]&amp;"  -  "&amp;tblCourse[[#This Row],[CIntake]]</f>
        <v>Advanced Operations Management  -  Palmerston Rd  -  Feb</v>
      </c>
      <c r="M90" t="str">
        <f>tblCourse[[#This Row],[ProgFullCode]]&amp;"/1"</f>
        <v>BBS/TC/Feb/1</v>
      </c>
      <c r="N90" t="str">
        <f>INDEX(Programmes!G:G,MATCH(tblCourse[[#This Row],[ProgNumb]],Programmes!A:A,))</f>
        <v>BBS/TC/Feb</v>
      </c>
      <c r="O90" t="str">
        <f>tblCourse[[#This Row],[CourseCode]]&amp;"/"&amp;tblCourse[[#This Row],[Ccampus]]&amp;"/"&amp;tblCourse[[#This Row],[CIntake]]</f>
        <v>MG7.02/Palmerston Rd/Feb</v>
      </c>
    </row>
    <row r="91" spans="1:15">
      <c r="A91">
        <v>511</v>
      </c>
      <c r="B91" t="s">
        <v>163</v>
      </c>
      <c r="C91" t="s">
        <v>164</v>
      </c>
      <c r="D91" t="str">
        <f>INDEX(tblCampus[CampusCode], MATCH(tblCourse[[#This Row],[Ccampus]], tblCampus[CampusName], 0))</f>
        <v>HB</v>
      </c>
      <c r="E91" t="s">
        <v>20</v>
      </c>
      <c r="F91">
        <v>72</v>
      </c>
      <c r="G91" t="s">
        <v>71</v>
      </c>
      <c r="H91" t="s">
        <v>11</v>
      </c>
      <c r="I91" t="str">
        <f>tblCourse[[#This Row],[CourseCode]]&amp;"/"&amp;tblCourse[[#This Row],[CRegion]]&amp;"/"&amp;tblCourse[[#This Row],[CIntake]]</f>
        <v>MG7.03/HB/Jul</v>
      </c>
      <c r="J91" t="b">
        <v>0</v>
      </c>
      <c r="K91" t="s">
        <v>15</v>
      </c>
      <c r="L91" t="str">
        <f>tblCourse[[#This Row],[CourseTitle]]&amp;"  -  "&amp;tblCourse[[#This Row],[Ccampus]]&amp;"  -  "&amp;tblCourse[[#This Row],[CIntake]]</f>
        <v>Advanced Human Resource Management  -  Taradale  -  Jul</v>
      </c>
      <c r="M91" t="str">
        <f>tblCourse[[#This Row],[ProgFullCode]]&amp;"/1"</f>
        <v>BBS/HB/Feb/1</v>
      </c>
      <c r="N91" t="str">
        <f>INDEX(Programmes!G:G,MATCH(tblCourse[[#This Row],[ProgNumb]],Programmes!A:A,))</f>
        <v>BBS/HB/Feb</v>
      </c>
      <c r="O91" t="str">
        <f>tblCourse[[#This Row],[CourseCode]]&amp;"/"&amp;tblCourse[[#This Row],[Ccampus]]&amp;"/"&amp;tblCourse[[#This Row],[CIntake]]</f>
        <v>MG7.03/Taradale/Jul</v>
      </c>
    </row>
    <row r="92" spans="1:15">
      <c r="A92">
        <v>512</v>
      </c>
      <c r="B92" t="s">
        <v>163</v>
      </c>
      <c r="C92" t="s">
        <v>164</v>
      </c>
      <c r="D92" t="str">
        <f>INDEX(tblCampus[CampusCode], MATCH(tblCourse[[#This Row],[Ccampus]], tblCampus[CampusName], 0))</f>
        <v>TC</v>
      </c>
      <c r="E92" t="s">
        <v>20</v>
      </c>
      <c r="F92">
        <v>73</v>
      </c>
      <c r="G92" t="s">
        <v>71</v>
      </c>
      <c r="H92" t="s">
        <v>11</v>
      </c>
      <c r="I92" t="str">
        <f>tblCourse[[#This Row],[CourseCode]]&amp;"/"&amp;tblCourse[[#This Row],[CRegion]]&amp;"/"&amp;tblCourse[[#This Row],[CIntake]]</f>
        <v>MG7.03/TC/Jul</v>
      </c>
      <c r="J92" t="b">
        <v>0</v>
      </c>
      <c r="K92" t="s">
        <v>16</v>
      </c>
      <c r="L92" t="str">
        <f>tblCourse[[#This Row],[CourseTitle]]&amp;"  -  "&amp;tblCourse[[#This Row],[Ccampus]]&amp;"  -  "&amp;tblCourse[[#This Row],[CIntake]]</f>
        <v>Advanced Human Resource Management  -  Palmerston Rd  -  Jul</v>
      </c>
      <c r="M92" t="str">
        <f>tblCourse[[#This Row],[ProgFullCode]]&amp;"/1"</f>
        <v>BBS/TC/Feb/1</v>
      </c>
      <c r="N92" t="str">
        <f>INDEX(Programmes!G:G,MATCH(tblCourse[[#This Row],[ProgNumb]],Programmes!A:A,))</f>
        <v>BBS/TC/Feb</v>
      </c>
      <c r="O92" t="str">
        <f>tblCourse[[#This Row],[CourseCode]]&amp;"/"&amp;tblCourse[[#This Row],[Ccampus]]&amp;"/"&amp;tblCourse[[#This Row],[CIntake]]</f>
        <v>MG7.03/Palmerston Rd/Jul</v>
      </c>
    </row>
    <row r="93" spans="1:15">
      <c r="A93">
        <v>513</v>
      </c>
      <c r="B93" t="s">
        <v>165</v>
      </c>
      <c r="C93" t="s">
        <v>166</v>
      </c>
      <c r="D93" t="str">
        <f>INDEX(tblCampus[CampusCode], MATCH(tblCourse[[#This Row],[Ccampus]], tblCampus[CampusName], 0))</f>
        <v>HB</v>
      </c>
      <c r="E93" t="s">
        <v>14</v>
      </c>
      <c r="F93">
        <v>72</v>
      </c>
      <c r="G93" t="s">
        <v>71</v>
      </c>
      <c r="H93" t="s">
        <v>11</v>
      </c>
      <c r="I93" t="str">
        <f>tblCourse[[#This Row],[CourseCode]]&amp;"/"&amp;tblCourse[[#This Row],[CRegion]]&amp;"/"&amp;tblCourse[[#This Row],[CIntake]]</f>
        <v>MG7.04/HB/Feb</v>
      </c>
      <c r="J93" t="b">
        <v>0</v>
      </c>
      <c r="K93" t="s">
        <v>15</v>
      </c>
      <c r="L93" t="str">
        <f>tblCourse[[#This Row],[CourseTitle]]&amp;"  -  "&amp;tblCourse[[#This Row],[Ccampus]]&amp;"  -  "&amp;tblCourse[[#This Row],[CIntake]]</f>
        <v>Career Management  -  Taradale  -  Feb</v>
      </c>
      <c r="M93" t="str">
        <f>tblCourse[[#This Row],[ProgFullCode]]&amp;"/1"</f>
        <v>BBS/HB/Feb/1</v>
      </c>
      <c r="N93" t="str">
        <f>INDEX(Programmes!G:G,MATCH(tblCourse[[#This Row],[ProgNumb]],Programmes!A:A,))</f>
        <v>BBS/HB/Feb</v>
      </c>
      <c r="O93" t="str">
        <f>tblCourse[[#This Row],[CourseCode]]&amp;"/"&amp;tblCourse[[#This Row],[Ccampus]]&amp;"/"&amp;tblCourse[[#This Row],[CIntake]]</f>
        <v>MG7.04/Taradale/Feb</v>
      </c>
    </row>
    <row r="94" spans="1:15">
      <c r="A94">
        <v>100063</v>
      </c>
      <c r="B94" t="s">
        <v>165</v>
      </c>
      <c r="C94" t="s">
        <v>166</v>
      </c>
      <c r="D94" t="str">
        <f>INDEX(tblCampus[CampusCode], MATCH(tblCourse[[#This Row],[Ccampus]], tblCampus[CampusName], 0))</f>
        <v>HB</v>
      </c>
      <c r="E94" t="s">
        <v>20</v>
      </c>
      <c r="F94">
        <v>72</v>
      </c>
      <c r="G94" t="s">
        <v>71</v>
      </c>
      <c r="H94" t="s">
        <v>11</v>
      </c>
      <c r="I94" t="str">
        <f>tblCourse[[#This Row],[CourseCode]]&amp;"/"&amp;tblCourse[[#This Row],[CRegion]]&amp;"/"&amp;tblCourse[[#This Row],[CIntake]]</f>
        <v>MG7.04/HB/Jul</v>
      </c>
      <c r="J94" t="b">
        <v>0</v>
      </c>
      <c r="K94" t="s">
        <v>15</v>
      </c>
      <c r="L94" t="str">
        <f>tblCourse[[#This Row],[CourseTitle]]&amp;"  -  "&amp;tblCourse[[#This Row],[Ccampus]]&amp;"  -  "&amp;tblCourse[[#This Row],[CIntake]]</f>
        <v>Career Management  -  Taradale  -  Jul</v>
      </c>
      <c r="M94" t="str">
        <f>tblCourse[[#This Row],[ProgFullCode]]&amp;"/1"</f>
        <v>BBS/HB/Feb/1</v>
      </c>
      <c r="N94" t="str">
        <f>INDEX(Programmes!G:G,MATCH(tblCourse[[#This Row],[ProgNumb]],Programmes!A:A,))</f>
        <v>BBS/HB/Feb</v>
      </c>
      <c r="O94" t="str">
        <f>tblCourse[[#This Row],[CourseCode]]&amp;"/"&amp;tblCourse[[#This Row],[Ccampus]]&amp;"/"&amp;tblCourse[[#This Row],[CIntake]]</f>
        <v>MG7.04/Taradale/Jul</v>
      </c>
    </row>
    <row r="95" spans="1:15">
      <c r="A95">
        <v>514</v>
      </c>
      <c r="B95" t="s">
        <v>165</v>
      </c>
      <c r="C95" t="s">
        <v>166</v>
      </c>
      <c r="D95" t="str">
        <f>INDEX(tblCampus[CampusCode], MATCH(tblCourse[[#This Row],[Ccampus]], tblCampus[CampusName], 0))</f>
        <v>TC</v>
      </c>
      <c r="E95" t="s">
        <v>14</v>
      </c>
      <c r="F95">
        <v>73</v>
      </c>
      <c r="G95" t="s">
        <v>71</v>
      </c>
      <c r="H95" t="s">
        <v>11</v>
      </c>
      <c r="I95" t="str">
        <f>tblCourse[[#This Row],[CourseCode]]&amp;"/"&amp;tblCourse[[#This Row],[CRegion]]&amp;"/"&amp;tblCourse[[#This Row],[CIntake]]</f>
        <v>MG7.04/TC/Feb</v>
      </c>
      <c r="J95" t="b">
        <v>0</v>
      </c>
      <c r="K95" t="s">
        <v>16</v>
      </c>
      <c r="L95" t="str">
        <f>tblCourse[[#This Row],[CourseTitle]]&amp;"  -  "&amp;tblCourse[[#This Row],[Ccampus]]&amp;"  -  "&amp;tblCourse[[#This Row],[CIntake]]</f>
        <v>Career Management  -  Palmerston Rd  -  Feb</v>
      </c>
      <c r="M95" t="str">
        <f>tblCourse[[#This Row],[ProgFullCode]]&amp;"/1"</f>
        <v>BBS/TC/Feb/1</v>
      </c>
      <c r="N95" t="str">
        <f>INDEX(Programmes!G:G,MATCH(tblCourse[[#This Row],[ProgNumb]],Programmes!A:A,))</f>
        <v>BBS/TC/Feb</v>
      </c>
      <c r="O95" t="str">
        <f>tblCourse[[#This Row],[CourseCode]]&amp;"/"&amp;tblCourse[[#This Row],[Ccampus]]&amp;"/"&amp;tblCourse[[#This Row],[CIntake]]</f>
        <v>MG7.04/Palmerston Rd/Feb</v>
      </c>
    </row>
    <row r="96" spans="1:15">
      <c r="A96">
        <v>100064</v>
      </c>
      <c r="B96" t="s">
        <v>165</v>
      </c>
      <c r="C96" t="s">
        <v>166</v>
      </c>
      <c r="D96" t="str">
        <f>INDEX(tblCampus[CampusCode], MATCH(tblCourse[[#This Row],[Ccampus]], tblCampus[CampusName], 0))</f>
        <v>TC</v>
      </c>
      <c r="E96" t="s">
        <v>20</v>
      </c>
      <c r="F96">
        <v>73</v>
      </c>
      <c r="G96" t="s">
        <v>71</v>
      </c>
      <c r="H96" t="s">
        <v>11</v>
      </c>
      <c r="I96" t="str">
        <f>tblCourse[[#This Row],[CourseCode]]&amp;"/"&amp;tblCourse[[#This Row],[CRegion]]&amp;"/"&amp;tblCourse[[#This Row],[CIntake]]</f>
        <v>MG7.04/TC/Jul</v>
      </c>
      <c r="J96" t="b">
        <v>0</v>
      </c>
      <c r="K96" t="s">
        <v>16</v>
      </c>
      <c r="L96" t="str">
        <f>tblCourse[[#This Row],[CourseTitle]]&amp;"  -  "&amp;tblCourse[[#This Row],[Ccampus]]&amp;"  -  "&amp;tblCourse[[#This Row],[CIntake]]</f>
        <v>Career Management  -  Palmerston Rd  -  Jul</v>
      </c>
      <c r="M96" t="str">
        <f>tblCourse[[#This Row],[ProgFullCode]]&amp;"/1"</f>
        <v>BBS/TC/Feb/1</v>
      </c>
      <c r="N96" t="str">
        <f>INDEX(Programmes!G:G,MATCH(tblCourse[[#This Row],[ProgNumb]],Programmes!A:A,))</f>
        <v>BBS/TC/Feb</v>
      </c>
      <c r="O96" t="str">
        <f>tblCourse[[#This Row],[CourseCode]]&amp;"/"&amp;tblCourse[[#This Row],[Ccampus]]&amp;"/"&amp;tblCourse[[#This Row],[CIntake]]</f>
        <v>MG7.04/Palmerston Rd/Jul</v>
      </c>
    </row>
    <row r="97" spans="1:15">
      <c r="A97">
        <v>100010</v>
      </c>
      <c r="B97" t="s">
        <v>167</v>
      </c>
      <c r="C97" t="s">
        <v>168</v>
      </c>
      <c r="D97" t="str">
        <f>INDEX(tblCampus[CampusCode], MATCH(tblCourse[[#This Row],[Ccampus]], tblCampus[CampusName], 0))</f>
        <v>HB</v>
      </c>
      <c r="E97" t="s">
        <v>20</v>
      </c>
      <c r="F97">
        <v>72</v>
      </c>
      <c r="G97" t="s">
        <v>71</v>
      </c>
      <c r="H97" t="s">
        <v>11</v>
      </c>
      <c r="I97" t="str">
        <f>tblCourse[[#This Row],[CourseCode]]&amp;"/"&amp;tblCourse[[#This Row],[CRegion]]&amp;"/"&amp;tblCourse[[#This Row],[CIntake]]</f>
        <v>MG7.05/HB/Jul</v>
      </c>
      <c r="J97" t="b">
        <v>0</v>
      </c>
      <c r="K97" t="s">
        <v>15</v>
      </c>
      <c r="L97" t="str">
        <f>tblCourse[[#This Row],[CourseTitle]]&amp;"  -  "&amp;tblCourse[[#This Row],[Ccampus]]&amp;"  -  "&amp;tblCourse[[#This Row],[CIntake]]</f>
        <v>Entrepreneurship and Innovation  -  Taradale  -  Jul</v>
      </c>
      <c r="M97" t="str">
        <f>tblCourse[[#This Row],[ProgFullCode]]&amp;"/1"</f>
        <v>BBS/HB/Feb/1</v>
      </c>
      <c r="N97" t="str">
        <f>INDEX(Programmes!G:G,MATCH(tblCourse[[#This Row],[ProgNumb]],Programmes!A:A,))</f>
        <v>BBS/HB/Feb</v>
      </c>
      <c r="O97" t="str">
        <f>tblCourse[[#This Row],[CourseCode]]&amp;"/"&amp;tblCourse[[#This Row],[Ccampus]]&amp;"/"&amp;tblCourse[[#This Row],[CIntake]]</f>
        <v>MG7.05/Taradale/Jul</v>
      </c>
    </row>
    <row r="98" spans="1:15">
      <c r="A98">
        <v>518</v>
      </c>
      <c r="B98" t="s">
        <v>167</v>
      </c>
      <c r="C98" t="s">
        <v>168</v>
      </c>
      <c r="D98" t="str">
        <f>INDEX(tblCampus[CampusCode], MATCH(tblCourse[[#This Row],[Ccampus]], tblCampus[CampusName], 0))</f>
        <v>TC</v>
      </c>
      <c r="E98" t="s">
        <v>20</v>
      </c>
      <c r="F98">
        <v>73</v>
      </c>
      <c r="G98" t="s">
        <v>71</v>
      </c>
      <c r="H98" t="s">
        <v>11</v>
      </c>
      <c r="I98" t="str">
        <f>tblCourse[[#This Row],[CourseCode]]&amp;"/"&amp;tblCourse[[#This Row],[CRegion]]&amp;"/"&amp;tblCourse[[#This Row],[CIntake]]</f>
        <v>MG7.05/TC/Jul</v>
      </c>
      <c r="J98" t="b">
        <v>0</v>
      </c>
      <c r="K98" t="s">
        <v>16</v>
      </c>
      <c r="L98" t="str">
        <f>tblCourse[[#This Row],[CourseTitle]]&amp;"  -  "&amp;tblCourse[[#This Row],[Ccampus]]&amp;"  -  "&amp;tblCourse[[#This Row],[CIntake]]</f>
        <v>Entrepreneurship and Innovation  -  Palmerston Rd  -  Jul</v>
      </c>
      <c r="M98" t="str">
        <f>tblCourse[[#This Row],[ProgFullCode]]&amp;"/1"</f>
        <v>BBS/TC/Feb/1</v>
      </c>
      <c r="N98" t="str">
        <f>INDEX(Programmes!G:G,MATCH(tblCourse[[#This Row],[ProgNumb]],Programmes!A:A,))</f>
        <v>BBS/TC/Feb</v>
      </c>
      <c r="O98" t="str">
        <f>tblCourse[[#This Row],[CourseCode]]&amp;"/"&amp;tblCourse[[#This Row],[Ccampus]]&amp;"/"&amp;tblCourse[[#This Row],[CIntake]]</f>
        <v>MG7.05/Palmerston Rd/Jul</v>
      </c>
    </row>
    <row r="99" spans="1:15">
      <c r="A99">
        <v>532</v>
      </c>
      <c r="B99" t="s">
        <v>169</v>
      </c>
      <c r="C99" t="s">
        <v>170</v>
      </c>
      <c r="D99" t="str">
        <f>INDEX(tblCampus[CampusCode], MATCH(tblCourse[[#This Row],[Ccampus]], tblCampus[CampusName], 0))</f>
        <v>HB</v>
      </c>
      <c r="E99" t="s">
        <v>14</v>
      </c>
      <c r="F99">
        <v>72</v>
      </c>
      <c r="G99" t="s">
        <v>71</v>
      </c>
      <c r="H99" t="s">
        <v>11</v>
      </c>
      <c r="I99" t="str">
        <f>tblCourse[[#This Row],[CourseCode]]&amp;"/"&amp;tblCourse[[#This Row],[CRegion]]&amp;"/"&amp;tblCourse[[#This Row],[CIntake]]</f>
        <v>MK6.01/HB/Feb</v>
      </c>
      <c r="J99" t="b">
        <v>0</v>
      </c>
      <c r="K99" t="s">
        <v>15</v>
      </c>
      <c r="L99" t="str">
        <f>tblCourse[[#This Row],[CourseTitle]]&amp;"  -  "&amp;tblCourse[[#This Row],[Ccampus]]&amp;"  -  "&amp;tblCourse[[#This Row],[CIntake]]</f>
        <v>Marketing Management  -  Taradale  -  Feb</v>
      </c>
      <c r="M99" t="str">
        <f>tblCourse[[#This Row],[ProgFullCode]]&amp;"/1"</f>
        <v>BBS/HB/Feb/1</v>
      </c>
      <c r="N99" t="str">
        <f>INDEX(Programmes!G:G,MATCH(tblCourse[[#This Row],[ProgNumb]],Programmes!A:A,))</f>
        <v>BBS/HB/Feb</v>
      </c>
      <c r="O99" t="str">
        <f>tblCourse[[#This Row],[CourseCode]]&amp;"/"&amp;tblCourse[[#This Row],[Ccampus]]&amp;"/"&amp;tblCourse[[#This Row],[CIntake]]</f>
        <v>MK6.01/Taradale/Feb</v>
      </c>
    </row>
    <row r="100" spans="1:15">
      <c r="A100">
        <v>100060</v>
      </c>
      <c r="B100" t="s">
        <v>169</v>
      </c>
      <c r="C100" t="s">
        <v>170</v>
      </c>
      <c r="D100" t="str">
        <f>INDEX(tblCampus[CampusCode], MATCH(tblCourse[[#This Row],[Ccampus]], tblCampus[CampusName], 0))</f>
        <v>TC</v>
      </c>
      <c r="E100" t="s">
        <v>14</v>
      </c>
      <c r="F100">
        <v>73</v>
      </c>
      <c r="G100" t="s">
        <v>71</v>
      </c>
      <c r="H100" t="s">
        <v>11</v>
      </c>
      <c r="I100" t="str">
        <f>tblCourse[[#This Row],[CourseCode]]&amp;"/"&amp;tblCourse[[#This Row],[CRegion]]&amp;"/"&amp;tblCourse[[#This Row],[CIntake]]</f>
        <v>MK6.01/TC/Feb</v>
      </c>
      <c r="J100" t="b">
        <v>0</v>
      </c>
      <c r="K100" t="s">
        <v>16</v>
      </c>
      <c r="L100" t="str">
        <f>tblCourse[[#This Row],[CourseTitle]]&amp;"  -  "&amp;tblCourse[[#This Row],[Ccampus]]&amp;"  -  "&amp;tblCourse[[#This Row],[CIntake]]</f>
        <v>Marketing Management  -  Palmerston Rd  -  Feb</v>
      </c>
      <c r="M100" t="str">
        <f>tblCourse[[#This Row],[ProgFullCode]]&amp;"/1"</f>
        <v>BBS/TC/Feb/1</v>
      </c>
      <c r="N100" t="str">
        <f>INDEX(Programmes!G:G,MATCH(tblCourse[[#This Row],[ProgNumb]],Programmes!A:A,))</f>
        <v>BBS/TC/Feb</v>
      </c>
      <c r="O100" t="str">
        <f>tblCourse[[#This Row],[CourseCode]]&amp;"/"&amp;tblCourse[[#This Row],[Ccampus]]&amp;"/"&amp;tblCourse[[#This Row],[CIntake]]</f>
        <v>MK6.01/Palmerston Rd/Feb</v>
      </c>
    </row>
    <row r="101" spans="1:15">
      <c r="A101">
        <v>534</v>
      </c>
      <c r="B101" t="s">
        <v>171</v>
      </c>
      <c r="C101" t="s">
        <v>172</v>
      </c>
      <c r="D101" t="str">
        <f>INDEX(tblCampus[CampusCode], MATCH(tblCourse[[#This Row],[Ccampus]], tblCampus[CampusName], 0))</f>
        <v>HB</v>
      </c>
      <c r="E101" t="s">
        <v>14</v>
      </c>
      <c r="F101">
        <v>72</v>
      </c>
      <c r="G101" t="s">
        <v>71</v>
      </c>
      <c r="H101" t="s">
        <v>11</v>
      </c>
      <c r="I101" t="str">
        <f>tblCourse[[#This Row],[CourseCode]]&amp;"/"&amp;tblCourse[[#This Row],[CRegion]]&amp;"/"&amp;tblCourse[[#This Row],[CIntake]]</f>
        <v>MK6.02/HB/Feb</v>
      </c>
      <c r="J101" t="b">
        <v>0</v>
      </c>
      <c r="K101" t="s">
        <v>15</v>
      </c>
      <c r="L101" t="str">
        <f>tblCourse[[#This Row],[CourseTitle]]&amp;"  -  "&amp;tblCourse[[#This Row],[Ccampus]]&amp;"  -  "&amp;tblCourse[[#This Row],[CIntake]]</f>
        <v>Consumer Behaviour  -  Taradale  -  Feb</v>
      </c>
      <c r="M101" t="str">
        <f>tblCourse[[#This Row],[ProgFullCode]]&amp;"/1"</f>
        <v>BBS/HB/Feb/1</v>
      </c>
      <c r="N101" t="str">
        <f>INDEX(Programmes!G:G,MATCH(tblCourse[[#This Row],[ProgNumb]],Programmes!A:A,))</f>
        <v>BBS/HB/Feb</v>
      </c>
      <c r="O101" t="str">
        <f>tblCourse[[#This Row],[CourseCode]]&amp;"/"&amp;tblCourse[[#This Row],[Ccampus]]&amp;"/"&amp;tblCourse[[#This Row],[CIntake]]</f>
        <v>MK6.02/Taradale/Feb</v>
      </c>
    </row>
    <row r="102" spans="1:15">
      <c r="A102">
        <v>100061</v>
      </c>
      <c r="B102" t="s">
        <v>171</v>
      </c>
      <c r="C102" t="s">
        <v>172</v>
      </c>
      <c r="D102" t="str">
        <f>INDEX(tblCampus[CampusCode], MATCH(tblCourse[[#This Row],[Ccampus]], tblCampus[CampusName], 0))</f>
        <v>TC</v>
      </c>
      <c r="E102" t="s">
        <v>14</v>
      </c>
      <c r="F102">
        <v>73</v>
      </c>
      <c r="G102" t="s">
        <v>71</v>
      </c>
      <c r="H102" t="s">
        <v>11</v>
      </c>
      <c r="I102" t="str">
        <f>tblCourse[[#This Row],[CourseCode]]&amp;"/"&amp;tblCourse[[#This Row],[CRegion]]&amp;"/"&amp;tblCourse[[#This Row],[CIntake]]</f>
        <v>MK6.02/TC/Feb</v>
      </c>
      <c r="J102" t="b">
        <v>0</v>
      </c>
      <c r="K102" t="s">
        <v>16</v>
      </c>
      <c r="L102" t="str">
        <f>tblCourse[[#This Row],[CourseTitle]]&amp;"  -  "&amp;tblCourse[[#This Row],[Ccampus]]&amp;"  -  "&amp;tblCourse[[#This Row],[CIntake]]</f>
        <v>Consumer Behaviour  -  Palmerston Rd  -  Feb</v>
      </c>
      <c r="M102" t="str">
        <f>tblCourse[[#This Row],[ProgFullCode]]&amp;"/1"</f>
        <v>BBS/TC/Feb/1</v>
      </c>
      <c r="N102" t="str">
        <f>INDEX(Programmes!G:G,MATCH(tblCourse[[#This Row],[ProgNumb]],Programmes!A:A,))</f>
        <v>BBS/TC/Feb</v>
      </c>
      <c r="O102" t="str">
        <f>tblCourse[[#This Row],[CourseCode]]&amp;"/"&amp;tblCourse[[#This Row],[Ccampus]]&amp;"/"&amp;tblCourse[[#This Row],[CIntake]]</f>
        <v>MK6.02/Palmerston Rd/Feb</v>
      </c>
    </row>
    <row r="103" spans="1:15">
      <c r="A103">
        <v>535</v>
      </c>
      <c r="B103" t="s">
        <v>173</v>
      </c>
      <c r="C103" t="s">
        <v>174</v>
      </c>
      <c r="D103" t="str">
        <f>INDEX(tblCampus[CampusCode], MATCH(tblCourse[[#This Row],[Ccampus]], tblCampus[CampusName], 0))</f>
        <v>HB</v>
      </c>
      <c r="E103" t="s">
        <v>20</v>
      </c>
      <c r="F103">
        <v>72</v>
      </c>
      <c r="G103" t="s">
        <v>71</v>
      </c>
      <c r="H103" t="s">
        <v>11</v>
      </c>
      <c r="I103" t="str">
        <f>tblCourse[[#This Row],[CourseCode]]&amp;"/"&amp;tblCourse[[#This Row],[CRegion]]&amp;"/"&amp;tblCourse[[#This Row],[CIntake]]</f>
        <v>MK6.03/HB/Jul</v>
      </c>
      <c r="J103" t="b">
        <v>0</v>
      </c>
      <c r="K103" t="s">
        <v>15</v>
      </c>
      <c r="L103" t="str">
        <f>tblCourse[[#This Row],[CourseTitle]]&amp;"  -  "&amp;tblCourse[[#This Row],[Ccampus]]&amp;"  -  "&amp;tblCourse[[#This Row],[CIntake]]</f>
        <v>Branding  -  Taradale  -  Jul</v>
      </c>
      <c r="M103" t="str">
        <f>tblCourse[[#This Row],[ProgFullCode]]&amp;"/1"</f>
        <v>BBS/HB/Feb/1</v>
      </c>
      <c r="N103" t="str">
        <f>INDEX(Programmes!G:G,MATCH(tblCourse[[#This Row],[ProgNumb]],Programmes!A:A,))</f>
        <v>BBS/HB/Feb</v>
      </c>
      <c r="O103" t="str">
        <f>tblCourse[[#This Row],[CourseCode]]&amp;"/"&amp;tblCourse[[#This Row],[Ccampus]]&amp;"/"&amp;tblCourse[[#This Row],[CIntake]]</f>
        <v>MK6.03/Taradale/Jul</v>
      </c>
    </row>
    <row r="104" spans="1:15">
      <c r="A104">
        <v>100062</v>
      </c>
      <c r="B104" t="s">
        <v>173</v>
      </c>
      <c r="C104" t="s">
        <v>174</v>
      </c>
      <c r="D104" t="str">
        <f>INDEX(tblCampus[CampusCode], MATCH(tblCourse[[#This Row],[Ccampus]], tblCampus[CampusName], 0))</f>
        <v>TC</v>
      </c>
      <c r="E104" t="s">
        <v>20</v>
      </c>
      <c r="F104">
        <v>73</v>
      </c>
      <c r="G104" t="s">
        <v>71</v>
      </c>
      <c r="H104" t="s">
        <v>11</v>
      </c>
      <c r="I104" t="str">
        <f>tblCourse[[#This Row],[CourseCode]]&amp;"/"&amp;tblCourse[[#This Row],[CRegion]]&amp;"/"&amp;tblCourse[[#This Row],[CIntake]]</f>
        <v>MK6.03/TC/Jul</v>
      </c>
      <c r="J104" t="b">
        <v>0</v>
      </c>
      <c r="K104" t="s">
        <v>16</v>
      </c>
      <c r="L104" t="str">
        <f>tblCourse[[#This Row],[CourseTitle]]&amp;"  -  "&amp;tblCourse[[#This Row],[Ccampus]]&amp;"  -  "&amp;tblCourse[[#This Row],[CIntake]]</f>
        <v>Branding  -  Palmerston Rd  -  Jul</v>
      </c>
      <c r="M104" t="str">
        <f>tblCourse[[#This Row],[ProgFullCode]]&amp;"/1"</f>
        <v>BBS/TC/Feb/1</v>
      </c>
      <c r="N104" t="str">
        <f>INDEX(Programmes!G:G,MATCH(tblCourse[[#This Row],[ProgNumb]],Programmes!A:A,))</f>
        <v>BBS/TC/Feb</v>
      </c>
      <c r="O104" t="str">
        <f>tblCourse[[#This Row],[CourseCode]]&amp;"/"&amp;tblCourse[[#This Row],[Ccampus]]&amp;"/"&amp;tblCourse[[#This Row],[CIntake]]</f>
        <v>MK6.03/Palmerston Rd/Jul</v>
      </c>
    </row>
    <row r="105" spans="1:15">
      <c r="A105">
        <v>537</v>
      </c>
      <c r="B105" t="s">
        <v>175</v>
      </c>
      <c r="C105" t="s">
        <v>176</v>
      </c>
      <c r="D105" t="str">
        <f>INDEX(tblCampus[CampusCode], MATCH(tblCourse[[#This Row],[Ccampus]], tblCampus[CampusName], 0))</f>
        <v>HB</v>
      </c>
      <c r="E105" t="s">
        <v>20</v>
      </c>
      <c r="F105">
        <v>72</v>
      </c>
      <c r="G105" t="s">
        <v>71</v>
      </c>
      <c r="H105" t="s">
        <v>11</v>
      </c>
      <c r="I105" t="str">
        <f>tblCourse[[#This Row],[CourseCode]]&amp;"/"&amp;tblCourse[[#This Row],[CRegion]]&amp;"/"&amp;tblCourse[[#This Row],[CIntake]]</f>
        <v>MK7.01/HB/Jul</v>
      </c>
      <c r="J105" t="b">
        <v>0</v>
      </c>
      <c r="K105" t="s">
        <v>15</v>
      </c>
      <c r="L105" t="str">
        <f>tblCourse[[#This Row],[CourseTitle]]&amp;"  -  "&amp;tblCourse[[#This Row],[Ccampus]]&amp;"  -  "&amp;tblCourse[[#This Row],[CIntake]]</f>
        <v>Strategic Marketing  -  Taradale  -  Jul</v>
      </c>
      <c r="M105" t="str">
        <f>tblCourse[[#This Row],[ProgFullCode]]&amp;"/1"</f>
        <v>BBS/HB/Feb/1</v>
      </c>
      <c r="N105" t="str">
        <f>INDEX(Programmes!G:G,MATCH(tblCourse[[#This Row],[ProgNumb]],Programmes!A:A,))</f>
        <v>BBS/HB/Feb</v>
      </c>
      <c r="O105" t="str">
        <f>tblCourse[[#This Row],[CourseCode]]&amp;"/"&amp;tblCourse[[#This Row],[Ccampus]]&amp;"/"&amp;tblCourse[[#This Row],[CIntake]]</f>
        <v>MK7.01/Taradale/Jul</v>
      </c>
    </row>
    <row r="106" spans="1:15">
      <c r="A106">
        <v>539</v>
      </c>
      <c r="B106" t="s">
        <v>177</v>
      </c>
      <c r="C106" t="s">
        <v>178</v>
      </c>
      <c r="D106" t="str">
        <f>INDEX(tblCampus[CampusCode], MATCH(tblCourse[[#This Row],[Ccampus]], tblCampus[CampusName], 0))</f>
        <v>HB</v>
      </c>
      <c r="E106" t="s">
        <v>14</v>
      </c>
      <c r="F106">
        <v>72</v>
      </c>
      <c r="G106" t="s">
        <v>71</v>
      </c>
      <c r="H106" t="s">
        <v>11</v>
      </c>
      <c r="I106" t="str">
        <f>tblCourse[[#This Row],[CourseCode]]&amp;"/"&amp;tblCourse[[#This Row],[CRegion]]&amp;"/"&amp;tblCourse[[#This Row],[CIntake]]</f>
        <v>MK7.02/HB/Feb</v>
      </c>
      <c r="J106" t="b">
        <v>0</v>
      </c>
      <c r="K106" t="s">
        <v>15</v>
      </c>
      <c r="L106" t="str">
        <f>tblCourse[[#This Row],[CourseTitle]]&amp;"  -  "&amp;tblCourse[[#This Row],[Ccampus]]&amp;"  -  "&amp;tblCourse[[#This Row],[CIntake]]</f>
        <v>Marketing Research  -  Taradale  -  Feb</v>
      </c>
      <c r="M106" t="str">
        <f>tblCourse[[#This Row],[ProgFullCode]]&amp;"/1"</f>
        <v>BBS/HB/Feb/1</v>
      </c>
      <c r="N106" t="str">
        <f>INDEX(Programmes!G:G,MATCH(tblCourse[[#This Row],[ProgNumb]],Programmes!A:A,))</f>
        <v>BBS/HB/Feb</v>
      </c>
      <c r="O106" t="str">
        <f>tblCourse[[#This Row],[CourseCode]]&amp;"/"&amp;tblCourse[[#This Row],[Ccampus]]&amp;"/"&amp;tblCourse[[#This Row],[CIntake]]</f>
        <v>MK7.02/Taradale/Feb</v>
      </c>
    </row>
    <row r="107" spans="1:15">
      <c r="A107">
        <v>541</v>
      </c>
      <c r="B107" t="s">
        <v>179</v>
      </c>
      <c r="C107" t="s">
        <v>180</v>
      </c>
      <c r="D107" t="str">
        <f>INDEX(tblCampus[CampusCode], MATCH(tblCourse[[#This Row],[Ccampus]], tblCampus[CampusName], 0))</f>
        <v>HB</v>
      </c>
      <c r="E107" t="s">
        <v>20</v>
      </c>
      <c r="F107">
        <v>72</v>
      </c>
      <c r="G107" t="s">
        <v>71</v>
      </c>
      <c r="H107" t="s">
        <v>11</v>
      </c>
      <c r="I107" t="str">
        <f>tblCourse[[#This Row],[CourseCode]]&amp;"/"&amp;tblCourse[[#This Row],[CRegion]]&amp;"/"&amp;tblCourse[[#This Row],[CIntake]]</f>
        <v>MK7.10/HB/Jul</v>
      </c>
      <c r="J107" t="b">
        <v>0</v>
      </c>
      <c r="K107" t="s">
        <v>15</v>
      </c>
      <c r="L107" t="str">
        <f>tblCourse[[#This Row],[CourseTitle]]&amp;"  -  "&amp;tblCourse[[#This Row],[Ccampus]]&amp;"  -  "&amp;tblCourse[[#This Row],[CIntake]]</f>
        <v>Social Media Marketing  -  Taradale  -  Jul</v>
      </c>
      <c r="M107" t="str">
        <f>tblCourse[[#This Row],[ProgFullCode]]&amp;"/1"</f>
        <v>BBS/HB/Feb/1</v>
      </c>
      <c r="N107" t="str">
        <f>INDEX(Programmes!G:G,MATCH(tblCourse[[#This Row],[ProgNumb]],Programmes!A:A,))</f>
        <v>BBS/HB/Feb</v>
      </c>
      <c r="O107" t="str">
        <f>tblCourse[[#This Row],[CourseCode]]&amp;"/"&amp;tblCourse[[#This Row],[Ccampus]]&amp;"/"&amp;tblCourse[[#This Row],[CIntake]]</f>
        <v>MK7.10/Taradale/Jul</v>
      </c>
    </row>
    <row r="108" spans="1:15">
      <c r="A108">
        <v>100065</v>
      </c>
      <c r="B108" t="s">
        <v>26</v>
      </c>
      <c r="C108" t="s">
        <v>27</v>
      </c>
      <c r="D108" t="str">
        <f>INDEX(tblCampus[CampusCode], MATCH(tblCourse[[#This Row],[Ccampus]], tblCampus[CampusName], 0))</f>
        <v>HB</v>
      </c>
      <c r="E108" t="s">
        <v>14</v>
      </c>
      <c r="F108">
        <v>100003</v>
      </c>
      <c r="G108" t="s">
        <v>71</v>
      </c>
      <c r="H108" t="s">
        <v>11</v>
      </c>
      <c r="I108" t="str">
        <f>tblCourse[[#This Row],[CourseCode]]&amp;"/"&amp;tblCourse[[#This Row],[CRegion]]&amp;"/"&amp;tblCourse[[#This Row],[CIntake]]</f>
        <v>SBA/HB/Feb</v>
      </c>
      <c r="J108" t="b">
        <v>0</v>
      </c>
      <c r="K108" t="s">
        <v>15</v>
      </c>
      <c r="L108" t="str">
        <f>tblCourse[[#This Row],[CourseTitle]]&amp;"  -  "&amp;tblCourse[[#This Row],[Ccampus]]&amp;"  -  "&amp;tblCourse[[#This Row],[CIntake]]</f>
        <v>School-based Activities  -  Taradale  -  Feb</v>
      </c>
      <c r="M108" t="str">
        <f>tblCourse[[#This Row],[ProgFullCode]]&amp;"/1"</f>
        <v>SBA/HB/Feb/1</v>
      </c>
      <c r="N108" t="str">
        <f>INDEX(Programmes!G:G,MATCH(tblCourse[[#This Row],[ProgNumb]],Programmes!A:A,))</f>
        <v>SBA/HB/Feb</v>
      </c>
      <c r="O108" t="str">
        <f>tblCourse[[#This Row],[CourseCode]]&amp;"/"&amp;tblCourse[[#This Row],[Ccampus]]&amp;"/"&amp;tblCourse[[#This Row],[CIntake]]</f>
        <v>SBA/Taradale/Feb</v>
      </c>
    </row>
    <row r="109" spans="1:15">
      <c r="A109">
        <v>100039</v>
      </c>
      <c r="B109" t="s">
        <v>181</v>
      </c>
      <c r="C109" t="s">
        <v>27</v>
      </c>
      <c r="D109" t="str">
        <f>INDEX(tblCampus[CampusCode], MATCH(tblCourse[[#This Row],[Ccampus]], tblCampus[CampusName], 0))</f>
        <v>TC</v>
      </c>
      <c r="E109" t="s">
        <v>14</v>
      </c>
      <c r="F109">
        <v>100004</v>
      </c>
      <c r="G109" t="s">
        <v>71</v>
      </c>
      <c r="H109" t="s">
        <v>11</v>
      </c>
      <c r="I109" t="str">
        <f>tblCourse[[#This Row],[CourseCode]]&amp;"/"&amp;tblCourse[[#This Row],[CRegion]]&amp;"/"&amp;tblCourse[[#This Row],[CIntake]]</f>
        <v>SBA/TC/Feb</v>
      </c>
      <c r="J109" t="b">
        <v>0</v>
      </c>
      <c r="K109" t="s">
        <v>16</v>
      </c>
      <c r="L109" t="str">
        <f>tblCourse[[#This Row],[CourseTitle]]&amp;"  -  "&amp;tblCourse[[#This Row],[Ccampus]]&amp;"  -  "&amp;tblCourse[[#This Row],[CIntake]]</f>
        <v>School-based Activitties  -  Palmerston Rd  -  Feb</v>
      </c>
      <c r="M109" t="str">
        <f>tblCourse[[#This Row],[ProgFullCode]]&amp;"/1"</f>
        <v>SBA/TC/Feb/1</v>
      </c>
      <c r="N109" t="str">
        <f>INDEX(Programmes!G:G,MATCH(tblCourse[[#This Row],[ProgNumb]],Programmes!A:A,))</f>
        <v>SBA/TC/Feb</v>
      </c>
      <c r="O109" t="str">
        <f>tblCourse[[#This Row],[CourseCode]]&amp;"/"&amp;tblCourse[[#This Row],[Ccampus]]&amp;"/"&amp;tblCourse[[#This Row],[CIntake]]</f>
        <v>SBA/Palmerston Rd/Feb</v>
      </c>
    </row>
    <row r="110" spans="1:15">
      <c r="A110">
        <v>200111</v>
      </c>
      <c r="B110" t="s">
        <v>182</v>
      </c>
      <c r="C110" t="s">
        <v>183</v>
      </c>
      <c r="D110" t="str">
        <f>INDEX(tblCampus[CampusCode], MATCH(tblCourse[[#This Row],[Ccampus]], tblCampus[CampusName], 0))</f>
        <v>HB</v>
      </c>
      <c r="E110" t="s">
        <v>14</v>
      </c>
      <c r="F110">
        <v>82</v>
      </c>
      <c r="G110" t="s">
        <v>184</v>
      </c>
      <c r="I110" t="str">
        <f>tblCourse[[#This Row],[CourseCode]]&amp;"/"&amp;tblCourse[[#This Row],[CRegion]]&amp;"/"&amp;tblCourse[[#This Row],[CIntake]]</f>
        <v>asfa/HB/Feb</v>
      </c>
      <c r="K110" t="s">
        <v>15</v>
      </c>
      <c r="L110" t="str">
        <f>tblCourse[[#This Row],[CourseTitle]]&amp;"  -  "&amp;tblCourse[[#This Row],[Ccampus]]&amp;"  -  "&amp;tblCourse[[#This Row],[CIntake]]</f>
        <v>afaf  -  Taradale  -  Feb</v>
      </c>
      <c r="M110" t="str">
        <f>tblCourse[[#This Row],[ProgFullCode]]&amp;"/1"</f>
        <v>NZDB/HB/Feb/1</v>
      </c>
      <c r="N110" t="str">
        <f>INDEX(Programmes!G:G,MATCH(tblCourse[[#This Row],[ProgNumb]],Programmes!A:A,))</f>
        <v>NZDB/HB/Feb</v>
      </c>
      <c r="O110" t="str">
        <f>tblCourse[[#This Row],[CourseCode]]&amp;"/"&amp;tblCourse[[#This Row],[Ccampus]]&amp;"/"&amp;tblCourse[[#This Row],[CIntake]]</f>
        <v>asfa/Taradale/Feb</v>
      </c>
    </row>
    <row r="111" spans="1:15">
      <c r="A111">
        <v>200113</v>
      </c>
      <c r="B111" t="s">
        <v>185</v>
      </c>
      <c r="C111" t="s">
        <v>96</v>
      </c>
      <c r="D111" t="str">
        <f>INDEX(tblCampus[CampusCode], MATCH(tblCourse[[#This Row],[Ccampus]], tblCampus[CampusName], 0))</f>
        <v>TC</v>
      </c>
      <c r="E111" t="s">
        <v>14</v>
      </c>
      <c r="F111">
        <v>81</v>
      </c>
      <c r="G111" t="s">
        <v>184</v>
      </c>
      <c r="I111" t="str">
        <f>tblCourse[[#This Row],[CourseCode]]&amp;"/"&amp;tblCourse[[#This Row],[CRegion]]&amp;"/"&amp;tblCourse[[#This Row],[CIntake]]</f>
        <v>ACCY5103/TC/Feb</v>
      </c>
      <c r="K111" t="s">
        <v>16</v>
      </c>
      <c r="L111" t="str">
        <f>tblCourse[[#This Row],[CourseTitle]]&amp;"  -  "&amp;tblCourse[[#This Row],[Ccampus]]&amp;"  -  "&amp;tblCourse[[#This Row],[CIntake]]</f>
        <v>acccececcc  -  Palmerston Rd  -  Feb</v>
      </c>
      <c r="M111" t="str">
        <f>tblCourse[[#This Row],[ProgFullCode]]&amp;"/1"</f>
        <v>NZDB/TC/Feb/1</v>
      </c>
      <c r="N111" t="str">
        <f>INDEX(Programmes!G:G,MATCH(tblCourse[[#This Row],[ProgNumb]],Programmes!A:A,))</f>
        <v>NZDB/TC/Feb</v>
      </c>
      <c r="O111" t="str">
        <f>tblCourse[[#This Row],[CourseCode]]&amp;"/"&amp;tblCourse[[#This Row],[Ccampus]]&amp;"/"&amp;tblCourse[[#This Row],[CIntake]]</f>
        <v>ACCY5103/Palmerston Rd/Feb</v>
      </c>
    </row>
    <row r="112" spans="1:15">
      <c r="A112">
        <v>200114</v>
      </c>
      <c r="B112" t="s">
        <v>186</v>
      </c>
      <c r="C112" t="s">
        <v>187</v>
      </c>
      <c r="D112" t="str">
        <f>INDEX(tblCampus[CampusCode], MATCH(tblCourse[[#This Row],[Ccampus]], tblCampus[CampusName], 0))</f>
        <v>HB</v>
      </c>
      <c r="E112" t="s">
        <v>43</v>
      </c>
      <c r="F112">
        <v>79</v>
      </c>
      <c r="I112" t="str">
        <f>tblCourse[[#This Row],[CourseCode]]&amp;"/"&amp;tblCourse[[#This Row],[CRegion]]&amp;"/"&amp;tblCourse[[#This Row],[CIntake]]</f>
        <v>BLAH/HB/Jan</v>
      </c>
      <c r="K112" t="s">
        <v>15</v>
      </c>
      <c r="L112" t="str">
        <f>tblCourse[[#This Row],[CourseTitle]]&amp;"  -  "&amp;tblCourse[[#This Row],[Ccampus]]&amp;"  -  "&amp;tblCourse[[#This Row],[CIntake]]</f>
        <v>Blah Blah  -  Taradale  -  Jan</v>
      </c>
      <c r="M112" t="str">
        <f>tblCourse[[#This Row],[ProgFullCode]]&amp;"/1"</f>
        <v>CBASS/HB/Feb/1</v>
      </c>
      <c r="N112" t="str">
        <f>INDEX(Programmes!G:G,MATCH(tblCourse[[#This Row],[ProgNumb]],Programmes!A:A,))</f>
        <v>CBASS/HB/Feb</v>
      </c>
      <c r="O112" t="str">
        <f>tblCourse[[#This Row],[CourseCode]]&amp;"/"&amp;tblCourse[[#This Row],[Ccampus]]&amp;"/"&amp;tblCourse[[#This Row],[CIntake]]</f>
        <v>BLAH/Taradale/Jan</v>
      </c>
    </row>
    <row r="113" spans="1:15">
      <c r="A113">
        <v>200115</v>
      </c>
      <c r="B113" t="s">
        <v>188</v>
      </c>
      <c r="C113" t="s">
        <v>189</v>
      </c>
      <c r="D113" t="str">
        <f>INDEX(tblCampus[CampusCode], MATCH(tblCourse[[#This Row],[Ccampus]], tblCampus[CampusName], 0))</f>
        <v>HB</v>
      </c>
      <c r="E113" t="s">
        <v>14</v>
      </c>
      <c r="F113">
        <v>79</v>
      </c>
      <c r="G113" t="s">
        <v>184</v>
      </c>
      <c r="I113" t="str">
        <f>tblCourse[[#This Row],[CourseCode]]&amp;"/"&amp;tblCourse[[#This Row],[CRegion]]&amp;"/"&amp;tblCourse[[#This Row],[CIntake]]</f>
        <v>EX/HB/Feb</v>
      </c>
      <c r="K113" t="s">
        <v>15</v>
      </c>
      <c r="L113" t="str">
        <f>tblCourse[[#This Row],[CourseTitle]]&amp;"  -  "&amp;tblCourse[[#This Row],[Ccampus]]&amp;"  -  "&amp;tblCourse[[#This Row],[CIntake]]</f>
        <v>exceciec  -  Taradale  -  Feb</v>
      </c>
      <c r="M113" t="str">
        <f>tblCourse[[#This Row],[ProgFullCode]]&amp;"/1"</f>
        <v>CBASS/HB/Feb/1</v>
      </c>
      <c r="N113" t="str">
        <f>INDEX(Programmes!G:G,MATCH(tblCourse[[#This Row],[ProgNumb]],Programmes!A:A,))</f>
        <v>CBASS/HB/Feb</v>
      </c>
      <c r="O113" t="str">
        <f>tblCourse[[#This Row],[CourseCode]]&amp;"/"&amp;tblCourse[[#This Row],[Ccampus]]&amp;"/"&amp;tblCourse[[#This Row],[CIntake]]</f>
        <v>EX/Taradale/Feb</v>
      </c>
    </row>
    <row r="114" spans="1:15">
      <c r="A114">
        <v>200117</v>
      </c>
      <c r="B114" t="s">
        <v>1404</v>
      </c>
      <c r="C114" t="s">
        <v>1403</v>
      </c>
      <c r="D114" t="str">
        <f>INDEX(tblCampus[CampusCode], MATCH(tblCourse[[#This Row],[Ccampus]], tblCampus[CampusName], 0))</f>
        <v>H</v>
      </c>
      <c r="E114" s="14" t="s">
        <v>31</v>
      </c>
      <c r="F114">
        <v>200031</v>
      </c>
      <c r="G114" t="s">
        <v>184</v>
      </c>
      <c r="H114" t="s">
        <v>40</v>
      </c>
      <c r="I114" t="str">
        <f>tblCourse[[#This Row],[CourseCode]]&amp;"/"&amp;tblCourse[[#This Row],[CRegion]]&amp;"/"&amp;tblCourse[[#This Row],[CIntake]]</f>
        <v>abc/H/1</v>
      </c>
      <c r="J114" t="b">
        <v>1</v>
      </c>
      <c r="K114" t="s">
        <v>1270</v>
      </c>
      <c r="L114" t="str">
        <f>tblCourse[[#This Row],[CourseTitle]]&amp;"  -  "&amp;tblCourse[[#This Row],[Ccampus]]&amp;"  -  "&amp;tblCourse[[#This Row],[CIntake]]</f>
        <v>First Course  -  Hastings  -  1</v>
      </c>
      <c r="M114" t="str">
        <f>tblCourse[[#This Row],[ProgFullCode]]&amp;"/1"</f>
        <v>CPT/HB/Sept24/1</v>
      </c>
      <c r="N114" t="str">
        <f>INDEX(Programmes!G:G,MATCH(tblCourse[[#This Row],[ProgNumb]],Programmes!A:A,))</f>
        <v>CPT/HB/Sept24</v>
      </c>
      <c r="O114" t="str">
        <f>tblCourse[[#This Row],[CourseCode]]&amp;"/"&amp;tblCourse[[#This Row],[Ccampus]]&amp;"/"&amp;tblCourse[[#This Row],[CIntake]]</f>
        <v>abc/Hastings/1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CCB5D-4D06-4B21-A921-93290493C6EC}">
  <sheetPr codeName="Sheet1"/>
  <dimension ref="A1:CL223"/>
  <sheetViews>
    <sheetView tabSelected="1" topLeftCell="J1" workbookViewId="0">
      <selection activeCell="M40" sqref="M40"/>
    </sheetView>
  </sheetViews>
  <sheetFormatPr defaultRowHeight="14.25"/>
  <cols>
    <col min="1" max="1" width="8.125" bestFit="1" customWidth="1"/>
    <col min="2" max="2" width="16.125" bestFit="1" customWidth="1"/>
    <col min="3" max="3" width="19.375" bestFit="1" customWidth="1"/>
    <col min="4" max="4" width="15.625" bestFit="1" customWidth="1"/>
    <col min="5" max="5" width="14.75" bestFit="1" customWidth="1"/>
    <col min="6" max="6" width="13.875" bestFit="1" customWidth="1"/>
    <col min="7" max="7" width="16.25" bestFit="1" customWidth="1"/>
    <col min="8" max="8" width="11.125" bestFit="1" customWidth="1"/>
    <col min="9" max="9" width="150.25" bestFit="1" customWidth="1"/>
    <col min="10" max="10" width="12.875" bestFit="1" customWidth="1"/>
    <col min="11" max="11" width="14" bestFit="1" customWidth="1"/>
    <col min="12" max="12" width="28" bestFit="1" customWidth="1"/>
    <col min="13" max="13" width="20.375" bestFit="1" customWidth="1"/>
    <col min="14" max="14" width="13" bestFit="1" customWidth="1"/>
    <col min="15" max="15" width="11.375" bestFit="1" customWidth="1"/>
    <col min="16" max="16" width="12.625" bestFit="1" customWidth="1"/>
    <col min="17" max="17" width="11.875" bestFit="1" customWidth="1"/>
    <col min="18" max="18" width="13" bestFit="1" customWidth="1"/>
    <col min="19" max="19" width="11.75" bestFit="1" customWidth="1"/>
    <col min="20" max="20" width="12.875" bestFit="1" customWidth="1"/>
    <col min="21" max="21" width="12.625" bestFit="1" customWidth="1"/>
    <col min="22" max="22" width="13.75" bestFit="1" customWidth="1"/>
    <col min="23" max="23" width="9.875" bestFit="1" customWidth="1"/>
    <col min="24" max="24" width="11" bestFit="1" customWidth="1"/>
    <col min="25" max="25" width="10.375" bestFit="1" customWidth="1"/>
    <col min="26" max="26" width="11.625" bestFit="1" customWidth="1"/>
    <col min="27" max="27" width="11" bestFit="1" customWidth="1"/>
    <col min="28" max="28" width="12.125" bestFit="1" customWidth="1"/>
    <col min="29" max="37" width="6" bestFit="1" customWidth="1"/>
    <col min="38" max="80" width="6.75" bestFit="1" customWidth="1"/>
    <col min="81" max="81" width="16.875" bestFit="1" customWidth="1"/>
    <col min="82" max="82" width="20" bestFit="1" customWidth="1"/>
    <col min="83" max="83" width="41.75" bestFit="1" customWidth="1"/>
    <col min="84" max="84" width="24.125" bestFit="1" customWidth="1"/>
    <col min="85" max="85" width="12.375" bestFit="1" customWidth="1"/>
    <col min="86" max="86" width="13.875" bestFit="1" customWidth="1"/>
    <col min="87" max="87" width="146.875" bestFit="1" customWidth="1"/>
    <col min="88" max="88" width="16.75" bestFit="1" customWidth="1"/>
    <col min="89" max="89" width="13.25" bestFit="1" customWidth="1"/>
    <col min="90" max="90" width="25.25" bestFit="1" customWidth="1"/>
  </cols>
  <sheetData>
    <row r="1" spans="1:90">
      <c r="A1" t="s">
        <v>1405</v>
      </c>
      <c r="B1" t="s">
        <v>1406</v>
      </c>
      <c r="C1" t="s">
        <v>1407</v>
      </c>
      <c r="D1" t="s">
        <v>1408</v>
      </c>
      <c r="E1" t="s">
        <v>1409</v>
      </c>
      <c r="F1" t="s">
        <v>1410</v>
      </c>
      <c r="G1" t="s">
        <v>1411</v>
      </c>
      <c r="H1" t="s">
        <v>1246</v>
      </c>
      <c r="I1" t="s">
        <v>1412</v>
      </c>
      <c r="J1" t="s">
        <v>1239</v>
      </c>
      <c r="K1" t="s">
        <v>7</v>
      </c>
      <c r="L1" t="s">
        <v>1413</v>
      </c>
      <c r="M1" t="s">
        <v>1414</v>
      </c>
      <c r="N1" t="s">
        <v>1415</v>
      </c>
      <c r="O1" t="s">
        <v>1416</v>
      </c>
      <c r="P1" t="s">
        <v>1417</v>
      </c>
      <c r="Q1" t="s">
        <v>1418</v>
      </c>
      <c r="R1" t="s">
        <v>1419</v>
      </c>
      <c r="S1" t="s">
        <v>1420</v>
      </c>
      <c r="T1" t="s">
        <v>1421</v>
      </c>
      <c r="U1" t="s">
        <v>1422</v>
      </c>
      <c r="V1" t="s">
        <v>1423</v>
      </c>
      <c r="W1" t="s">
        <v>1424</v>
      </c>
      <c r="X1" t="s">
        <v>1425</v>
      </c>
      <c r="Y1" t="s">
        <v>1426</v>
      </c>
      <c r="Z1" t="s">
        <v>1427</v>
      </c>
      <c r="AA1" t="s">
        <v>1428</v>
      </c>
      <c r="AB1" t="s">
        <v>1429</v>
      </c>
      <c r="AC1" t="s">
        <v>1430</v>
      </c>
      <c r="AD1" t="s">
        <v>1431</v>
      </c>
      <c r="AE1" t="s">
        <v>1432</v>
      </c>
      <c r="AF1" t="s">
        <v>1433</v>
      </c>
      <c r="AG1" t="s">
        <v>1434</v>
      </c>
      <c r="AH1" t="s">
        <v>1435</v>
      </c>
      <c r="AI1" t="s">
        <v>1436</v>
      </c>
      <c r="AJ1" t="s">
        <v>1437</v>
      </c>
      <c r="AK1" t="s">
        <v>1438</v>
      </c>
      <c r="AL1" t="s">
        <v>1439</v>
      </c>
      <c r="AM1" t="s">
        <v>1440</v>
      </c>
      <c r="AN1" t="s">
        <v>1441</v>
      </c>
      <c r="AO1" t="s">
        <v>1442</v>
      </c>
      <c r="AP1" t="s">
        <v>1443</v>
      </c>
      <c r="AQ1" t="s">
        <v>1444</v>
      </c>
      <c r="AR1" t="s">
        <v>1445</v>
      </c>
      <c r="AS1" t="s">
        <v>1446</v>
      </c>
      <c r="AT1" t="s">
        <v>1447</v>
      </c>
      <c r="AU1" t="s">
        <v>1448</v>
      </c>
      <c r="AV1" t="s">
        <v>1449</v>
      </c>
      <c r="AW1" t="s">
        <v>1450</v>
      </c>
      <c r="AX1" t="s">
        <v>1451</v>
      </c>
      <c r="AY1" t="s">
        <v>1452</v>
      </c>
      <c r="AZ1" t="s">
        <v>1453</v>
      </c>
      <c r="BA1" t="s">
        <v>1454</v>
      </c>
      <c r="BB1" t="s">
        <v>1455</v>
      </c>
      <c r="BC1" t="s">
        <v>1456</v>
      </c>
      <c r="BD1" t="s">
        <v>1457</v>
      </c>
      <c r="BE1" t="s">
        <v>1458</v>
      </c>
      <c r="BF1" t="s">
        <v>1459</v>
      </c>
      <c r="BG1" t="s">
        <v>1460</v>
      </c>
      <c r="BH1" t="s">
        <v>1461</v>
      </c>
      <c r="BI1" t="s">
        <v>1462</v>
      </c>
      <c r="BJ1" t="s">
        <v>1463</v>
      </c>
      <c r="BK1" t="s">
        <v>1464</v>
      </c>
      <c r="BL1" t="s">
        <v>1465</v>
      </c>
      <c r="BM1" t="s">
        <v>1466</v>
      </c>
      <c r="BN1" t="s">
        <v>1467</v>
      </c>
      <c r="BO1" t="s">
        <v>1468</v>
      </c>
      <c r="BP1" t="s">
        <v>1469</v>
      </c>
      <c r="BQ1" t="s">
        <v>1470</v>
      </c>
      <c r="BR1" t="s">
        <v>1471</v>
      </c>
      <c r="BS1" t="s">
        <v>1472</v>
      </c>
      <c r="BT1" t="s">
        <v>1473</v>
      </c>
      <c r="BU1" t="s">
        <v>1474</v>
      </c>
      <c r="BV1" t="s">
        <v>1475</v>
      </c>
      <c r="BW1" t="s">
        <v>1476</v>
      </c>
      <c r="BX1" t="s">
        <v>1477</v>
      </c>
      <c r="BY1" t="s">
        <v>1478</v>
      </c>
      <c r="BZ1" t="s">
        <v>1479</v>
      </c>
      <c r="CA1" t="s">
        <v>1480</v>
      </c>
      <c r="CB1" t="s">
        <v>1481</v>
      </c>
      <c r="CC1" t="s">
        <v>1482</v>
      </c>
      <c r="CD1" t="s">
        <v>1483</v>
      </c>
      <c r="CE1" t="s">
        <v>1484</v>
      </c>
      <c r="CF1" t="s">
        <v>1485</v>
      </c>
      <c r="CG1" t="s">
        <v>1486</v>
      </c>
      <c r="CH1" t="s">
        <v>1487</v>
      </c>
      <c r="CI1" t="s">
        <v>1488</v>
      </c>
      <c r="CJ1" t="s">
        <v>1489</v>
      </c>
      <c r="CK1" t="s">
        <v>1490</v>
      </c>
      <c r="CL1" t="s">
        <v>1491</v>
      </c>
    </row>
    <row r="2" spans="1:90">
      <c r="A2">
        <v>435</v>
      </c>
      <c r="B2">
        <v>697</v>
      </c>
      <c r="C2" t="s">
        <v>1328</v>
      </c>
      <c r="D2">
        <v>3</v>
      </c>
      <c r="E2" t="s">
        <v>1492</v>
      </c>
      <c r="F2">
        <v>8</v>
      </c>
      <c r="G2">
        <v>1</v>
      </c>
      <c r="H2">
        <v>3</v>
      </c>
      <c r="I2" t="s">
        <v>207</v>
      </c>
      <c r="J2" t="s">
        <v>1254</v>
      </c>
      <c r="K2" t="s">
        <v>15</v>
      </c>
      <c r="L2" t="s">
        <v>1493</v>
      </c>
      <c r="M2" t="s">
        <v>1492</v>
      </c>
      <c r="N2" t="s">
        <v>1492</v>
      </c>
      <c r="O2" t="s">
        <v>1302</v>
      </c>
      <c r="P2" t="s">
        <v>1372</v>
      </c>
      <c r="Q2" t="s">
        <v>1302</v>
      </c>
      <c r="R2" t="s">
        <v>1372</v>
      </c>
      <c r="S2" t="s">
        <v>1302</v>
      </c>
      <c r="T2" t="s">
        <v>1372</v>
      </c>
      <c r="U2" t="s">
        <v>1302</v>
      </c>
      <c r="V2" t="s">
        <v>1372</v>
      </c>
      <c r="W2" t="s">
        <v>1257</v>
      </c>
      <c r="X2" t="s">
        <v>1257</v>
      </c>
      <c r="Y2" t="s">
        <v>1257</v>
      </c>
      <c r="Z2" t="s">
        <v>1257</v>
      </c>
      <c r="AA2" t="s">
        <v>1257</v>
      </c>
      <c r="AB2" t="s">
        <v>1257</v>
      </c>
      <c r="AC2" t="b">
        <v>0</v>
      </c>
      <c r="AD2" t="b">
        <v>0</v>
      </c>
      <c r="AE2" t="b">
        <v>0</v>
      </c>
      <c r="AF2" t="b">
        <v>0</v>
      </c>
      <c r="AG2" t="b">
        <v>0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b">
        <v>0</v>
      </c>
      <c r="AP2" t="b">
        <v>0</v>
      </c>
      <c r="AQ2" t="b">
        <v>0</v>
      </c>
      <c r="AR2" t="b">
        <v>0</v>
      </c>
      <c r="AS2" t="b">
        <v>0</v>
      </c>
      <c r="AT2" t="b">
        <v>0</v>
      </c>
      <c r="AU2" t="b">
        <v>0</v>
      </c>
      <c r="AV2" t="b">
        <v>0</v>
      </c>
      <c r="AW2" t="b">
        <v>0</v>
      </c>
      <c r="AX2" t="b">
        <v>0</v>
      </c>
      <c r="AY2" t="b">
        <v>0</v>
      </c>
      <c r="AZ2" t="b">
        <v>0</v>
      </c>
      <c r="BA2" t="b">
        <v>0</v>
      </c>
      <c r="BB2" t="b">
        <v>0</v>
      </c>
      <c r="BC2" t="b">
        <v>0</v>
      </c>
      <c r="BD2" t="b">
        <v>0</v>
      </c>
      <c r="BE2" t="b">
        <v>0</v>
      </c>
      <c r="BF2" t="b">
        <v>0</v>
      </c>
      <c r="BG2" t="b">
        <v>0</v>
      </c>
      <c r="BH2" t="b">
        <v>0</v>
      </c>
      <c r="BI2" t="b">
        <v>0</v>
      </c>
      <c r="BJ2" t="b">
        <v>0</v>
      </c>
      <c r="BK2" t="b">
        <v>0</v>
      </c>
      <c r="BL2" t="b">
        <v>0</v>
      </c>
      <c r="BM2" t="b">
        <v>0</v>
      </c>
      <c r="BN2" t="b">
        <v>0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0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 t="b">
        <v>0</v>
      </c>
      <c r="CC2" t="s">
        <v>1253</v>
      </c>
      <c r="CD2" t="s">
        <v>1492</v>
      </c>
      <c r="CE2" t="s">
        <v>1494</v>
      </c>
      <c r="CF2" t="s">
        <v>1495</v>
      </c>
      <c r="CG2" t="b">
        <v>0</v>
      </c>
      <c r="CH2">
        <v>0</v>
      </c>
      <c r="CI2" t="s">
        <v>1492</v>
      </c>
      <c r="CJ2" t="s">
        <v>1496</v>
      </c>
      <c r="CK2" t="s">
        <v>1329</v>
      </c>
      <c r="CL2" t="s">
        <v>1497</v>
      </c>
    </row>
    <row r="3" spans="1:90">
      <c r="A3">
        <v>437</v>
      </c>
      <c r="B3">
        <v>697</v>
      </c>
      <c r="C3" t="s">
        <v>1273</v>
      </c>
      <c r="D3">
        <v>1</v>
      </c>
      <c r="E3" t="s">
        <v>1492</v>
      </c>
      <c r="F3">
        <v>8</v>
      </c>
      <c r="G3">
        <v>1</v>
      </c>
      <c r="H3">
        <v>3</v>
      </c>
      <c r="I3" t="s">
        <v>207</v>
      </c>
      <c r="J3" t="s">
        <v>1254</v>
      </c>
      <c r="K3" t="s">
        <v>15</v>
      </c>
      <c r="L3" t="s">
        <v>1493</v>
      </c>
      <c r="M3" t="s">
        <v>1492</v>
      </c>
      <c r="N3" t="s">
        <v>1492</v>
      </c>
      <c r="O3" t="s">
        <v>1302</v>
      </c>
      <c r="P3" t="s">
        <v>1372</v>
      </c>
      <c r="Q3" t="s">
        <v>1302</v>
      </c>
      <c r="R3" t="s">
        <v>1372</v>
      </c>
      <c r="S3" t="s">
        <v>1302</v>
      </c>
      <c r="T3" t="s">
        <v>1372</v>
      </c>
      <c r="U3" t="s">
        <v>1302</v>
      </c>
      <c r="V3" t="s">
        <v>1372</v>
      </c>
      <c r="W3" t="s">
        <v>1257</v>
      </c>
      <c r="X3" t="s">
        <v>1257</v>
      </c>
      <c r="Y3" t="s">
        <v>1257</v>
      </c>
      <c r="Z3" t="s">
        <v>1257</v>
      </c>
      <c r="AA3" t="s">
        <v>1257</v>
      </c>
      <c r="AB3" t="s">
        <v>1257</v>
      </c>
      <c r="AC3" t="b">
        <v>0</v>
      </c>
      <c r="AD3" t="b">
        <v>0</v>
      </c>
      <c r="AE3" t="b">
        <v>0</v>
      </c>
      <c r="AF3" t="b">
        <v>0</v>
      </c>
      <c r="AG3" t="b">
        <v>0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b">
        <v>0</v>
      </c>
      <c r="AP3" t="b">
        <v>0</v>
      </c>
      <c r="AQ3" t="b">
        <v>0</v>
      </c>
      <c r="AR3" t="b">
        <v>0</v>
      </c>
      <c r="AS3" t="b">
        <v>0</v>
      </c>
      <c r="AT3" t="b">
        <v>0</v>
      </c>
      <c r="AU3" t="b">
        <v>0</v>
      </c>
      <c r="AV3" t="b">
        <v>0</v>
      </c>
      <c r="AW3" t="b">
        <v>0</v>
      </c>
      <c r="AX3" t="b">
        <v>0</v>
      </c>
      <c r="AY3" t="b">
        <v>0</v>
      </c>
      <c r="AZ3" t="b">
        <v>0</v>
      </c>
      <c r="BA3" t="b">
        <v>0</v>
      </c>
      <c r="BB3" t="b">
        <v>0</v>
      </c>
      <c r="BC3" t="b">
        <v>0</v>
      </c>
      <c r="BD3" t="b">
        <v>0</v>
      </c>
      <c r="BE3" t="b">
        <v>0</v>
      </c>
      <c r="BF3" t="b">
        <v>0</v>
      </c>
      <c r="BG3" t="b">
        <v>0</v>
      </c>
      <c r="BH3" t="b">
        <v>0</v>
      </c>
      <c r="BI3" t="b">
        <v>0</v>
      </c>
      <c r="BJ3" t="b">
        <v>0</v>
      </c>
      <c r="BK3" t="b">
        <v>0</v>
      </c>
      <c r="BL3" t="b">
        <v>0</v>
      </c>
      <c r="BM3" t="b">
        <v>0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0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 t="b">
        <v>0</v>
      </c>
      <c r="CC3" t="s">
        <v>1253</v>
      </c>
      <c r="CD3" t="s">
        <v>1492</v>
      </c>
      <c r="CE3" t="s">
        <v>1494</v>
      </c>
      <c r="CF3" t="s">
        <v>1495</v>
      </c>
      <c r="CG3" t="b">
        <v>0</v>
      </c>
      <c r="CH3">
        <v>0</v>
      </c>
      <c r="CI3" t="s">
        <v>1492</v>
      </c>
      <c r="CJ3" t="s">
        <v>1496</v>
      </c>
      <c r="CK3" t="s">
        <v>1279</v>
      </c>
      <c r="CL3" t="s">
        <v>1498</v>
      </c>
    </row>
    <row r="4" spans="1:90">
      <c r="A4">
        <v>436</v>
      </c>
      <c r="B4">
        <v>697</v>
      </c>
      <c r="C4" t="s">
        <v>1273</v>
      </c>
      <c r="D4">
        <v>2</v>
      </c>
      <c r="E4" t="s">
        <v>1492</v>
      </c>
      <c r="F4">
        <v>8</v>
      </c>
      <c r="G4">
        <v>1</v>
      </c>
      <c r="H4">
        <v>2</v>
      </c>
      <c r="I4" t="s">
        <v>207</v>
      </c>
      <c r="J4" t="s">
        <v>1254</v>
      </c>
      <c r="K4" t="s">
        <v>15</v>
      </c>
      <c r="L4" t="s">
        <v>1493</v>
      </c>
      <c r="M4" t="s">
        <v>1492</v>
      </c>
      <c r="N4" t="s">
        <v>1492</v>
      </c>
      <c r="O4" t="s">
        <v>1302</v>
      </c>
      <c r="P4" t="s">
        <v>1372</v>
      </c>
      <c r="Q4" t="s">
        <v>1302</v>
      </c>
      <c r="R4" t="s">
        <v>1372</v>
      </c>
      <c r="S4" t="s">
        <v>1302</v>
      </c>
      <c r="T4" t="s">
        <v>1372</v>
      </c>
      <c r="U4" t="s">
        <v>1302</v>
      </c>
      <c r="V4" t="s">
        <v>1372</v>
      </c>
      <c r="W4" t="s">
        <v>1257</v>
      </c>
      <c r="X4" t="s">
        <v>1257</v>
      </c>
      <c r="Y4" t="s">
        <v>1257</v>
      </c>
      <c r="Z4" t="s">
        <v>1257</v>
      </c>
      <c r="AA4" t="s">
        <v>1257</v>
      </c>
      <c r="AB4" t="s">
        <v>1257</v>
      </c>
      <c r="AC4" t="b">
        <v>0</v>
      </c>
      <c r="AD4" t="b">
        <v>0</v>
      </c>
      <c r="AE4" t="b">
        <v>0</v>
      </c>
      <c r="AF4" t="b">
        <v>0</v>
      </c>
      <c r="AG4" t="b">
        <v>0</v>
      </c>
      <c r="AH4" t="b">
        <v>0</v>
      </c>
      <c r="AI4" t="b">
        <v>0</v>
      </c>
      <c r="AJ4" t="b">
        <v>0</v>
      </c>
      <c r="AK4" t="b">
        <v>0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  <c r="AW4" t="b">
        <v>0</v>
      </c>
      <c r="AX4" t="b">
        <v>0</v>
      </c>
      <c r="AY4" t="b">
        <v>0</v>
      </c>
      <c r="AZ4" t="b">
        <v>0</v>
      </c>
      <c r="BA4" t="b">
        <v>0</v>
      </c>
      <c r="BB4" t="b">
        <v>0</v>
      </c>
      <c r="BC4" t="b">
        <v>0</v>
      </c>
      <c r="BD4" t="b">
        <v>0</v>
      </c>
      <c r="BE4" t="b">
        <v>0</v>
      </c>
      <c r="BF4" t="b">
        <v>0</v>
      </c>
      <c r="BG4" t="b">
        <v>0</v>
      </c>
      <c r="BH4" t="b">
        <v>0</v>
      </c>
      <c r="BI4" t="b">
        <v>0</v>
      </c>
      <c r="BJ4" t="b">
        <v>0</v>
      </c>
      <c r="BK4" t="b">
        <v>0</v>
      </c>
      <c r="BL4" t="b">
        <v>0</v>
      </c>
      <c r="BM4" t="b">
        <v>0</v>
      </c>
      <c r="BN4" t="b">
        <v>0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0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 t="b">
        <v>0</v>
      </c>
      <c r="CC4" t="s">
        <v>1253</v>
      </c>
      <c r="CD4" t="s">
        <v>1492</v>
      </c>
      <c r="CE4" t="s">
        <v>1494</v>
      </c>
      <c r="CF4" t="s">
        <v>1495</v>
      </c>
      <c r="CG4" t="b">
        <v>0</v>
      </c>
      <c r="CH4">
        <v>0</v>
      </c>
      <c r="CI4" t="s">
        <v>1492</v>
      </c>
      <c r="CJ4" t="s">
        <v>1496</v>
      </c>
      <c r="CK4" t="s">
        <v>1279</v>
      </c>
      <c r="CL4" t="s">
        <v>1499</v>
      </c>
    </row>
    <row r="5" spans="1:90">
      <c r="A5">
        <v>438</v>
      </c>
      <c r="B5">
        <v>698</v>
      </c>
      <c r="C5" t="s">
        <v>1273</v>
      </c>
      <c r="D5">
        <v>1</v>
      </c>
      <c r="E5" t="s">
        <v>1492</v>
      </c>
      <c r="F5">
        <v>8</v>
      </c>
      <c r="G5">
        <v>1</v>
      </c>
      <c r="H5">
        <v>3</v>
      </c>
      <c r="I5" t="s">
        <v>955</v>
      </c>
      <c r="J5" t="s">
        <v>1254</v>
      </c>
      <c r="K5" t="s">
        <v>15</v>
      </c>
      <c r="L5" t="s">
        <v>1493</v>
      </c>
      <c r="M5" t="s">
        <v>1492</v>
      </c>
      <c r="N5" t="s">
        <v>1492</v>
      </c>
      <c r="O5" t="s">
        <v>1302</v>
      </c>
      <c r="P5" t="s">
        <v>1372</v>
      </c>
      <c r="Q5" t="s">
        <v>1302</v>
      </c>
      <c r="R5" t="s">
        <v>1372</v>
      </c>
      <c r="S5" t="s">
        <v>1302</v>
      </c>
      <c r="T5" t="s">
        <v>1372</v>
      </c>
      <c r="U5" t="s">
        <v>1302</v>
      </c>
      <c r="V5" t="s">
        <v>1372</v>
      </c>
      <c r="W5" t="s">
        <v>1257</v>
      </c>
      <c r="X5" t="s">
        <v>1257</v>
      </c>
      <c r="Y5" t="s">
        <v>1257</v>
      </c>
      <c r="Z5" t="s">
        <v>1257</v>
      </c>
      <c r="AA5" t="s">
        <v>1257</v>
      </c>
      <c r="AB5" t="s">
        <v>1257</v>
      </c>
      <c r="AC5" t="b">
        <v>0</v>
      </c>
      <c r="AD5" t="b">
        <v>0</v>
      </c>
      <c r="AE5" t="b">
        <v>0</v>
      </c>
      <c r="AF5" t="b">
        <v>0</v>
      </c>
      <c r="AG5" t="b">
        <v>0</v>
      </c>
      <c r="AH5" t="b">
        <v>0</v>
      </c>
      <c r="AI5" t="b">
        <v>0</v>
      </c>
      <c r="AJ5" t="b">
        <v>0</v>
      </c>
      <c r="AK5" t="b">
        <v>0</v>
      </c>
      <c r="AL5" t="b">
        <v>0</v>
      </c>
      <c r="AM5" t="b">
        <v>0</v>
      </c>
      <c r="AN5" t="b">
        <v>0</v>
      </c>
      <c r="AO5" t="b">
        <v>0</v>
      </c>
      <c r="AP5" t="b">
        <v>0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  <c r="AW5" t="b">
        <v>0</v>
      </c>
      <c r="AX5" t="b">
        <v>0</v>
      </c>
      <c r="AY5" t="b">
        <v>0</v>
      </c>
      <c r="AZ5" t="b">
        <v>0</v>
      </c>
      <c r="BA5" t="b">
        <v>0</v>
      </c>
      <c r="BB5" t="b">
        <v>0</v>
      </c>
      <c r="BC5" t="b">
        <v>0</v>
      </c>
      <c r="BD5" t="b">
        <v>0</v>
      </c>
      <c r="BE5" t="b">
        <v>0</v>
      </c>
      <c r="BF5" t="b">
        <v>0</v>
      </c>
      <c r="BG5" t="b">
        <v>0</v>
      </c>
      <c r="BH5" t="b">
        <v>0</v>
      </c>
      <c r="BI5" t="b">
        <v>0</v>
      </c>
      <c r="BJ5" t="b">
        <v>0</v>
      </c>
      <c r="BK5" t="b">
        <v>0</v>
      </c>
      <c r="BL5" t="b">
        <v>0</v>
      </c>
      <c r="BM5" t="b">
        <v>0</v>
      </c>
      <c r="BN5" t="b">
        <v>0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0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 t="b">
        <v>0</v>
      </c>
      <c r="CC5" t="s">
        <v>1253</v>
      </c>
      <c r="CD5" t="s">
        <v>1492</v>
      </c>
      <c r="CE5" t="s">
        <v>1494</v>
      </c>
      <c r="CF5" t="s">
        <v>1495</v>
      </c>
      <c r="CG5" t="b">
        <v>0</v>
      </c>
      <c r="CH5">
        <v>0</v>
      </c>
      <c r="CI5" t="s">
        <v>1492</v>
      </c>
      <c r="CJ5" t="s">
        <v>1500</v>
      </c>
      <c r="CK5" t="s">
        <v>1279</v>
      </c>
      <c r="CL5" t="s">
        <v>1501</v>
      </c>
    </row>
    <row r="6" spans="1:90">
      <c r="A6">
        <v>439</v>
      </c>
      <c r="B6">
        <v>698</v>
      </c>
      <c r="C6" t="s">
        <v>1273</v>
      </c>
      <c r="D6">
        <v>2</v>
      </c>
      <c r="E6" t="s">
        <v>1492</v>
      </c>
      <c r="F6">
        <v>8</v>
      </c>
      <c r="G6">
        <v>1</v>
      </c>
      <c r="H6">
        <v>2</v>
      </c>
      <c r="I6" t="s">
        <v>955</v>
      </c>
      <c r="J6" t="s">
        <v>1254</v>
      </c>
      <c r="K6" t="s">
        <v>15</v>
      </c>
      <c r="L6" t="s">
        <v>1493</v>
      </c>
      <c r="M6" t="s">
        <v>1492</v>
      </c>
      <c r="N6" t="s">
        <v>1492</v>
      </c>
      <c r="O6" t="s">
        <v>1302</v>
      </c>
      <c r="P6" t="s">
        <v>1372</v>
      </c>
      <c r="Q6" t="s">
        <v>1302</v>
      </c>
      <c r="R6" t="s">
        <v>1372</v>
      </c>
      <c r="S6" t="s">
        <v>1302</v>
      </c>
      <c r="T6" t="s">
        <v>1372</v>
      </c>
      <c r="U6" t="s">
        <v>1302</v>
      </c>
      <c r="V6" t="s">
        <v>1372</v>
      </c>
      <c r="W6" t="s">
        <v>1257</v>
      </c>
      <c r="X6" t="s">
        <v>1257</v>
      </c>
      <c r="Y6" t="s">
        <v>1257</v>
      </c>
      <c r="Z6" t="s">
        <v>1257</v>
      </c>
      <c r="AA6" t="s">
        <v>1257</v>
      </c>
      <c r="AB6" t="s">
        <v>1257</v>
      </c>
      <c r="AC6" t="b">
        <v>0</v>
      </c>
      <c r="AD6" t="b">
        <v>0</v>
      </c>
      <c r="AE6" t="b">
        <v>0</v>
      </c>
      <c r="AF6" t="b">
        <v>0</v>
      </c>
      <c r="AG6" t="b">
        <v>0</v>
      </c>
      <c r="AH6" t="b">
        <v>0</v>
      </c>
      <c r="AI6" t="b">
        <v>0</v>
      </c>
      <c r="AJ6" t="b">
        <v>0</v>
      </c>
      <c r="AK6" t="b">
        <v>0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  <c r="AW6" t="b">
        <v>0</v>
      </c>
      <c r="AX6" t="b">
        <v>0</v>
      </c>
      <c r="AY6" t="b">
        <v>0</v>
      </c>
      <c r="AZ6" t="b">
        <v>0</v>
      </c>
      <c r="BA6" t="b">
        <v>0</v>
      </c>
      <c r="BB6" t="b">
        <v>0</v>
      </c>
      <c r="BC6" t="b">
        <v>0</v>
      </c>
      <c r="BD6" t="b">
        <v>0</v>
      </c>
      <c r="BE6" t="b">
        <v>0</v>
      </c>
      <c r="BF6" t="b">
        <v>0</v>
      </c>
      <c r="BG6" t="b">
        <v>0</v>
      </c>
      <c r="BH6" t="b">
        <v>0</v>
      </c>
      <c r="BI6" t="b">
        <v>0</v>
      </c>
      <c r="BJ6" t="b">
        <v>0</v>
      </c>
      <c r="BK6" t="b">
        <v>0</v>
      </c>
      <c r="BL6" t="b">
        <v>0</v>
      </c>
      <c r="BM6" t="b">
        <v>0</v>
      </c>
      <c r="BN6" t="b">
        <v>0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0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 t="b">
        <v>0</v>
      </c>
      <c r="CC6" t="s">
        <v>1253</v>
      </c>
      <c r="CD6" t="s">
        <v>1492</v>
      </c>
      <c r="CE6" t="s">
        <v>1494</v>
      </c>
      <c r="CF6" t="s">
        <v>1495</v>
      </c>
      <c r="CG6" t="b">
        <v>0</v>
      </c>
      <c r="CH6">
        <v>0</v>
      </c>
      <c r="CI6" t="s">
        <v>1492</v>
      </c>
      <c r="CJ6" t="s">
        <v>1500</v>
      </c>
      <c r="CK6" t="s">
        <v>1279</v>
      </c>
      <c r="CL6" t="s">
        <v>1502</v>
      </c>
    </row>
    <row r="7" spans="1:90">
      <c r="A7">
        <v>440</v>
      </c>
      <c r="B7">
        <v>699</v>
      </c>
      <c r="C7" t="s">
        <v>1328</v>
      </c>
      <c r="D7">
        <v>3</v>
      </c>
      <c r="E7" t="s">
        <v>1492</v>
      </c>
      <c r="F7">
        <v>8</v>
      </c>
      <c r="G7">
        <v>1</v>
      </c>
      <c r="H7">
        <v>2</v>
      </c>
      <c r="I7" t="s">
        <v>207</v>
      </c>
      <c r="J7" t="s">
        <v>1254</v>
      </c>
      <c r="K7" t="s">
        <v>15</v>
      </c>
      <c r="L7" t="s">
        <v>1493</v>
      </c>
      <c r="M7" t="s">
        <v>1492</v>
      </c>
      <c r="N7" t="s">
        <v>1492</v>
      </c>
      <c r="O7" t="s">
        <v>1302</v>
      </c>
      <c r="P7" t="s">
        <v>1372</v>
      </c>
      <c r="Q7" t="s">
        <v>1302</v>
      </c>
      <c r="R7" t="s">
        <v>1372</v>
      </c>
      <c r="S7" t="s">
        <v>1302</v>
      </c>
      <c r="T7" t="s">
        <v>1372</v>
      </c>
      <c r="U7" t="s">
        <v>1302</v>
      </c>
      <c r="V7" t="s">
        <v>1372</v>
      </c>
      <c r="W7" t="s">
        <v>1257</v>
      </c>
      <c r="X7" t="s">
        <v>1257</v>
      </c>
      <c r="Y7" t="s">
        <v>1257</v>
      </c>
      <c r="Z7" t="s">
        <v>1257</v>
      </c>
      <c r="AA7" t="s">
        <v>1257</v>
      </c>
      <c r="AB7" t="s">
        <v>1257</v>
      </c>
      <c r="AC7" t="b">
        <v>0</v>
      </c>
      <c r="AD7" t="b">
        <v>0</v>
      </c>
      <c r="AE7" t="b">
        <v>0</v>
      </c>
      <c r="AF7" t="b">
        <v>0</v>
      </c>
      <c r="AG7" t="b">
        <v>0</v>
      </c>
      <c r="AH7" t="b">
        <v>0</v>
      </c>
      <c r="AI7" t="b">
        <v>0</v>
      </c>
      <c r="AJ7" t="b">
        <v>0</v>
      </c>
      <c r="AK7" t="b">
        <v>0</v>
      </c>
      <c r="AL7" t="b">
        <v>0</v>
      </c>
      <c r="AM7" t="b">
        <v>0</v>
      </c>
      <c r="AN7" t="b">
        <v>0</v>
      </c>
      <c r="AO7" t="b">
        <v>0</v>
      </c>
      <c r="AP7" t="b">
        <v>0</v>
      </c>
      <c r="AQ7" t="b">
        <v>0</v>
      </c>
      <c r="AR7" t="b">
        <v>0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  <c r="AY7" t="b">
        <v>1</v>
      </c>
      <c r="AZ7" t="b">
        <v>1</v>
      </c>
      <c r="BA7" t="b">
        <v>1</v>
      </c>
      <c r="BB7" t="b">
        <v>0</v>
      </c>
      <c r="BC7" t="b">
        <v>0</v>
      </c>
      <c r="BD7" t="b">
        <v>0</v>
      </c>
      <c r="BE7" t="b">
        <v>0</v>
      </c>
      <c r="BF7" t="b">
        <v>0</v>
      </c>
      <c r="BG7" t="b">
        <v>0</v>
      </c>
      <c r="BH7" t="b">
        <v>0</v>
      </c>
      <c r="BI7" t="b">
        <v>0</v>
      </c>
      <c r="BJ7" t="b">
        <v>0</v>
      </c>
      <c r="BK7" t="b">
        <v>0</v>
      </c>
      <c r="BL7" t="b">
        <v>0</v>
      </c>
      <c r="BM7" t="b">
        <v>0</v>
      </c>
      <c r="BN7" t="b">
        <v>0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0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 t="b">
        <v>0</v>
      </c>
      <c r="CC7" t="s">
        <v>1253</v>
      </c>
      <c r="CD7" t="s">
        <v>1492</v>
      </c>
      <c r="CE7" t="s">
        <v>1503</v>
      </c>
      <c r="CF7" t="s">
        <v>1495</v>
      </c>
      <c r="CG7" t="b">
        <v>0</v>
      </c>
      <c r="CH7">
        <v>0</v>
      </c>
      <c r="CI7" t="s">
        <v>1492</v>
      </c>
      <c r="CJ7" t="s">
        <v>1504</v>
      </c>
      <c r="CK7" t="s">
        <v>1329</v>
      </c>
      <c r="CL7" t="s">
        <v>1505</v>
      </c>
    </row>
    <row r="8" spans="1:90">
      <c r="A8">
        <v>442</v>
      </c>
      <c r="B8">
        <v>699</v>
      </c>
      <c r="C8" t="s">
        <v>1273</v>
      </c>
      <c r="D8">
        <v>1</v>
      </c>
      <c r="E8" t="s">
        <v>1492</v>
      </c>
      <c r="F8">
        <v>8</v>
      </c>
      <c r="G8">
        <v>1</v>
      </c>
      <c r="H8">
        <v>3</v>
      </c>
      <c r="I8" t="s">
        <v>207</v>
      </c>
      <c r="J8" t="s">
        <v>1254</v>
      </c>
      <c r="K8" t="s">
        <v>15</v>
      </c>
      <c r="L8" t="s">
        <v>1493</v>
      </c>
      <c r="M8" t="s">
        <v>1492</v>
      </c>
      <c r="N8" t="s">
        <v>1492</v>
      </c>
      <c r="O8" t="s">
        <v>1302</v>
      </c>
      <c r="P8" t="s">
        <v>1372</v>
      </c>
      <c r="Q8" t="s">
        <v>1302</v>
      </c>
      <c r="R8" t="s">
        <v>1372</v>
      </c>
      <c r="S8" t="s">
        <v>1302</v>
      </c>
      <c r="T8" t="s">
        <v>1372</v>
      </c>
      <c r="U8" t="s">
        <v>1302</v>
      </c>
      <c r="V8" t="s">
        <v>1372</v>
      </c>
      <c r="W8" t="s">
        <v>1257</v>
      </c>
      <c r="X8" t="s">
        <v>1257</v>
      </c>
      <c r="Y8" t="s">
        <v>1257</v>
      </c>
      <c r="Z8" t="s">
        <v>1257</v>
      </c>
      <c r="AA8" t="s">
        <v>1257</v>
      </c>
      <c r="AB8" t="s">
        <v>1257</v>
      </c>
      <c r="AC8" t="b">
        <v>0</v>
      </c>
      <c r="AD8" t="b">
        <v>0</v>
      </c>
      <c r="AE8" t="b">
        <v>0</v>
      </c>
      <c r="AF8" t="b">
        <v>0</v>
      </c>
      <c r="AG8" t="b">
        <v>0</v>
      </c>
      <c r="AH8" t="b">
        <v>0</v>
      </c>
      <c r="AI8" t="b">
        <v>0</v>
      </c>
      <c r="AJ8" t="b">
        <v>0</v>
      </c>
      <c r="AK8" t="b">
        <v>0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0</v>
      </c>
      <c r="AR8" t="b">
        <v>0</v>
      </c>
      <c r="AS8" t="b">
        <v>0</v>
      </c>
      <c r="AT8" t="b">
        <v>0</v>
      </c>
      <c r="AU8" t="b">
        <v>0</v>
      </c>
      <c r="AV8" t="b">
        <v>0</v>
      </c>
      <c r="AW8" t="b">
        <v>0</v>
      </c>
      <c r="AX8" t="b">
        <v>0</v>
      </c>
      <c r="AY8" t="b">
        <v>0</v>
      </c>
      <c r="AZ8" t="b">
        <v>0</v>
      </c>
      <c r="BA8" t="b">
        <v>0</v>
      </c>
      <c r="BB8" t="b">
        <v>0</v>
      </c>
      <c r="BC8" t="b">
        <v>0</v>
      </c>
      <c r="BD8" t="b">
        <v>0</v>
      </c>
      <c r="BE8" t="b">
        <v>0</v>
      </c>
      <c r="BF8" t="b">
        <v>0</v>
      </c>
      <c r="BG8" t="b">
        <v>0</v>
      </c>
      <c r="BH8" t="b">
        <v>0</v>
      </c>
      <c r="BI8" t="b">
        <v>0</v>
      </c>
      <c r="BJ8" t="b">
        <v>0</v>
      </c>
      <c r="BK8" t="b">
        <v>0</v>
      </c>
      <c r="BL8" t="b">
        <v>0</v>
      </c>
      <c r="BM8" t="b">
        <v>0</v>
      </c>
      <c r="BN8" t="b">
        <v>0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0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 t="b">
        <v>0</v>
      </c>
      <c r="CC8" t="s">
        <v>1253</v>
      </c>
      <c r="CD8" t="s">
        <v>1492</v>
      </c>
      <c r="CE8" t="s">
        <v>1503</v>
      </c>
      <c r="CF8" t="s">
        <v>1495</v>
      </c>
      <c r="CG8" t="b">
        <v>0</v>
      </c>
      <c r="CH8">
        <v>0</v>
      </c>
      <c r="CI8" t="s">
        <v>1492</v>
      </c>
      <c r="CJ8" t="s">
        <v>1504</v>
      </c>
      <c r="CK8" t="s">
        <v>1279</v>
      </c>
      <c r="CL8" t="s">
        <v>1506</v>
      </c>
    </row>
    <row r="9" spans="1:90">
      <c r="A9">
        <v>441</v>
      </c>
      <c r="B9">
        <v>699</v>
      </c>
      <c r="C9" t="s">
        <v>1273</v>
      </c>
      <c r="D9">
        <v>2</v>
      </c>
      <c r="E9" t="s">
        <v>1492</v>
      </c>
      <c r="F9">
        <v>8</v>
      </c>
      <c r="G9">
        <v>1</v>
      </c>
      <c r="H9">
        <v>2</v>
      </c>
      <c r="I9" t="s">
        <v>207</v>
      </c>
      <c r="J9" t="s">
        <v>1254</v>
      </c>
      <c r="K9" t="s">
        <v>15</v>
      </c>
      <c r="L9" t="s">
        <v>1493</v>
      </c>
      <c r="M9" t="s">
        <v>1492</v>
      </c>
      <c r="N9" t="s">
        <v>1492</v>
      </c>
      <c r="O9" t="s">
        <v>1302</v>
      </c>
      <c r="P9" t="s">
        <v>1372</v>
      </c>
      <c r="Q9" t="s">
        <v>1302</v>
      </c>
      <c r="R9" t="s">
        <v>1372</v>
      </c>
      <c r="S9" t="s">
        <v>1302</v>
      </c>
      <c r="T9" t="s">
        <v>1372</v>
      </c>
      <c r="U9" t="s">
        <v>1302</v>
      </c>
      <c r="V9" t="s">
        <v>1372</v>
      </c>
      <c r="W9" t="s">
        <v>1257</v>
      </c>
      <c r="X9" t="s">
        <v>1257</v>
      </c>
      <c r="Y9" t="s">
        <v>1257</v>
      </c>
      <c r="Z9" t="s">
        <v>1257</v>
      </c>
      <c r="AA9" t="s">
        <v>1257</v>
      </c>
      <c r="AB9" t="s">
        <v>1257</v>
      </c>
      <c r="AC9" t="b">
        <v>0</v>
      </c>
      <c r="AD9" t="b">
        <v>0</v>
      </c>
      <c r="AE9" t="b">
        <v>0</v>
      </c>
      <c r="AF9" t="b">
        <v>0</v>
      </c>
      <c r="AG9" t="b">
        <v>0</v>
      </c>
      <c r="AH9" t="b">
        <v>0</v>
      </c>
      <c r="AI9" t="b">
        <v>0</v>
      </c>
      <c r="AJ9" t="b">
        <v>0</v>
      </c>
      <c r="AK9" t="b">
        <v>0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0</v>
      </c>
      <c r="AR9" t="b">
        <v>0</v>
      </c>
      <c r="AS9" t="b">
        <v>0</v>
      </c>
      <c r="AT9" t="b">
        <v>0</v>
      </c>
      <c r="AU9" t="b">
        <v>0</v>
      </c>
      <c r="AV9" t="b">
        <v>0</v>
      </c>
      <c r="AW9" t="b">
        <v>0</v>
      </c>
      <c r="AX9" t="b">
        <v>0</v>
      </c>
      <c r="AY9" t="b">
        <v>0</v>
      </c>
      <c r="AZ9" t="b">
        <v>0</v>
      </c>
      <c r="BA9" t="b">
        <v>0</v>
      </c>
      <c r="BB9" t="b">
        <v>0</v>
      </c>
      <c r="BC9" t="b">
        <v>0</v>
      </c>
      <c r="BD9" t="b">
        <v>0</v>
      </c>
      <c r="BE9" t="b">
        <v>0</v>
      </c>
      <c r="BF9" t="b">
        <v>0</v>
      </c>
      <c r="BG9" t="b">
        <v>0</v>
      </c>
      <c r="BH9" t="b">
        <v>0</v>
      </c>
      <c r="BI9" t="b">
        <v>0</v>
      </c>
      <c r="BJ9" t="b">
        <v>0</v>
      </c>
      <c r="BK9" t="b">
        <v>0</v>
      </c>
      <c r="BL9" t="b">
        <v>0</v>
      </c>
      <c r="BM9" t="b">
        <v>0</v>
      </c>
      <c r="BN9" t="b">
        <v>0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0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 t="b">
        <v>0</v>
      </c>
      <c r="CC9" t="s">
        <v>1253</v>
      </c>
      <c r="CD9" t="s">
        <v>1492</v>
      </c>
      <c r="CE9" t="s">
        <v>1503</v>
      </c>
      <c r="CF9" t="s">
        <v>1495</v>
      </c>
      <c r="CG9" t="b">
        <v>0</v>
      </c>
      <c r="CH9">
        <v>0</v>
      </c>
      <c r="CI9" t="s">
        <v>1492</v>
      </c>
      <c r="CJ9" t="s">
        <v>1504</v>
      </c>
      <c r="CK9" t="s">
        <v>1279</v>
      </c>
      <c r="CL9" t="s">
        <v>1507</v>
      </c>
    </row>
    <row r="10" spans="1:90">
      <c r="A10">
        <v>444</v>
      </c>
      <c r="B10">
        <v>700</v>
      </c>
      <c r="C10" t="s">
        <v>1273</v>
      </c>
      <c r="D10">
        <v>1</v>
      </c>
      <c r="E10" t="s">
        <v>1492</v>
      </c>
      <c r="F10">
        <v>8</v>
      </c>
      <c r="G10">
        <v>1</v>
      </c>
      <c r="H10">
        <v>3</v>
      </c>
      <c r="I10" t="s">
        <v>955</v>
      </c>
      <c r="J10" t="s">
        <v>1254</v>
      </c>
      <c r="K10" t="s">
        <v>15</v>
      </c>
      <c r="L10" t="s">
        <v>1493</v>
      </c>
      <c r="M10" t="s">
        <v>1492</v>
      </c>
      <c r="N10" t="s">
        <v>1492</v>
      </c>
      <c r="O10" t="s">
        <v>1302</v>
      </c>
      <c r="P10" t="s">
        <v>1372</v>
      </c>
      <c r="Q10" t="s">
        <v>1302</v>
      </c>
      <c r="R10" t="s">
        <v>1372</v>
      </c>
      <c r="S10" t="s">
        <v>1302</v>
      </c>
      <c r="T10" t="s">
        <v>1372</v>
      </c>
      <c r="U10" t="s">
        <v>1302</v>
      </c>
      <c r="V10" t="s">
        <v>1372</v>
      </c>
      <c r="W10" t="s">
        <v>1257</v>
      </c>
      <c r="X10" t="s">
        <v>1257</v>
      </c>
      <c r="Y10" t="s">
        <v>1257</v>
      </c>
      <c r="Z10" t="s">
        <v>1257</v>
      </c>
      <c r="AA10" t="s">
        <v>1257</v>
      </c>
      <c r="AB10" t="s">
        <v>1257</v>
      </c>
      <c r="AC10" t="b">
        <v>0</v>
      </c>
      <c r="AD10" t="b">
        <v>0</v>
      </c>
      <c r="AE10" t="b">
        <v>0</v>
      </c>
      <c r="AF10" t="b">
        <v>0</v>
      </c>
      <c r="AG10" t="b">
        <v>0</v>
      </c>
      <c r="AH10" t="b">
        <v>0</v>
      </c>
      <c r="AI10" t="b">
        <v>0</v>
      </c>
      <c r="AJ10" t="b">
        <v>0</v>
      </c>
      <c r="AK10" t="b">
        <v>0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0</v>
      </c>
      <c r="AR10" t="b">
        <v>0</v>
      </c>
      <c r="AS10" t="b">
        <v>0</v>
      </c>
      <c r="AT10" t="b">
        <v>0</v>
      </c>
      <c r="AU10" t="b">
        <v>0</v>
      </c>
      <c r="AV10" t="b">
        <v>0</v>
      </c>
      <c r="AW10" t="b">
        <v>0</v>
      </c>
      <c r="AX10" t="b">
        <v>0</v>
      </c>
      <c r="AY10" t="b">
        <v>0</v>
      </c>
      <c r="AZ10" t="b">
        <v>0</v>
      </c>
      <c r="BA10" t="b">
        <v>0</v>
      </c>
      <c r="BB10" t="b">
        <v>0</v>
      </c>
      <c r="BC10" t="b">
        <v>0</v>
      </c>
      <c r="BD10" t="b">
        <v>0</v>
      </c>
      <c r="BE10" t="b">
        <v>0</v>
      </c>
      <c r="BF10" t="b">
        <v>0</v>
      </c>
      <c r="BG10" t="b">
        <v>0</v>
      </c>
      <c r="BH10" t="b">
        <v>0</v>
      </c>
      <c r="BI10" t="b">
        <v>0</v>
      </c>
      <c r="BJ10" t="b">
        <v>0</v>
      </c>
      <c r="BK10" t="b">
        <v>0</v>
      </c>
      <c r="BL10" t="b">
        <v>0</v>
      </c>
      <c r="BM10" t="b">
        <v>0</v>
      </c>
      <c r="BN10" t="b">
        <v>0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0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 t="b">
        <v>0</v>
      </c>
      <c r="CC10" t="s">
        <v>1253</v>
      </c>
      <c r="CD10" t="s">
        <v>1492</v>
      </c>
      <c r="CE10" t="s">
        <v>1503</v>
      </c>
      <c r="CF10" t="s">
        <v>1495</v>
      </c>
      <c r="CG10" t="b">
        <v>0</v>
      </c>
      <c r="CH10">
        <v>0</v>
      </c>
      <c r="CI10" t="s">
        <v>1492</v>
      </c>
      <c r="CJ10" t="s">
        <v>1508</v>
      </c>
      <c r="CK10" t="s">
        <v>1279</v>
      </c>
      <c r="CL10" t="s">
        <v>1509</v>
      </c>
    </row>
    <row r="11" spans="1:90">
      <c r="A11">
        <v>443</v>
      </c>
      <c r="B11">
        <v>700</v>
      </c>
      <c r="C11" t="s">
        <v>1273</v>
      </c>
      <c r="D11">
        <v>2</v>
      </c>
      <c r="E11" t="s">
        <v>1492</v>
      </c>
      <c r="F11">
        <v>8</v>
      </c>
      <c r="G11">
        <v>1</v>
      </c>
      <c r="H11">
        <v>2</v>
      </c>
      <c r="I11" t="s">
        <v>955</v>
      </c>
      <c r="J11" t="s">
        <v>1254</v>
      </c>
      <c r="K11" t="s">
        <v>15</v>
      </c>
      <c r="L11" t="s">
        <v>1493</v>
      </c>
      <c r="M11" t="s">
        <v>1492</v>
      </c>
      <c r="N11" t="s">
        <v>1492</v>
      </c>
      <c r="O11" t="s">
        <v>1302</v>
      </c>
      <c r="P11" t="s">
        <v>1372</v>
      </c>
      <c r="Q11" t="s">
        <v>1302</v>
      </c>
      <c r="R11" t="s">
        <v>1372</v>
      </c>
      <c r="S11" t="s">
        <v>1302</v>
      </c>
      <c r="T11" t="s">
        <v>1372</v>
      </c>
      <c r="U11" t="s">
        <v>1302</v>
      </c>
      <c r="V11" t="s">
        <v>1372</v>
      </c>
      <c r="W11" t="s">
        <v>1257</v>
      </c>
      <c r="X11" t="s">
        <v>1257</v>
      </c>
      <c r="Y11" t="s">
        <v>1257</v>
      </c>
      <c r="Z11" t="s">
        <v>1257</v>
      </c>
      <c r="AA11" t="s">
        <v>1257</v>
      </c>
      <c r="AB11" t="s">
        <v>1257</v>
      </c>
      <c r="AC11" t="b">
        <v>0</v>
      </c>
      <c r="AD11" t="b">
        <v>0</v>
      </c>
      <c r="AE11" t="b">
        <v>0</v>
      </c>
      <c r="AF11" t="b">
        <v>0</v>
      </c>
      <c r="AG11" t="b">
        <v>0</v>
      </c>
      <c r="AH11" t="b">
        <v>0</v>
      </c>
      <c r="AI11" t="b">
        <v>0</v>
      </c>
      <c r="AJ11" t="b">
        <v>0</v>
      </c>
      <c r="AK11" t="b">
        <v>0</v>
      </c>
      <c r="AL11" t="b">
        <v>0</v>
      </c>
      <c r="AM11" t="b">
        <v>0</v>
      </c>
      <c r="AN11" t="b">
        <v>0</v>
      </c>
      <c r="AO11" t="b">
        <v>0</v>
      </c>
      <c r="AP11" t="b">
        <v>0</v>
      </c>
      <c r="AQ11" t="b">
        <v>0</v>
      </c>
      <c r="AR11" t="b">
        <v>0</v>
      </c>
      <c r="AS11" t="b">
        <v>0</v>
      </c>
      <c r="AT11" t="b">
        <v>0</v>
      </c>
      <c r="AU11" t="b">
        <v>0</v>
      </c>
      <c r="AV11" t="b">
        <v>0</v>
      </c>
      <c r="AW11" t="b">
        <v>0</v>
      </c>
      <c r="AX11" t="b">
        <v>0</v>
      </c>
      <c r="AY11" t="b">
        <v>0</v>
      </c>
      <c r="AZ11" t="b">
        <v>0</v>
      </c>
      <c r="BA11" t="b">
        <v>0</v>
      </c>
      <c r="BB11" t="b">
        <v>0</v>
      </c>
      <c r="BC11" t="b">
        <v>0</v>
      </c>
      <c r="BD11" t="b">
        <v>0</v>
      </c>
      <c r="BE11" t="b">
        <v>0</v>
      </c>
      <c r="BF11" t="b">
        <v>0</v>
      </c>
      <c r="BG11" t="b">
        <v>0</v>
      </c>
      <c r="BH11" t="b">
        <v>0</v>
      </c>
      <c r="BI11" t="b">
        <v>0</v>
      </c>
      <c r="BJ11" t="b">
        <v>0</v>
      </c>
      <c r="BK11" t="b">
        <v>0</v>
      </c>
      <c r="BL11" t="b">
        <v>0</v>
      </c>
      <c r="BM11" t="b">
        <v>0</v>
      </c>
      <c r="BN11" t="b">
        <v>0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0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 t="b">
        <v>0</v>
      </c>
      <c r="CC11" t="s">
        <v>1253</v>
      </c>
      <c r="CD11" t="s">
        <v>1492</v>
      </c>
      <c r="CE11" t="s">
        <v>1503</v>
      </c>
      <c r="CF11" t="s">
        <v>1495</v>
      </c>
      <c r="CG11" t="b">
        <v>0</v>
      </c>
      <c r="CH11">
        <v>0</v>
      </c>
      <c r="CI11" t="s">
        <v>1492</v>
      </c>
      <c r="CJ11" t="s">
        <v>1508</v>
      </c>
      <c r="CK11" t="s">
        <v>1279</v>
      </c>
      <c r="CL11" t="s">
        <v>1510</v>
      </c>
    </row>
    <row r="12" spans="1:90">
      <c r="A12">
        <v>297</v>
      </c>
      <c r="B12">
        <v>291</v>
      </c>
      <c r="C12" t="s">
        <v>1250</v>
      </c>
      <c r="D12">
        <v>1</v>
      </c>
      <c r="E12" t="s">
        <v>1492</v>
      </c>
      <c r="F12">
        <v>20</v>
      </c>
      <c r="G12">
        <v>1</v>
      </c>
      <c r="H12">
        <v>2</v>
      </c>
      <c r="I12" t="s">
        <v>778</v>
      </c>
      <c r="J12" t="s">
        <v>1297</v>
      </c>
      <c r="K12" t="s">
        <v>15</v>
      </c>
      <c r="L12" t="s">
        <v>1511</v>
      </c>
      <c r="M12" t="s">
        <v>1492</v>
      </c>
      <c r="N12" t="s">
        <v>1492</v>
      </c>
      <c r="O12" t="s">
        <v>1285</v>
      </c>
      <c r="P12" t="s">
        <v>1379</v>
      </c>
      <c r="Q12" t="s">
        <v>1285</v>
      </c>
      <c r="R12" t="s">
        <v>1379</v>
      </c>
      <c r="S12" t="s">
        <v>1285</v>
      </c>
      <c r="T12" t="s">
        <v>1379</v>
      </c>
      <c r="U12" t="s">
        <v>1285</v>
      </c>
      <c r="V12" t="s">
        <v>1379</v>
      </c>
      <c r="W12" t="s">
        <v>1285</v>
      </c>
      <c r="X12" t="s">
        <v>1372</v>
      </c>
      <c r="Y12" t="s">
        <v>1257</v>
      </c>
      <c r="Z12" t="s">
        <v>1257</v>
      </c>
      <c r="AA12" t="s">
        <v>1257</v>
      </c>
      <c r="AB12" t="s">
        <v>1257</v>
      </c>
      <c r="AC12" t="b">
        <v>0</v>
      </c>
      <c r="AD12" t="b">
        <v>0</v>
      </c>
      <c r="AE12" t="b">
        <v>0</v>
      </c>
      <c r="AF12" t="b">
        <v>0</v>
      </c>
      <c r="AG12" t="b">
        <v>0</v>
      </c>
      <c r="AH12" t="b">
        <v>0</v>
      </c>
      <c r="AI12" t="b">
        <v>1</v>
      </c>
      <c r="AJ12" t="b">
        <v>1</v>
      </c>
      <c r="AK12" t="b">
        <v>1</v>
      </c>
      <c r="AL12" t="b">
        <v>1</v>
      </c>
      <c r="AM12" t="b">
        <v>1</v>
      </c>
      <c r="AN12" t="b">
        <v>1</v>
      </c>
      <c r="AO12" t="b">
        <v>1</v>
      </c>
      <c r="AP12" t="b">
        <v>1</v>
      </c>
      <c r="AQ12" t="b">
        <v>0</v>
      </c>
      <c r="AR12" t="b">
        <v>0</v>
      </c>
      <c r="AS12" t="b">
        <v>0</v>
      </c>
      <c r="AT12" t="b">
        <v>0</v>
      </c>
      <c r="AU12" t="b">
        <v>0</v>
      </c>
      <c r="AV12" t="b">
        <v>0</v>
      </c>
      <c r="AW12" t="b">
        <v>0</v>
      </c>
      <c r="AX12" t="b">
        <v>0</v>
      </c>
      <c r="AY12" t="b">
        <v>0</v>
      </c>
      <c r="AZ12" t="b">
        <v>0</v>
      </c>
      <c r="BA12" t="b">
        <v>0</v>
      </c>
      <c r="BB12" t="b">
        <v>0</v>
      </c>
      <c r="BC12" t="b">
        <v>0</v>
      </c>
      <c r="BD12" t="b">
        <v>0</v>
      </c>
      <c r="BE12" t="b">
        <v>0</v>
      </c>
      <c r="BF12" t="b">
        <v>0</v>
      </c>
      <c r="BG12" t="b">
        <v>0</v>
      </c>
      <c r="BH12" t="b">
        <v>0</v>
      </c>
      <c r="BI12" t="b">
        <v>0</v>
      </c>
      <c r="BJ12" t="b">
        <v>0</v>
      </c>
      <c r="BK12" t="b">
        <v>0</v>
      </c>
      <c r="BL12" t="b">
        <v>0</v>
      </c>
      <c r="BM12" t="b">
        <v>0</v>
      </c>
      <c r="BN12" t="b">
        <v>0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0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 t="b">
        <v>0</v>
      </c>
      <c r="CC12" t="s">
        <v>1512</v>
      </c>
      <c r="CD12" t="s">
        <v>1492</v>
      </c>
      <c r="CE12" t="s">
        <v>1513</v>
      </c>
      <c r="CF12" t="s">
        <v>1495</v>
      </c>
      <c r="CG12" t="b">
        <v>0</v>
      </c>
      <c r="CH12">
        <v>0</v>
      </c>
      <c r="CI12" t="s">
        <v>1514</v>
      </c>
      <c r="CJ12" t="s">
        <v>1515</v>
      </c>
      <c r="CK12" t="s">
        <v>1251</v>
      </c>
      <c r="CL12" t="s">
        <v>1516</v>
      </c>
    </row>
    <row r="13" spans="1:90">
      <c r="A13">
        <v>298</v>
      </c>
      <c r="B13">
        <v>291</v>
      </c>
      <c r="C13" t="s">
        <v>1250</v>
      </c>
      <c r="D13">
        <v>2</v>
      </c>
      <c r="E13" t="s">
        <v>1492</v>
      </c>
      <c r="F13">
        <v>20</v>
      </c>
      <c r="G13">
        <v>1</v>
      </c>
      <c r="H13">
        <v>2</v>
      </c>
      <c r="I13" t="s">
        <v>778</v>
      </c>
      <c r="J13" t="s">
        <v>1297</v>
      </c>
      <c r="K13" t="s">
        <v>15</v>
      </c>
      <c r="L13" t="s">
        <v>1511</v>
      </c>
      <c r="M13" t="s">
        <v>1492</v>
      </c>
      <c r="N13" t="s">
        <v>1492</v>
      </c>
      <c r="O13" t="s">
        <v>1285</v>
      </c>
      <c r="P13" t="s">
        <v>1379</v>
      </c>
      <c r="Q13" t="s">
        <v>1285</v>
      </c>
      <c r="R13" t="s">
        <v>1379</v>
      </c>
      <c r="S13" t="s">
        <v>1285</v>
      </c>
      <c r="T13" t="s">
        <v>1379</v>
      </c>
      <c r="U13" t="s">
        <v>1285</v>
      </c>
      <c r="V13" t="s">
        <v>1379</v>
      </c>
      <c r="W13" t="s">
        <v>1285</v>
      </c>
      <c r="X13" t="s">
        <v>1372</v>
      </c>
      <c r="Y13" t="s">
        <v>1257</v>
      </c>
      <c r="Z13" t="s">
        <v>1257</v>
      </c>
      <c r="AA13" t="s">
        <v>1257</v>
      </c>
      <c r="AB13" t="s">
        <v>1257</v>
      </c>
      <c r="AC13" t="b">
        <v>0</v>
      </c>
      <c r="AD13" t="b">
        <v>0</v>
      </c>
      <c r="AE13" t="b">
        <v>0</v>
      </c>
      <c r="AF13" t="b">
        <v>0</v>
      </c>
      <c r="AG13" t="b">
        <v>0</v>
      </c>
      <c r="AH13" t="b">
        <v>0</v>
      </c>
      <c r="AI13" t="b">
        <v>1</v>
      </c>
      <c r="AJ13" t="b">
        <v>1</v>
      </c>
      <c r="AK13" t="b">
        <v>1</v>
      </c>
      <c r="AL13" t="b">
        <v>1</v>
      </c>
      <c r="AM13" t="b">
        <v>1</v>
      </c>
      <c r="AN13" t="b">
        <v>1</v>
      </c>
      <c r="AO13" t="b">
        <v>1</v>
      </c>
      <c r="AP13" t="b">
        <v>1</v>
      </c>
      <c r="AQ13" t="b">
        <v>0</v>
      </c>
      <c r="AR13" t="b">
        <v>0</v>
      </c>
      <c r="AS13" t="b">
        <v>0</v>
      </c>
      <c r="AT13" t="b">
        <v>0</v>
      </c>
      <c r="AU13" t="b">
        <v>0</v>
      </c>
      <c r="AV13" t="b">
        <v>0</v>
      </c>
      <c r="AW13" t="b">
        <v>0</v>
      </c>
      <c r="AX13" t="b">
        <v>0</v>
      </c>
      <c r="AY13" t="b">
        <v>0</v>
      </c>
      <c r="AZ13" t="b">
        <v>0</v>
      </c>
      <c r="BA13" t="b">
        <v>0</v>
      </c>
      <c r="BB13" t="b">
        <v>0</v>
      </c>
      <c r="BC13" t="b">
        <v>0</v>
      </c>
      <c r="BD13" t="b">
        <v>0</v>
      </c>
      <c r="BE13" t="b">
        <v>0</v>
      </c>
      <c r="BF13" t="b">
        <v>0</v>
      </c>
      <c r="BG13" t="b">
        <v>0</v>
      </c>
      <c r="BH13" t="b">
        <v>0</v>
      </c>
      <c r="BI13" t="b">
        <v>0</v>
      </c>
      <c r="BJ13" t="b">
        <v>0</v>
      </c>
      <c r="BK13" t="b">
        <v>0</v>
      </c>
      <c r="BL13" t="b">
        <v>0</v>
      </c>
      <c r="BM13" t="b">
        <v>0</v>
      </c>
      <c r="BN13" t="b">
        <v>0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0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 t="b">
        <v>0</v>
      </c>
      <c r="CC13" t="s">
        <v>1512</v>
      </c>
      <c r="CD13" t="s">
        <v>1492</v>
      </c>
      <c r="CE13" t="s">
        <v>1513</v>
      </c>
      <c r="CF13" t="s">
        <v>1495</v>
      </c>
      <c r="CG13" t="b">
        <v>0</v>
      </c>
      <c r="CH13">
        <v>0</v>
      </c>
      <c r="CI13" t="s">
        <v>1514</v>
      </c>
      <c r="CJ13" t="s">
        <v>1515</v>
      </c>
      <c r="CK13" t="s">
        <v>1251</v>
      </c>
      <c r="CL13" t="s">
        <v>1517</v>
      </c>
    </row>
    <row r="14" spans="1:90">
      <c r="A14">
        <v>302</v>
      </c>
      <c r="B14">
        <v>293</v>
      </c>
      <c r="C14" t="s">
        <v>1250</v>
      </c>
      <c r="D14">
        <v>1</v>
      </c>
      <c r="E14" t="s">
        <v>1492</v>
      </c>
      <c r="F14">
        <v>20</v>
      </c>
      <c r="G14">
        <v>1</v>
      </c>
      <c r="H14">
        <v>2</v>
      </c>
      <c r="I14" t="s">
        <v>778</v>
      </c>
      <c r="J14" t="s">
        <v>1297</v>
      </c>
      <c r="K14" t="s">
        <v>15</v>
      </c>
      <c r="L14" t="s">
        <v>1511</v>
      </c>
      <c r="M14" t="s">
        <v>1492</v>
      </c>
      <c r="N14" t="s">
        <v>1492</v>
      </c>
      <c r="O14" t="s">
        <v>1285</v>
      </c>
      <c r="P14" t="s">
        <v>1379</v>
      </c>
      <c r="Q14" t="s">
        <v>1285</v>
      </c>
      <c r="R14" t="s">
        <v>1379</v>
      </c>
      <c r="S14" t="s">
        <v>1285</v>
      </c>
      <c r="T14" t="s">
        <v>1379</v>
      </c>
      <c r="U14" t="s">
        <v>1285</v>
      </c>
      <c r="V14" t="s">
        <v>1379</v>
      </c>
      <c r="W14" t="s">
        <v>1285</v>
      </c>
      <c r="X14" t="s">
        <v>1372</v>
      </c>
      <c r="Y14" t="s">
        <v>1257</v>
      </c>
      <c r="Z14" t="s">
        <v>1257</v>
      </c>
      <c r="AA14" t="s">
        <v>1257</v>
      </c>
      <c r="AB14" t="s">
        <v>1257</v>
      </c>
      <c r="AC14" t="b">
        <v>0</v>
      </c>
      <c r="AD14" t="b">
        <v>0</v>
      </c>
      <c r="AE14" t="b">
        <v>0</v>
      </c>
      <c r="AF14" t="b">
        <v>0</v>
      </c>
      <c r="AG14" t="b">
        <v>0</v>
      </c>
      <c r="AH14" t="b">
        <v>0</v>
      </c>
      <c r="AI14" t="b">
        <v>0</v>
      </c>
      <c r="AJ14" t="b">
        <v>0</v>
      </c>
      <c r="AK14" t="b">
        <v>0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0</v>
      </c>
      <c r="AR14" t="b">
        <v>0</v>
      </c>
      <c r="AS14" t="b">
        <v>0</v>
      </c>
      <c r="AT14" t="b">
        <v>0</v>
      </c>
      <c r="AU14" t="b">
        <v>0</v>
      </c>
      <c r="AV14" t="b">
        <v>0</v>
      </c>
      <c r="AW14" t="b">
        <v>0</v>
      </c>
      <c r="AX14" t="b">
        <v>0</v>
      </c>
      <c r="AY14" t="b">
        <v>0</v>
      </c>
      <c r="AZ14" t="b">
        <v>0</v>
      </c>
      <c r="BA14" t="b">
        <v>0</v>
      </c>
      <c r="BB14" t="b">
        <v>0</v>
      </c>
      <c r="BC14" t="b">
        <v>0</v>
      </c>
      <c r="BD14" t="b">
        <v>0</v>
      </c>
      <c r="BE14" t="b">
        <v>0</v>
      </c>
      <c r="BF14" t="b">
        <v>1</v>
      </c>
      <c r="BG14" t="b">
        <v>1</v>
      </c>
      <c r="BH14" t="b">
        <v>1</v>
      </c>
      <c r="BI14" t="b">
        <v>1</v>
      </c>
      <c r="BJ14" t="b">
        <v>1</v>
      </c>
      <c r="BK14" t="b">
        <v>1</v>
      </c>
      <c r="BL14" t="b">
        <v>1</v>
      </c>
      <c r="BM14" t="b">
        <v>1</v>
      </c>
      <c r="BN14" t="b">
        <v>0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0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 t="b">
        <v>0</v>
      </c>
      <c r="CC14" t="s">
        <v>1512</v>
      </c>
      <c r="CD14" t="s">
        <v>1492</v>
      </c>
      <c r="CE14" t="s">
        <v>1518</v>
      </c>
      <c r="CF14" t="s">
        <v>1495</v>
      </c>
      <c r="CG14" t="b">
        <v>0</v>
      </c>
      <c r="CH14">
        <v>0</v>
      </c>
      <c r="CI14" t="s">
        <v>1514</v>
      </c>
      <c r="CJ14" t="s">
        <v>1519</v>
      </c>
      <c r="CK14" t="s">
        <v>1251</v>
      </c>
      <c r="CL14" t="s">
        <v>1520</v>
      </c>
    </row>
    <row r="15" spans="1:90">
      <c r="A15">
        <v>301</v>
      </c>
      <c r="B15">
        <v>293</v>
      </c>
      <c r="C15" t="s">
        <v>1250</v>
      </c>
      <c r="D15">
        <v>2</v>
      </c>
      <c r="E15" t="s">
        <v>1492</v>
      </c>
      <c r="F15">
        <v>20</v>
      </c>
      <c r="G15">
        <v>1</v>
      </c>
      <c r="H15">
        <v>2</v>
      </c>
      <c r="I15" t="s">
        <v>778</v>
      </c>
      <c r="J15" t="s">
        <v>1297</v>
      </c>
      <c r="K15" t="s">
        <v>15</v>
      </c>
      <c r="L15" t="s">
        <v>1511</v>
      </c>
      <c r="M15" t="s">
        <v>1492</v>
      </c>
      <c r="N15" t="s">
        <v>1492</v>
      </c>
      <c r="O15" t="s">
        <v>1285</v>
      </c>
      <c r="P15" t="s">
        <v>1379</v>
      </c>
      <c r="Q15" t="s">
        <v>1285</v>
      </c>
      <c r="R15" t="s">
        <v>1379</v>
      </c>
      <c r="S15" t="s">
        <v>1285</v>
      </c>
      <c r="T15" t="s">
        <v>1379</v>
      </c>
      <c r="U15" t="s">
        <v>1285</v>
      </c>
      <c r="V15" t="s">
        <v>1379</v>
      </c>
      <c r="W15" t="s">
        <v>1285</v>
      </c>
      <c r="X15" t="s">
        <v>1372</v>
      </c>
      <c r="Y15" t="s">
        <v>1257</v>
      </c>
      <c r="Z15" t="s">
        <v>1257</v>
      </c>
      <c r="AA15" t="s">
        <v>1257</v>
      </c>
      <c r="AB15" t="s">
        <v>1257</v>
      </c>
      <c r="AC15" t="b">
        <v>0</v>
      </c>
      <c r="AD15" t="b">
        <v>0</v>
      </c>
      <c r="AE15" t="b">
        <v>0</v>
      </c>
      <c r="AF15" t="b">
        <v>0</v>
      </c>
      <c r="AG15" t="b">
        <v>0</v>
      </c>
      <c r="AH15" t="b">
        <v>0</v>
      </c>
      <c r="AI15" t="b">
        <v>0</v>
      </c>
      <c r="AJ15" t="b">
        <v>0</v>
      </c>
      <c r="AK15" t="b">
        <v>0</v>
      </c>
      <c r="AL15" t="b">
        <v>0</v>
      </c>
      <c r="AM15" t="b">
        <v>0</v>
      </c>
      <c r="AN15" t="b">
        <v>0</v>
      </c>
      <c r="AO15" t="b">
        <v>0</v>
      </c>
      <c r="AP15" t="b">
        <v>0</v>
      </c>
      <c r="AQ15" t="b">
        <v>0</v>
      </c>
      <c r="AR15" t="b">
        <v>0</v>
      </c>
      <c r="AS15" t="b">
        <v>0</v>
      </c>
      <c r="AT15" t="b">
        <v>0</v>
      </c>
      <c r="AU15" t="b">
        <v>0</v>
      </c>
      <c r="AV15" t="b">
        <v>0</v>
      </c>
      <c r="AW15" t="b">
        <v>0</v>
      </c>
      <c r="AX15" t="b">
        <v>0</v>
      </c>
      <c r="AY15" t="b">
        <v>0</v>
      </c>
      <c r="AZ15" t="b">
        <v>0</v>
      </c>
      <c r="BA15" t="b">
        <v>0</v>
      </c>
      <c r="BB15" t="b">
        <v>0</v>
      </c>
      <c r="BC15" t="b">
        <v>0</v>
      </c>
      <c r="BD15" t="b">
        <v>0</v>
      </c>
      <c r="BE15" t="b">
        <v>0</v>
      </c>
      <c r="BF15" t="b">
        <v>1</v>
      </c>
      <c r="BG15" t="b">
        <v>1</v>
      </c>
      <c r="BH15" t="b">
        <v>1</v>
      </c>
      <c r="BI15" t="b">
        <v>1</v>
      </c>
      <c r="BJ15" t="b">
        <v>1</v>
      </c>
      <c r="BK15" t="b">
        <v>1</v>
      </c>
      <c r="BL15" t="b">
        <v>1</v>
      </c>
      <c r="BM15" t="b">
        <v>1</v>
      </c>
      <c r="BN15" t="b">
        <v>0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0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 t="b">
        <v>0</v>
      </c>
      <c r="CC15" t="s">
        <v>1512</v>
      </c>
      <c r="CD15" t="s">
        <v>1492</v>
      </c>
      <c r="CE15" t="s">
        <v>1518</v>
      </c>
      <c r="CF15" t="s">
        <v>1495</v>
      </c>
      <c r="CG15" t="b">
        <v>0</v>
      </c>
      <c r="CH15">
        <v>0</v>
      </c>
      <c r="CI15" t="s">
        <v>1514</v>
      </c>
      <c r="CJ15" t="s">
        <v>1519</v>
      </c>
      <c r="CK15" t="s">
        <v>1251</v>
      </c>
      <c r="CL15" t="s">
        <v>1521</v>
      </c>
    </row>
    <row r="16" spans="1:90">
      <c r="A16">
        <v>300</v>
      </c>
      <c r="B16">
        <v>292</v>
      </c>
      <c r="C16" t="s">
        <v>1250</v>
      </c>
      <c r="D16">
        <v>1</v>
      </c>
      <c r="E16" t="s">
        <v>1492</v>
      </c>
      <c r="F16">
        <v>8</v>
      </c>
      <c r="G16">
        <v>1</v>
      </c>
      <c r="H16">
        <v>2</v>
      </c>
      <c r="I16" t="s">
        <v>634</v>
      </c>
      <c r="J16" t="s">
        <v>1297</v>
      </c>
      <c r="K16" t="s">
        <v>16</v>
      </c>
      <c r="L16" t="s">
        <v>1522</v>
      </c>
      <c r="M16" t="s">
        <v>1492</v>
      </c>
      <c r="N16" t="s">
        <v>1492</v>
      </c>
      <c r="O16" t="s">
        <v>1302</v>
      </c>
      <c r="P16" t="s">
        <v>1379</v>
      </c>
      <c r="Q16" t="s">
        <v>1302</v>
      </c>
      <c r="R16" t="s">
        <v>1379</v>
      </c>
      <c r="S16" t="s">
        <v>1302</v>
      </c>
      <c r="T16" t="s">
        <v>1379</v>
      </c>
      <c r="U16" t="s">
        <v>1302</v>
      </c>
      <c r="V16" t="s">
        <v>1379</v>
      </c>
      <c r="W16" t="s">
        <v>1302</v>
      </c>
      <c r="X16" t="s">
        <v>1372</v>
      </c>
      <c r="Y16" t="s">
        <v>1257</v>
      </c>
      <c r="Z16" t="s">
        <v>1257</v>
      </c>
      <c r="AA16" t="s">
        <v>1257</v>
      </c>
      <c r="AB16" t="s">
        <v>1257</v>
      </c>
      <c r="AC16" t="b">
        <v>0</v>
      </c>
      <c r="AD16" t="b">
        <v>0</v>
      </c>
      <c r="AE16" t="b">
        <v>0</v>
      </c>
      <c r="AF16" t="b">
        <v>0</v>
      </c>
      <c r="AG16" t="b">
        <v>0</v>
      </c>
      <c r="AH16" t="b">
        <v>0</v>
      </c>
      <c r="AI16" t="b">
        <v>0</v>
      </c>
      <c r="AJ16" t="b">
        <v>1</v>
      </c>
      <c r="AK16" t="b">
        <v>1</v>
      </c>
      <c r="AL16" t="b">
        <v>1</v>
      </c>
      <c r="AM16" t="b">
        <v>1</v>
      </c>
      <c r="AN16" t="b">
        <v>1</v>
      </c>
      <c r="AO16" t="b">
        <v>1</v>
      </c>
      <c r="AP16" t="b">
        <v>1</v>
      </c>
      <c r="AQ16" t="b">
        <v>1</v>
      </c>
      <c r="AR16" t="b">
        <v>0</v>
      </c>
      <c r="AS16" t="b">
        <v>0</v>
      </c>
      <c r="AT16" t="b">
        <v>0</v>
      </c>
      <c r="AU16" t="b">
        <v>0</v>
      </c>
      <c r="AV16" t="b">
        <v>0</v>
      </c>
      <c r="AW16" t="b">
        <v>0</v>
      </c>
      <c r="AX16" t="b">
        <v>0</v>
      </c>
      <c r="AY16" t="b">
        <v>0</v>
      </c>
      <c r="AZ16" t="b">
        <v>0</v>
      </c>
      <c r="BA16" t="b">
        <v>0</v>
      </c>
      <c r="BB16" t="b">
        <v>0</v>
      </c>
      <c r="BC16" t="b">
        <v>0</v>
      </c>
      <c r="BD16" t="b">
        <v>0</v>
      </c>
      <c r="BE16" t="b">
        <v>0</v>
      </c>
      <c r="BF16" t="b">
        <v>0</v>
      </c>
      <c r="BG16" t="b">
        <v>0</v>
      </c>
      <c r="BH16" t="b">
        <v>0</v>
      </c>
      <c r="BI16" t="b">
        <v>0</v>
      </c>
      <c r="BJ16" t="b">
        <v>0</v>
      </c>
      <c r="BK16" t="b">
        <v>0</v>
      </c>
      <c r="BL16" t="b">
        <v>0</v>
      </c>
      <c r="BM16" t="b">
        <v>0</v>
      </c>
      <c r="BN16" t="b">
        <v>0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0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 t="b">
        <v>0</v>
      </c>
      <c r="CC16" t="s">
        <v>1512</v>
      </c>
      <c r="CD16" t="s">
        <v>1492</v>
      </c>
      <c r="CE16" t="s">
        <v>1513</v>
      </c>
      <c r="CF16" t="s">
        <v>1495</v>
      </c>
      <c r="CG16" t="b">
        <v>0</v>
      </c>
      <c r="CH16">
        <v>0</v>
      </c>
      <c r="CI16" t="s">
        <v>1514</v>
      </c>
      <c r="CJ16" t="s">
        <v>1523</v>
      </c>
      <c r="CK16" t="s">
        <v>1251</v>
      </c>
      <c r="CL16" t="s">
        <v>1524</v>
      </c>
    </row>
    <row r="17" spans="1:90">
      <c r="A17">
        <v>299</v>
      </c>
      <c r="B17">
        <v>292</v>
      </c>
      <c r="C17" t="s">
        <v>1250</v>
      </c>
      <c r="D17">
        <v>2</v>
      </c>
      <c r="E17" t="s">
        <v>1492</v>
      </c>
      <c r="F17">
        <v>8</v>
      </c>
      <c r="G17">
        <v>1</v>
      </c>
      <c r="H17">
        <v>2</v>
      </c>
      <c r="I17" t="s">
        <v>634</v>
      </c>
      <c r="J17" t="s">
        <v>1297</v>
      </c>
      <c r="K17" t="s">
        <v>16</v>
      </c>
      <c r="L17" t="s">
        <v>1522</v>
      </c>
      <c r="M17" t="s">
        <v>1492</v>
      </c>
      <c r="N17" t="s">
        <v>1492</v>
      </c>
      <c r="O17" t="s">
        <v>1302</v>
      </c>
      <c r="P17" t="s">
        <v>1379</v>
      </c>
      <c r="Q17" t="s">
        <v>1302</v>
      </c>
      <c r="R17" t="s">
        <v>1379</v>
      </c>
      <c r="S17" t="s">
        <v>1302</v>
      </c>
      <c r="T17" t="s">
        <v>1379</v>
      </c>
      <c r="U17" t="s">
        <v>1302</v>
      </c>
      <c r="V17" t="s">
        <v>1379</v>
      </c>
      <c r="W17" t="s">
        <v>1302</v>
      </c>
      <c r="X17" t="s">
        <v>1372</v>
      </c>
      <c r="Y17" t="s">
        <v>1257</v>
      </c>
      <c r="Z17" t="s">
        <v>1257</v>
      </c>
      <c r="AA17" t="s">
        <v>1257</v>
      </c>
      <c r="AB17" t="s">
        <v>1257</v>
      </c>
      <c r="AC17" t="b">
        <v>0</v>
      </c>
      <c r="AD17" t="b">
        <v>0</v>
      </c>
      <c r="AE17" t="b">
        <v>0</v>
      </c>
      <c r="AF17" t="b">
        <v>0</v>
      </c>
      <c r="AG17" t="b">
        <v>0</v>
      </c>
      <c r="AH17" t="b">
        <v>0</v>
      </c>
      <c r="AI17" t="b">
        <v>0</v>
      </c>
      <c r="AJ17" t="b">
        <v>1</v>
      </c>
      <c r="AK17" t="b">
        <v>1</v>
      </c>
      <c r="AL17" t="b">
        <v>1</v>
      </c>
      <c r="AM17" t="b">
        <v>1</v>
      </c>
      <c r="AN17" t="b">
        <v>1</v>
      </c>
      <c r="AO17" t="b">
        <v>1</v>
      </c>
      <c r="AP17" t="b">
        <v>1</v>
      </c>
      <c r="AQ17" t="b">
        <v>1</v>
      </c>
      <c r="AR17" t="b">
        <v>0</v>
      </c>
      <c r="AS17" t="b">
        <v>0</v>
      </c>
      <c r="AT17" t="b">
        <v>0</v>
      </c>
      <c r="AU17" t="b">
        <v>0</v>
      </c>
      <c r="AV17" t="b">
        <v>0</v>
      </c>
      <c r="AW17" t="b">
        <v>0</v>
      </c>
      <c r="AX17" t="b">
        <v>0</v>
      </c>
      <c r="AY17" t="b">
        <v>0</v>
      </c>
      <c r="AZ17" t="b">
        <v>0</v>
      </c>
      <c r="BA17" t="b">
        <v>0</v>
      </c>
      <c r="BB17" t="b">
        <v>0</v>
      </c>
      <c r="BC17" t="b">
        <v>0</v>
      </c>
      <c r="BD17" t="b">
        <v>0</v>
      </c>
      <c r="BE17" t="b">
        <v>0</v>
      </c>
      <c r="BF17" t="b">
        <v>0</v>
      </c>
      <c r="BG17" t="b">
        <v>0</v>
      </c>
      <c r="BH17" t="b">
        <v>0</v>
      </c>
      <c r="BI17" t="b">
        <v>0</v>
      </c>
      <c r="BJ17" t="b">
        <v>0</v>
      </c>
      <c r="BK17" t="b">
        <v>0</v>
      </c>
      <c r="BL17" t="b">
        <v>0</v>
      </c>
      <c r="BM17" t="b">
        <v>0</v>
      </c>
      <c r="BN17" t="b">
        <v>0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0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 t="b">
        <v>0</v>
      </c>
      <c r="CC17" t="s">
        <v>1512</v>
      </c>
      <c r="CD17" t="s">
        <v>1492</v>
      </c>
      <c r="CE17" t="s">
        <v>1513</v>
      </c>
      <c r="CF17" t="s">
        <v>1495</v>
      </c>
      <c r="CG17" t="b">
        <v>0</v>
      </c>
      <c r="CH17">
        <v>0</v>
      </c>
      <c r="CI17" t="s">
        <v>1514</v>
      </c>
      <c r="CJ17" t="s">
        <v>1523</v>
      </c>
      <c r="CK17" t="s">
        <v>1251</v>
      </c>
      <c r="CL17" t="s">
        <v>1525</v>
      </c>
    </row>
    <row r="18" spans="1:90">
      <c r="A18">
        <v>304</v>
      </c>
      <c r="B18">
        <v>294</v>
      </c>
      <c r="C18" t="s">
        <v>1250</v>
      </c>
      <c r="D18">
        <v>1</v>
      </c>
      <c r="E18" t="s">
        <v>1492</v>
      </c>
      <c r="F18">
        <v>8</v>
      </c>
      <c r="G18">
        <v>1</v>
      </c>
      <c r="H18">
        <v>2</v>
      </c>
      <c r="I18" t="s">
        <v>634</v>
      </c>
      <c r="J18" t="s">
        <v>1297</v>
      </c>
      <c r="K18" t="s">
        <v>16</v>
      </c>
      <c r="L18" t="s">
        <v>1522</v>
      </c>
      <c r="M18" t="s">
        <v>1492</v>
      </c>
      <c r="N18" t="s">
        <v>1492</v>
      </c>
      <c r="O18" t="s">
        <v>1302</v>
      </c>
      <c r="P18" t="s">
        <v>1379</v>
      </c>
      <c r="Q18" t="s">
        <v>1302</v>
      </c>
      <c r="R18" t="s">
        <v>1379</v>
      </c>
      <c r="S18" t="s">
        <v>1302</v>
      </c>
      <c r="T18" t="s">
        <v>1379</v>
      </c>
      <c r="U18" t="s">
        <v>1302</v>
      </c>
      <c r="V18" t="s">
        <v>1379</v>
      </c>
      <c r="W18" t="s">
        <v>1302</v>
      </c>
      <c r="X18" t="s">
        <v>1372</v>
      </c>
      <c r="Y18" t="s">
        <v>1257</v>
      </c>
      <c r="Z18" t="s">
        <v>1257</v>
      </c>
      <c r="AA18" t="s">
        <v>1257</v>
      </c>
      <c r="AB18" t="s">
        <v>1257</v>
      </c>
      <c r="AC18" t="b">
        <v>0</v>
      </c>
      <c r="AD18" t="b">
        <v>0</v>
      </c>
      <c r="AE18" t="b">
        <v>0</v>
      </c>
      <c r="AF18" t="b">
        <v>0</v>
      </c>
      <c r="AG18" t="b">
        <v>0</v>
      </c>
      <c r="AH18" t="b">
        <v>0</v>
      </c>
      <c r="AI18" t="b">
        <v>0</v>
      </c>
      <c r="AJ18" t="b">
        <v>0</v>
      </c>
      <c r="AK18" t="b">
        <v>0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0</v>
      </c>
      <c r="AS18" t="b">
        <v>0</v>
      </c>
      <c r="AT18" t="b">
        <v>0</v>
      </c>
      <c r="AU18" t="b">
        <v>0</v>
      </c>
      <c r="AV18" t="b">
        <v>0</v>
      </c>
      <c r="AW18" t="b">
        <v>0</v>
      </c>
      <c r="AX18" t="b">
        <v>0</v>
      </c>
      <c r="AY18" t="b">
        <v>0</v>
      </c>
      <c r="AZ18" t="b">
        <v>0</v>
      </c>
      <c r="BA18" t="b">
        <v>0</v>
      </c>
      <c r="BB18" t="b">
        <v>0</v>
      </c>
      <c r="BC18" t="b">
        <v>0</v>
      </c>
      <c r="BD18" t="b">
        <v>0</v>
      </c>
      <c r="BE18" t="b">
        <v>0</v>
      </c>
      <c r="BF18" t="b">
        <v>0</v>
      </c>
      <c r="BG18" t="b">
        <v>0</v>
      </c>
      <c r="BH18" t="b">
        <v>0</v>
      </c>
      <c r="BI18" t="b">
        <v>0</v>
      </c>
      <c r="BJ18" t="b">
        <v>0</v>
      </c>
      <c r="BK18" t="b">
        <v>0</v>
      </c>
      <c r="BL18" t="b">
        <v>0</v>
      </c>
      <c r="BM18" t="b">
        <v>0</v>
      </c>
      <c r="BN18" t="b">
        <v>0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0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 t="b">
        <v>0</v>
      </c>
      <c r="CC18" t="s">
        <v>1253</v>
      </c>
      <c r="CD18" t="s">
        <v>1492</v>
      </c>
      <c r="CE18" t="s">
        <v>1518</v>
      </c>
      <c r="CF18" t="s">
        <v>1495</v>
      </c>
      <c r="CG18" t="b">
        <v>0</v>
      </c>
      <c r="CH18">
        <v>0</v>
      </c>
      <c r="CI18" t="s">
        <v>1526</v>
      </c>
      <c r="CJ18" t="s">
        <v>1527</v>
      </c>
      <c r="CK18" t="s">
        <v>1251</v>
      </c>
      <c r="CL18" t="s">
        <v>1528</v>
      </c>
    </row>
    <row r="19" spans="1:90">
      <c r="A19">
        <v>303</v>
      </c>
      <c r="B19">
        <v>294</v>
      </c>
      <c r="C19" t="s">
        <v>1250</v>
      </c>
      <c r="D19">
        <v>2</v>
      </c>
      <c r="E19" t="s">
        <v>1492</v>
      </c>
      <c r="F19">
        <v>8</v>
      </c>
      <c r="G19">
        <v>1</v>
      </c>
      <c r="H19">
        <v>2</v>
      </c>
      <c r="I19" t="s">
        <v>634</v>
      </c>
      <c r="J19" t="s">
        <v>1297</v>
      </c>
      <c r="K19" t="s">
        <v>16</v>
      </c>
      <c r="L19" t="s">
        <v>1522</v>
      </c>
      <c r="M19" t="s">
        <v>1492</v>
      </c>
      <c r="N19" t="s">
        <v>1492</v>
      </c>
      <c r="O19" t="s">
        <v>1302</v>
      </c>
      <c r="P19" t="s">
        <v>1379</v>
      </c>
      <c r="Q19" t="s">
        <v>1302</v>
      </c>
      <c r="R19" t="s">
        <v>1379</v>
      </c>
      <c r="S19" t="s">
        <v>1302</v>
      </c>
      <c r="T19" t="s">
        <v>1379</v>
      </c>
      <c r="U19" t="s">
        <v>1302</v>
      </c>
      <c r="V19" t="s">
        <v>1379</v>
      </c>
      <c r="W19" t="s">
        <v>1302</v>
      </c>
      <c r="X19" t="s">
        <v>1372</v>
      </c>
      <c r="Y19" t="s">
        <v>1257</v>
      </c>
      <c r="Z19" t="s">
        <v>1257</v>
      </c>
      <c r="AA19" t="s">
        <v>1257</v>
      </c>
      <c r="AB19" t="s">
        <v>1257</v>
      </c>
      <c r="AC19" t="b">
        <v>0</v>
      </c>
      <c r="AD19" t="b">
        <v>0</v>
      </c>
      <c r="AE19" t="b">
        <v>0</v>
      </c>
      <c r="AF19" t="b">
        <v>0</v>
      </c>
      <c r="AG19" t="b">
        <v>0</v>
      </c>
      <c r="AH19" t="b">
        <v>0</v>
      </c>
      <c r="AI19" t="b">
        <v>0</v>
      </c>
      <c r="AJ19" t="b">
        <v>0</v>
      </c>
      <c r="AK19" t="b">
        <v>0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0</v>
      </c>
      <c r="AR19" t="b">
        <v>0</v>
      </c>
      <c r="AS19" t="b">
        <v>0</v>
      </c>
      <c r="AT19" t="b">
        <v>0</v>
      </c>
      <c r="AU19" t="b">
        <v>0</v>
      </c>
      <c r="AV19" t="b">
        <v>0</v>
      </c>
      <c r="AW19" t="b">
        <v>0</v>
      </c>
      <c r="AX19" t="b">
        <v>0</v>
      </c>
      <c r="AY19" t="b">
        <v>0</v>
      </c>
      <c r="AZ19" t="b">
        <v>0</v>
      </c>
      <c r="BA19" t="b">
        <v>0</v>
      </c>
      <c r="BB19" t="b">
        <v>0</v>
      </c>
      <c r="BC19" t="b">
        <v>0</v>
      </c>
      <c r="BD19" t="b">
        <v>0</v>
      </c>
      <c r="BE19" t="b">
        <v>0</v>
      </c>
      <c r="BF19" t="b">
        <v>0</v>
      </c>
      <c r="BG19" t="b">
        <v>0</v>
      </c>
      <c r="BH19" t="b">
        <v>0</v>
      </c>
      <c r="BI19" t="b">
        <v>0</v>
      </c>
      <c r="BJ19" t="b">
        <v>0</v>
      </c>
      <c r="BK19" t="b">
        <v>0</v>
      </c>
      <c r="BL19" t="b">
        <v>0</v>
      </c>
      <c r="BM19" t="b">
        <v>0</v>
      </c>
      <c r="BN19" t="b">
        <v>0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0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 t="b">
        <v>0</v>
      </c>
      <c r="CC19" t="s">
        <v>1253</v>
      </c>
      <c r="CD19" t="s">
        <v>1492</v>
      </c>
      <c r="CE19" t="s">
        <v>1518</v>
      </c>
      <c r="CF19" t="s">
        <v>1495</v>
      </c>
      <c r="CG19" t="b">
        <v>0</v>
      </c>
      <c r="CH19">
        <v>0</v>
      </c>
      <c r="CI19" t="s">
        <v>1514</v>
      </c>
      <c r="CJ19" t="s">
        <v>1527</v>
      </c>
      <c r="CK19" t="s">
        <v>1251</v>
      </c>
      <c r="CL19" t="s">
        <v>1529</v>
      </c>
    </row>
    <row r="20" spans="1:90">
      <c r="A20">
        <v>305</v>
      </c>
      <c r="B20">
        <v>295</v>
      </c>
      <c r="C20" t="s">
        <v>1250</v>
      </c>
      <c r="D20">
        <v>1</v>
      </c>
      <c r="E20" t="s">
        <v>1492</v>
      </c>
      <c r="F20">
        <v>20</v>
      </c>
      <c r="G20">
        <v>1</v>
      </c>
      <c r="H20">
        <v>2</v>
      </c>
      <c r="I20" t="s">
        <v>812</v>
      </c>
      <c r="J20" t="s">
        <v>1297</v>
      </c>
      <c r="K20" t="s">
        <v>15</v>
      </c>
      <c r="L20" t="s">
        <v>1511</v>
      </c>
      <c r="M20" t="s">
        <v>1492</v>
      </c>
      <c r="N20" t="s">
        <v>1492</v>
      </c>
      <c r="O20" t="s">
        <v>1285</v>
      </c>
      <c r="P20" t="s">
        <v>1379</v>
      </c>
      <c r="Q20" t="s">
        <v>1285</v>
      </c>
      <c r="R20" t="s">
        <v>1379</v>
      </c>
      <c r="S20" t="s">
        <v>1285</v>
      </c>
      <c r="T20" t="s">
        <v>1379</v>
      </c>
      <c r="U20" t="s">
        <v>1285</v>
      </c>
      <c r="V20" t="s">
        <v>1379</v>
      </c>
      <c r="W20" t="s">
        <v>1285</v>
      </c>
      <c r="X20" t="s">
        <v>1372</v>
      </c>
      <c r="Y20" t="s">
        <v>1257</v>
      </c>
      <c r="Z20" t="s">
        <v>1257</v>
      </c>
      <c r="AA20" t="s">
        <v>1257</v>
      </c>
      <c r="AB20" t="s">
        <v>1257</v>
      </c>
      <c r="AC20" t="b">
        <v>0</v>
      </c>
      <c r="AD20" t="b">
        <v>0</v>
      </c>
      <c r="AE20" t="b">
        <v>0</v>
      </c>
      <c r="AF20" t="b">
        <v>0</v>
      </c>
      <c r="AG20" t="b">
        <v>0</v>
      </c>
      <c r="AH20" t="b">
        <v>0</v>
      </c>
      <c r="AI20" t="b">
        <v>0</v>
      </c>
      <c r="AJ20" t="b">
        <v>1</v>
      </c>
      <c r="AK20" t="b">
        <v>1</v>
      </c>
      <c r="AL20" t="b">
        <v>1</v>
      </c>
      <c r="AM20" t="b">
        <v>1</v>
      </c>
      <c r="AN20" t="b">
        <v>0</v>
      </c>
      <c r="AO20" t="b">
        <v>0</v>
      </c>
      <c r="AP20" t="b">
        <v>0</v>
      </c>
      <c r="AQ20" t="b">
        <v>1</v>
      </c>
      <c r="AR20" t="b">
        <v>0</v>
      </c>
      <c r="AS20" t="b">
        <v>0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0</v>
      </c>
      <c r="BD20" t="b">
        <v>0</v>
      </c>
      <c r="BE20" t="b">
        <v>0</v>
      </c>
      <c r="BF20" t="b">
        <v>0</v>
      </c>
      <c r="BG20" t="b">
        <v>0</v>
      </c>
      <c r="BH20" t="b">
        <v>0</v>
      </c>
      <c r="BI20" t="b">
        <v>0</v>
      </c>
      <c r="BJ20" t="b">
        <v>0</v>
      </c>
      <c r="BK20" t="b">
        <v>0</v>
      </c>
      <c r="BL20" t="b">
        <v>0</v>
      </c>
      <c r="BM20" t="b">
        <v>0</v>
      </c>
      <c r="BN20" t="b">
        <v>0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0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 t="b">
        <v>0</v>
      </c>
      <c r="CC20" t="s">
        <v>1512</v>
      </c>
      <c r="CD20" t="s">
        <v>1492</v>
      </c>
      <c r="CE20" t="s">
        <v>1495</v>
      </c>
      <c r="CF20" t="s">
        <v>1495</v>
      </c>
      <c r="CG20" t="b">
        <v>0</v>
      </c>
      <c r="CH20">
        <v>0</v>
      </c>
      <c r="CI20" t="s">
        <v>1530</v>
      </c>
      <c r="CJ20" t="s">
        <v>1531</v>
      </c>
      <c r="CK20" t="s">
        <v>1251</v>
      </c>
      <c r="CL20" t="s">
        <v>1532</v>
      </c>
    </row>
    <row r="21" spans="1:90">
      <c r="A21">
        <v>307</v>
      </c>
      <c r="B21">
        <v>295</v>
      </c>
      <c r="C21" t="s">
        <v>1250</v>
      </c>
      <c r="D21">
        <v>2</v>
      </c>
      <c r="E21" t="s">
        <v>1492</v>
      </c>
      <c r="F21">
        <v>20</v>
      </c>
      <c r="G21">
        <v>1</v>
      </c>
      <c r="H21">
        <v>2</v>
      </c>
      <c r="I21" t="s">
        <v>812</v>
      </c>
      <c r="J21" t="s">
        <v>1297</v>
      </c>
      <c r="K21" t="s">
        <v>15</v>
      </c>
      <c r="L21" t="s">
        <v>1511</v>
      </c>
      <c r="M21" t="s">
        <v>1492</v>
      </c>
      <c r="N21" t="s">
        <v>1492</v>
      </c>
      <c r="O21" t="s">
        <v>1285</v>
      </c>
      <c r="P21" t="s">
        <v>1379</v>
      </c>
      <c r="Q21" t="s">
        <v>1285</v>
      </c>
      <c r="R21" t="s">
        <v>1379</v>
      </c>
      <c r="S21" t="s">
        <v>1285</v>
      </c>
      <c r="T21" t="s">
        <v>1379</v>
      </c>
      <c r="U21" t="s">
        <v>1285</v>
      </c>
      <c r="V21" t="s">
        <v>1379</v>
      </c>
      <c r="W21" t="s">
        <v>1285</v>
      </c>
      <c r="X21" t="s">
        <v>1372</v>
      </c>
      <c r="Y21" t="s">
        <v>1257</v>
      </c>
      <c r="Z21" t="s">
        <v>1257</v>
      </c>
      <c r="AA21" t="s">
        <v>1257</v>
      </c>
      <c r="AB21" t="s">
        <v>1257</v>
      </c>
      <c r="AC21" t="b">
        <v>0</v>
      </c>
      <c r="AD21" t="b">
        <v>0</v>
      </c>
      <c r="AE21" t="b">
        <v>0</v>
      </c>
      <c r="AF21" t="b">
        <v>0</v>
      </c>
      <c r="AG21" t="b">
        <v>0</v>
      </c>
      <c r="AH21" t="b">
        <v>0</v>
      </c>
      <c r="AI21" t="b">
        <v>0</v>
      </c>
      <c r="AJ21" t="b">
        <v>1</v>
      </c>
      <c r="AK21" t="b">
        <v>1</v>
      </c>
      <c r="AL21" t="b">
        <v>1</v>
      </c>
      <c r="AM21" t="b">
        <v>1</v>
      </c>
      <c r="AN21" t="b">
        <v>0</v>
      </c>
      <c r="AO21" t="b">
        <v>0</v>
      </c>
      <c r="AP21" t="b">
        <v>0</v>
      </c>
      <c r="AQ21" t="b">
        <v>1</v>
      </c>
      <c r="AR21" t="b">
        <v>0</v>
      </c>
      <c r="AS21" t="b">
        <v>0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0</v>
      </c>
      <c r="BD21" t="b">
        <v>0</v>
      </c>
      <c r="BE21" t="b">
        <v>0</v>
      </c>
      <c r="BF21" t="b">
        <v>0</v>
      </c>
      <c r="BG21" t="b">
        <v>0</v>
      </c>
      <c r="BH21" t="b">
        <v>0</v>
      </c>
      <c r="BI21" t="b">
        <v>0</v>
      </c>
      <c r="BJ21" t="b">
        <v>0</v>
      </c>
      <c r="BK21" t="b">
        <v>0</v>
      </c>
      <c r="BL21" t="b">
        <v>0</v>
      </c>
      <c r="BM21" t="b">
        <v>0</v>
      </c>
      <c r="BN21" t="b">
        <v>0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0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 t="b">
        <v>0</v>
      </c>
      <c r="CC21" t="s">
        <v>1512</v>
      </c>
      <c r="CD21" t="s">
        <v>1492</v>
      </c>
      <c r="CE21" t="s">
        <v>1495</v>
      </c>
      <c r="CF21" t="s">
        <v>1495</v>
      </c>
      <c r="CG21" t="b">
        <v>0</v>
      </c>
      <c r="CH21">
        <v>0</v>
      </c>
      <c r="CI21" t="s">
        <v>1533</v>
      </c>
      <c r="CJ21" t="s">
        <v>1531</v>
      </c>
      <c r="CK21" t="s">
        <v>1251</v>
      </c>
      <c r="CL21" t="s">
        <v>1534</v>
      </c>
    </row>
    <row r="22" spans="1:90">
      <c r="A22">
        <v>308</v>
      </c>
      <c r="B22">
        <v>295</v>
      </c>
      <c r="C22" t="s">
        <v>1273</v>
      </c>
      <c r="D22">
        <v>1</v>
      </c>
      <c r="E22" t="s">
        <v>1492</v>
      </c>
      <c r="F22">
        <v>20</v>
      </c>
      <c r="G22">
        <v>1</v>
      </c>
      <c r="H22">
        <v>2</v>
      </c>
      <c r="I22" t="s">
        <v>812</v>
      </c>
      <c r="J22" t="s">
        <v>1254</v>
      </c>
      <c r="K22" t="s">
        <v>15</v>
      </c>
      <c r="L22" t="s">
        <v>1511</v>
      </c>
      <c r="M22" t="s">
        <v>1492</v>
      </c>
      <c r="N22" t="s">
        <v>1492</v>
      </c>
      <c r="O22" t="s">
        <v>1285</v>
      </c>
      <c r="P22" t="s">
        <v>1379</v>
      </c>
      <c r="Q22" t="s">
        <v>1285</v>
      </c>
      <c r="R22" t="s">
        <v>1379</v>
      </c>
      <c r="S22" t="s">
        <v>1285</v>
      </c>
      <c r="T22" t="s">
        <v>1379</v>
      </c>
      <c r="U22" t="s">
        <v>1285</v>
      </c>
      <c r="V22" t="s">
        <v>1379</v>
      </c>
      <c r="W22" t="s">
        <v>1285</v>
      </c>
      <c r="X22" t="s">
        <v>1372</v>
      </c>
      <c r="Y22" t="s">
        <v>1257</v>
      </c>
      <c r="Z22" t="s">
        <v>1257</v>
      </c>
      <c r="AA22" t="s">
        <v>1257</v>
      </c>
      <c r="AB22" t="s">
        <v>1257</v>
      </c>
      <c r="AC22" t="b">
        <v>0</v>
      </c>
      <c r="AD22" t="b">
        <v>0</v>
      </c>
      <c r="AE22" t="b">
        <v>0</v>
      </c>
      <c r="AF22" t="b">
        <v>0</v>
      </c>
      <c r="AG22" t="b">
        <v>0</v>
      </c>
      <c r="AH22" t="b">
        <v>0</v>
      </c>
      <c r="AI22" t="b">
        <v>0</v>
      </c>
      <c r="AJ22" t="b">
        <v>0</v>
      </c>
      <c r="AK22" t="b">
        <v>0</v>
      </c>
      <c r="AL22" t="b">
        <v>0</v>
      </c>
      <c r="AM22" t="b">
        <v>0</v>
      </c>
      <c r="AN22" t="b">
        <v>1</v>
      </c>
      <c r="AO22" t="b">
        <v>1</v>
      </c>
      <c r="AP22" t="b">
        <v>1</v>
      </c>
      <c r="AQ22" t="b">
        <v>0</v>
      </c>
      <c r="AR22" t="b">
        <v>0</v>
      </c>
      <c r="AS22" t="b">
        <v>0</v>
      </c>
      <c r="AT22" t="b">
        <v>0</v>
      </c>
      <c r="AU22" t="b">
        <v>0</v>
      </c>
      <c r="AV22" t="b">
        <v>0</v>
      </c>
      <c r="AW22" t="b">
        <v>0</v>
      </c>
      <c r="AX22" t="b">
        <v>0</v>
      </c>
      <c r="AY22" t="b">
        <v>1</v>
      </c>
      <c r="AZ22" t="b">
        <v>0</v>
      </c>
      <c r="BA22" t="b">
        <v>0</v>
      </c>
      <c r="BB22" t="b">
        <v>0</v>
      </c>
      <c r="BC22" t="b">
        <v>0</v>
      </c>
      <c r="BD22" t="b">
        <v>0</v>
      </c>
      <c r="BE22" t="b">
        <v>0</v>
      </c>
      <c r="BF22" t="b">
        <v>0</v>
      </c>
      <c r="BG22" t="b">
        <v>0</v>
      </c>
      <c r="BH22" t="b">
        <v>0</v>
      </c>
      <c r="BI22" t="b">
        <v>0</v>
      </c>
      <c r="BJ22" t="b">
        <v>0</v>
      </c>
      <c r="BK22" t="b">
        <v>0</v>
      </c>
      <c r="BL22" t="b">
        <v>0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 t="b">
        <v>0</v>
      </c>
      <c r="CC22" t="s">
        <v>1512</v>
      </c>
      <c r="CD22" t="s">
        <v>1492</v>
      </c>
      <c r="CE22" t="s">
        <v>1495</v>
      </c>
      <c r="CF22" t="s">
        <v>1495</v>
      </c>
      <c r="CG22" t="b">
        <v>0</v>
      </c>
      <c r="CH22">
        <v>0</v>
      </c>
      <c r="CI22" t="s">
        <v>1535</v>
      </c>
      <c r="CJ22" t="s">
        <v>1531</v>
      </c>
      <c r="CK22" t="s">
        <v>1279</v>
      </c>
      <c r="CL22" t="s">
        <v>1536</v>
      </c>
    </row>
    <row r="23" spans="1:90">
      <c r="A23">
        <v>306</v>
      </c>
      <c r="B23">
        <v>295</v>
      </c>
      <c r="C23" t="s">
        <v>1273</v>
      </c>
      <c r="D23">
        <v>2</v>
      </c>
      <c r="E23" t="s">
        <v>1492</v>
      </c>
      <c r="F23">
        <v>20</v>
      </c>
      <c r="G23">
        <v>1</v>
      </c>
      <c r="H23">
        <v>2</v>
      </c>
      <c r="I23" t="s">
        <v>812</v>
      </c>
      <c r="J23" t="s">
        <v>1254</v>
      </c>
      <c r="K23" t="s">
        <v>15</v>
      </c>
      <c r="L23" t="s">
        <v>1511</v>
      </c>
      <c r="M23" t="s">
        <v>1492</v>
      </c>
      <c r="N23" t="s">
        <v>1492</v>
      </c>
      <c r="O23" t="s">
        <v>1285</v>
      </c>
      <c r="P23" t="s">
        <v>1379</v>
      </c>
      <c r="Q23" t="s">
        <v>1285</v>
      </c>
      <c r="R23" t="s">
        <v>1379</v>
      </c>
      <c r="S23" t="s">
        <v>1285</v>
      </c>
      <c r="T23" t="s">
        <v>1379</v>
      </c>
      <c r="U23" t="s">
        <v>1285</v>
      </c>
      <c r="V23" t="s">
        <v>1379</v>
      </c>
      <c r="W23" t="s">
        <v>1285</v>
      </c>
      <c r="X23" t="s">
        <v>1372</v>
      </c>
      <c r="Y23" t="s">
        <v>1257</v>
      </c>
      <c r="Z23" t="s">
        <v>1257</v>
      </c>
      <c r="AA23" t="s">
        <v>1257</v>
      </c>
      <c r="AB23" t="s">
        <v>1257</v>
      </c>
      <c r="AC23" t="b">
        <v>0</v>
      </c>
      <c r="AD23" t="b">
        <v>0</v>
      </c>
      <c r="AE23" t="b">
        <v>0</v>
      </c>
      <c r="AF23" t="b">
        <v>0</v>
      </c>
      <c r="AG23" t="b">
        <v>0</v>
      </c>
      <c r="AH23" t="b">
        <v>0</v>
      </c>
      <c r="AI23" t="b">
        <v>0</v>
      </c>
      <c r="AJ23" t="b">
        <v>0</v>
      </c>
      <c r="AK23" t="b">
        <v>0</v>
      </c>
      <c r="AL23" t="b">
        <v>0</v>
      </c>
      <c r="AM23" t="b">
        <v>0</v>
      </c>
      <c r="AN23" t="b">
        <v>1</v>
      </c>
      <c r="AO23" t="b">
        <v>1</v>
      </c>
      <c r="AP23" t="b">
        <v>1</v>
      </c>
      <c r="AQ23" t="b">
        <v>0</v>
      </c>
      <c r="AR23" t="b">
        <v>0</v>
      </c>
      <c r="AS23" t="b">
        <v>0</v>
      </c>
      <c r="AT23" t="b">
        <v>0</v>
      </c>
      <c r="AU23" t="b">
        <v>0</v>
      </c>
      <c r="AV23" t="b">
        <v>0</v>
      </c>
      <c r="AW23" t="b">
        <v>0</v>
      </c>
      <c r="AX23" t="b">
        <v>0</v>
      </c>
      <c r="AY23" t="b">
        <v>1</v>
      </c>
      <c r="AZ23" t="b">
        <v>0</v>
      </c>
      <c r="BA23" t="b">
        <v>0</v>
      </c>
      <c r="BB23" t="b">
        <v>0</v>
      </c>
      <c r="BC23" t="b">
        <v>0</v>
      </c>
      <c r="BD23" t="b">
        <v>0</v>
      </c>
      <c r="BE23" t="b">
        <v>0</v>
      </c>
      <c r="BF23" t="b">
        <v>0</v>
      </c>
      <c r="BG23" t="b">
        <v>0</v>
      </c>
      <c r="BH23" t="b">
        <v>0</v>
      </c>
      <c r="BI23" t="b">
        <v>0</v>
      </c>
      <c r="BJ23" t="b">
        <v>0</v>
      </c>
      <c r="BK23" t="b">
        <v>0</v>
      </c>
      <c r="BL23" t="b">
        <v>0</v>
      </c>
      <c r="BM23" t="b">
        <v>0</v>
      </c>
      <c r="BN23" t="b">
        <v>0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0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 t="b">
        <v>0</v>
      </c>
      <c r="CC23" t="s">
        <v>1512</v>
      </c>
      <c r="CD23" t="s">
        <v>1492</v>
      </c>
      <c r="CE23" t="s">
        <v>1495</v>
      </c>
      <c r="CF23" t="s">
        <v>1495</v>
      </c>
      <c r="CG23" t="b">
        <v>0</v>
      </c>
      <c r="CH23">
        <v>0</v>
      </c>
      <c r="CI23" t="s">
        <v>1535</v>
      </c>
      <c r="CJ23" t="s">
        <v>1531</v>
      </c>
      <c r="CK23" t="s">
        <v>1279</v>
      </c>
      <c r="CL23" t="s">
        <v>1537</v>
      </c>
    </row>
    <row r="24" spans="1:90">
      <c r="A24">
        <v>312</v>
      </c>
      <c r="B24">
        <v>296</v>
      </c>
      <c r="C24" t="s">
        <v>1250</v>
      </c>
      <c r="D24">
        <v>1</v>
      </c>
      <c r="E24" t="s">
        <v>1492</v>
      </c>
      <c r="F24">
        <v>13</v>
      </c>
      <c r="G24">
        <v>1</v>
      </c>
      <c r="H24">
        <v>2</v>
      </c>
      <c r="I24" t="s">
        <v>634</v>
      </c>
      <c r="J24" t="s">
        <v>1297</v>
      </c>
      <c r="K24" t="s">
        <v>16</v>
      </c>
      <c r="L24" t="s">
        <v>1522</v>
      </c>
      <c r="M24" t="s">
        <v>1492</v>
      </c>
      <c r="N24" t="s">
        <v>1492</v>
      </c>
      <c r="O24" t="s">
        <v>1302</v>
      </c>
      <c r="P24" t="s">
        <v>1379</v>
      </c>
      <c r="Q24" t="s">
        <v>1302</v>
      </c>
      <c r="R24" t="s">
        <v>1379</v>
      </c>
      <c r="S24" t="s">
        <v>1302</v>
      </c>
      <c r="T24" t="s">
        <v>1379</v>
      </c>
      <c r="U24" t="s">
        <v>1302</v>
      </c>
      <c r="V24" t="s">
        <v>1379</v>
      </c>
      <c r="W24" t="s">
        <v>1302</v>
      </c>
      <c r="X24" t="s">
        <v>1372</v>
      </c>
      <c r="Y24" t="s">
        <v>1257</v>
      </c>
      <c r="Z24" t="s">
        <v>1257</v>
      </c>
      <c r="AA24" t="s">
        <v>1257</v>
      </c>
      <c r="AB24" t="s">
        <v>1257</v>
      </c>
      <c r="AC24" t="b">
        <v>0</v>
      </c>
      <c r="AD24" t="b">
        <v>0</v>
      </c>
      <c r="AE24" t="b">
        <v>0</v>
      </c>
      <c r="AF24" t="b">
        <v>0</v>
      </c>
      <c r="AG24" t="b">
        <v>0</v>
      </c>
      <c r="AH24" t="b">
        <v>0</v>
      </c>
      <c r="AI24" t="b">
        <v>0</v>
      </c>
      <c r="AJ24" t="b">
        <v>1</v>
      </c>
      <c r="AK24" t="b">
        <v>1</v>
      </c>
      <c r="AL24" t="b">
        <v>1</v>
      </c>
      <c r="AM24" t="b">
        <v>1</v>
      </c>
      <c r="AN24" t="b">
        <v>0</v>
      </c>
      <c r="AO24" t="b">
        <v>0</v>
      </c>
      <c r="AP24" t="b">
        <v>0</v>
      </c>
      <c r="AQ24" t="b">
        <v>1</v>
      </c>
      <c r="AR24" t="b">
        <v>0</v>
      </c>
      <c r="AS24" t="b">
        <v>0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  <c r="AY24" t="b">
        <v>0</v>
      </c>
      <c r="AZ24" t="b">
        <v>0</v>
      </c>
      <c r="BA24" t="b">
        <v>0</v>
      </c>
      <c r="BB24" t="b">
        <v>0</v>
      </c>
      <c r="BC24" t="b">
        <v>0</v>
      </c>
      <c r="BD24" t="b">
        <v>0</v>
      </c>
      <c r="BE24" t="b">
        <v>0</v>
      </c>
      <c r="BF24" t="b">
        <v>0</v>
      </c>
      <c r="BG24" t="b">
        <v>0</v>
      </c>
      <c r="BH24" t="b">
        <v>0</v>
      </c>
      <c r="BI24" t="b">
        <v>0</v>
      </c>
      <c r="BJ24" t="b">
        <v>0</v>
      </c>
      <c r="BK24" t="b">
        <v>0</v>
      </c>
      <c r="BL24" t="b">
        <v>0</v>
      </c>
      <c r="BM24" t="b">
        <v>0</v>
      </c>
      <c r="BN24" t="b">
        <v>0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0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 t="b">
        <v>0</v>
      </c>
      <c r="CC24" t="s">
        <v>1512</v>
      </c>
      <c r="CD24" t="s">
        <v>1492</v>
      </c>
      <c r="CE24" t="s">
        <v>1495</v>
      </c>
      <c r="CF24" t="s">
        <v>1495</v>
      </c>
      <c r="CG24" t="b">
        <v>0</v>
      </c>
      <c r="CH24">
        <v>0</v>
      </c>
      <c r="CI24" t="s">
        <v>1538</v>
      </c>
      <c r="CJ24" t="s">
        <v>1539</v>
      </c>
      <c r="CK24" t="s">
        <v>1251</v>
      </c>
      <c r="CL24" t="s">
        <v>1540</v>
      </c>
    </row>
    <row r="25" spans="1:90">
      <c r="A25">
        <v>310</v>
      </c>
      <c r="B25">
        <v>296</v>
      </c>
      <c r="C25" t="s">
        <v>1250</v>
      </c>
      <c r="D25">
        <v>2</v>
      </c>
      <c r="E25" t="s">
        <v>1492</v>
      </c>
      <c r="F25">
        <v>13</v>
      </c>
      <c r="G25">
        <v>1</v>
      </c>
      <c r="H25">
        <v>2</v>
      </c>
      <c r="I25" t="s">
        <v>634</v>
      </c>
      <c r="J25" t="s">
        <v>1297</v>
      </c>
      <c r="K25" t="s">
        <v>16</v>
      </c>
      <c r="L25" t="s">
        <v>1522</v>
      </c>
      <c r="M25" t="s">
        <v>1492</v>
      </c>
      <c r="N25" t="s">
        <v>1492</v>
      </c>
      <c r="O25" t="s">
        <v>1302</v>
      </c>
      <c r="P25" t="s">
        <v>1379</v>
      </c>
      <c r="Q25" t="s">
        <v>1302</v>
      </c>
      <c r="R25" t="s">
        <v>1379</v>
      </c>
      <c r="S25" t="s">
        <v>1302</v>
      </c>
      <c r="T25" t="s">
        <v>1379</v>
      </c>
      <c r="U25" t="s">
        <v>1302</v>
      </c>
      <c r="V25" t="s">
        <v>1379</v>
      </c>
      <c r="W25" t="s">
        <v>1302</v>
      </c>
      <c r="X25" t="s">
        <v>1372</v>
      </c>
      <c r="Y25" t="s">
        <v>1257</v>
      </c>
      <c r="Z25" t="s">
        <v>1257</v>
      </c>
      <c r="AA25" t="s">
        <v>1257</v>
      </c>
      <c r="AB25" t="s">
        <v>1257</v>
      </c>
      <c r="AC25" t="b">
        <v>0</v>
      </c>
      <c r="AD25" t="b">
        <v>0</v>
      </c>
      <c r="AE25" t="b">
        <v>0</v>
      </c>
      <c r="AF25" t="b">
        <v>0</v>
      </c>
      <c r="AG25" t="b">
        <v>0</v>
      </c>
      <c r="AH25" t="b">
        <v>0</v>
      </c>
      <c r="AI25" t="b">
        <v>0</v>
      </c>
      <c r="AJ25" t="b">
        <v>1</v>
      </c>
      <c r="AK25" t="b">
        <v>1</v>
      </c>
      <c r="AL25" t="b">
        <v>1</v>
      </c>
      <c r="AM25" t="b">
        <v>1</v>
      </c>
      <c r="AN25" t="b">
        <v>0</v>
      </c>
      <c r="AO25" t="b">
        <v>0</v>
      </c>
      <c r="AP25" t="b">
        <v>0</v>
      </c>
      <c r="AQ25" t="b">
        <v>1</v>
      </c>
      <c r="AR25" t="b">
        <v>0</v>
      </c>
      <c r="AS25" t="b">
        <v>0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0</v>
      </c>
      <c r="BD25" t="b">
        <v>0</v>
      </c>
      <c r="BE25" t="b">
        <v>0</v>
      </c>
      <c r="BF25" t="b">
        <v>0</v>
      </c>
      <c r="BG25" t="b">
        <v>0</v>
      </c>
      <c r="BH25" t="b">
        <v>0</v>
      </c>
      <c r="BI25" t="b">
        <v>0</v>
      </c>
      <c r="BJ25" t="b">
        <v>0</v>
      </c>
      <c r="BK25" t="b">
        <v>0</v>
      </c>
      <c r="BL25" t="b">
        <v>0</v>
      </c>
      <c r="BM25" t="b">
        <v>0</v>
      </c>
      <c r="BN25" t="b">
        <v>0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0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 t="b">
        <v>0</v>
      </c>
      <c r="CC25" t="s">
        <v>1512</v>
      </c>
      <c r="CD25" t="s">
        <v>1492</v>
      </c>
      <c r="CE25" t="s">
        <v>1495</v>
      </c>
      <c r="CF25" t="s">
        <v>1495</v>
      </c>
      <c r="CG25" t="b">
        <v>0</v>
      </c>
      <c r="CH25">
        <v>0</v>
      </c>
      <c r="CI25" t="s">
        <v>1538</v>
      </c>
      <c r="CJ25" t="s">
        <v>1539</v>
      </c>
      <c r="CK25" t="s">
        <v>1251</v>
      </c>
      <c r="CL25" t="s">
        <v>1541</v>
      </c>
    </row>
    <row r="26" spans="1:90">
      <c r="A26">
        <v>311</v>
      </c>
      <c r="B26">
        <v>296</v>
      </c>
      <c r="C26" t="s">
        <v>1273</v>
      </c>
      <c r="D26">
        <v>1</v>
      </c>
      <c r="E26" t="s">
        <v>1492</v>
      </c>
      <c r="F26">
        <v>13</v>
      </c>
      <c r="G26">
        <v>1</v>
      </c>
      <c r="H26">
        <v>2</v>
      </c>
      <c r="I26" t="s">
        <v>634</v>
      </c>
      <c r="J26" t="s">
        <v>1254</v>
      </c>
      <c r="K26" t="s">
        <v>16</v>
      </c>
      <c r="L26" t="s">
        <v>1522</v>
      </c>
      <c r="M26" t="s">
        <v>1492</v>
      </c>
      <c r="N26" t="s">
        <v>1492</v>
      </c>
      <c r="O26" t="s">
        <v>1302</v>
      </c>
      <c r="P26" t="s">
        <v>1379</v>
      </c>
      <c r="Q26" t="s">
        <v>1302</v>
      </c>
      <c r="R26" t="s">
        <v>1379</v>
      </c>
      <c r="S26" t="s">
        <v>1302</v>
      </c>
      <c r="T26" t="s">
        <v>1379</v>
      </c>
      <c r="U26" t="s">
        <v>1302</v>
      </c>
      <c r="V26" t="s">
        <v>1379</v>
      </c>
      <c r="W26" t="s">
        <v>1302</v>
      </c>
      <c r="X26" t="s">
        <v>1372</v>
      </c>
      <c r="Y26" t="s">
        <v>1257</v>
      </c>
      <c r="Z26" t="s">
        <v>1257</v>
      </c>
      <c r="AA26" t="s">
        <v>1257</v>
      </c>
      <c r="AB26" t="s">
        <v>1257</v>
      </c>
      <c r="AC26" t="b">
        <v>0</v>
      </c>
      <c r="AD26" t="b">
        <v>0</v>
      </c>
      <c r="AE26" t="b">
        <v>0</v>
      </c>
      <c r="AF26" t="b">
        <v>0</v>
      </c>
      <c r="AG26" t="b">
        <v>0</v>
      </c>
      <c r="AH26" t="b">
        <v>0</v>
      </c>
      <c r="AI26" t="b">
        <v>0</v>
      </c>
      <c r="AJ26" t="b">
        <v>0</v>
      </c>
      <c r="AK26" t="b">
        <v>0</v>
      </c>
      <c r="AL26" t="b">
        <v>0</v>
      </c>
      <c r="AM26" t="b">
        <v>0</v>
      </c>
      <c r="AN26" t="b">
        <v>1</v>
      </c>
      <c r="AO26" t="b">
        <v>1</v>
      </c>
      <c r="AP26" t="b">
        <v>1</v>
      </c>
      <c r="AQ26" t="b">
        <v>0</v>
      </c>
      <c r="AR26" t="b">
        <v>0</v>
      </c>
      <c r="AS26" t="b">
        <v>0</v>
      </c>
      <c r="AT26" t="b">
        <v>0</v>
      </c>
      <c r="AU26" t="b">
        <v>0</v>
      </c>
      <c r="AV26" t="b">
        <v>0</v>
      </c>
      <c r="AW26" t="b">
        <v>0</v>
      </c>
      <c r="AX26" t="b">
        <v>0</v>
      </c>
      <c r="AY26" t="b">
        <v>1</v>
      </c>
      <c r="AZ26" t="b">
        <v>0</v>
      </c>
      <c r="BA26" t="b">
        <v>0</v>
      </c>
      <c r="BB26" t="b">
        <v>0</v>
      </c>
      <c r="BC26" t="b">
        <v>0</v>
      </c>
      <c r="BD26" t="b">
        <v>0</v>
      </c>
      <c r="BE26" t="b">
        <v>0</v>
      </c>
      <c r="BF26" t="b">
        <v>0</v>
      </c>
      <c r="BG26" t="b">
        <v>0</v>
      </c>
      <c r="BH26" t="b">
        <v>0</v>
      </c>
      <c r="BI26" t="b">
        <v>0</v>
      </c>
      <c r="BJ26" t="b">
        <v>0</v>
      </c>
      <c r="BK26" t="b">
        <v>0</v>
      </c>
      <c r="BL26" t="b">
        <v>0</v>
      </c>
      <c r="BM26" t="b">
        <v>0</v>
      </c>
      <c r="BN26" t="b">
        <v>0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0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 t="b">
        <v>0</v>
      </c>
      <c r="CC26" t="s">
        <v>1512</v>
      </c>
      <c r="CD26" t="s">
        <v>1492</v>
      </c>
      <c r="CE26" t="s">
        <v>1495</v>
      </c>
      <c r="CF26" t="s">
        <v>1495</v>
      </c>
      <c r="CG26" t="b">
        <v>0</v>
      </c>
      <c r="CH26">
        <v>0</v>
      </c>
      <c r="CI26" t="s">
        <v>1542</v>
      </c>
      <c r="CJ26" t="s">
        <v>1539</v>
      </c>
      <c r="CK26" t="s">
        <v>1279</v>
      </c>
      <c r="CL26" t="s">
        <v>1543</v>
      </c>
    </row>
    <row r="27" spans="1:90">
      <c r="A27">
        <v>309</v>
      </c>
      <c r="B27">
        <v>296</v>
      </c>
      <c r="C27" t="s">
        <v>1273</v>
      </c>
      <c r="D27">
        <v>2</v>
      </c>
      <c r="E27" t="s">
        <v>1492</v>
      </c>
      <c r="F27">
        <v>13</v>
      </c>
      <c r="G27">
        <v>1</v>
      </c>
      <c r="H27">
        <v>2</v>
      </c>
      <c r="I27" t="s">
        <v>634</v>
      </c>
      <c r="J27" t="s">
        <v>1254</v>
      </c>
      <c r="K27" t="s">
        <v>16</v>
      </c>
      <c r="L27" t="s">
        <v>1522</v>
      </c>
      <c r="M27" t="s">
        <v>1492</v>
      </c>
      <c r="N27" t="s">
        <v>1492</v>
      </c>
      <c r="O27" t="s">
        <v>1302</v>
      </c>
      <c r="P27" t="s">
        <v>1379</v>
      </c>
      <c r="Q27" t="s">
        <v>1302</v>
      </c>
      <c r="R27" t="s">
        <v>1379</v>
      </c>
      <c r="S27" t="s">
        <v>1302</v>
      </c>
      <c r="T27" t="s">
        <v>1379</v>
      </c>
      <c r="U27" t="s">
        <v>1302</v>
      </c>
      <c r="V27" t="s">
        <v>1379</v>
      </c>
      <c r="W27" t="s">
        <v>1302</v>
      </c>
      <c r="X27" t="s">
        <v>1372</v>
      </c>
      <c r="Y27" t="s">
        <v>1257</v>
      </c>
      <c r="Z27" t="s">
        <v>1257</v>
      </c>
      <c r="AA27" t="s">
        <v>1257</v>
      </c>
      <c r="AB27" t="s">
        <v>1257</v>
      </c>
      <c r="AC27" t="b">
        <v>0</v>
      </c>
      <c r="AD27" t="b">
        <v>0</v>
      </c>
      <c r="AE27" t="b">
        <v>0</v>
      </c>
      <c r="AF27" t="b">
        <v>0</v>
      </c>
      <c r="AG27" t="b">
        <v>0</v>
      </c>
      <c r="AH27" t="b">
        <v>0</v>
      </c>
      <c r="AI27" t="b">
        <v>0</v>
      </c>
      <c r="AJ27" t="b">
        <v>0</v>
      </c>
      <c r="AK27" t="b">
        <v>0</v>
      </c>
      <c r="AL27" t="b">
        <v>0</v>
      </c>
      <c r="AM27" t="b">
        <v>0</v>
      </c>
      <c r="AN27" t="b">
        <v>1</v>
      </c>
      <c r="AO27" t="b">
        <v>1</v>
      </c>
      <c r="AP27" t="b">
        <v>1</v>
      </c>
      <c r="AQ27" t="b">
        <v>0</v>
      </c>
      <c r="AR27" t="b">
        <v>0</v>
      </c>
      <c r="AS27" t="b">
        <v>0</v>
      </c>
      <c r="AT27" t="b">
        <v>0</v>
      </c>
      <c r="AU27" t="b">
        <v>0</v>
      </c>
      <c r="AV27" t="b">
        <v>0</v>
      </c>
      <c r="AW27" t="b">
        <v>0</v>
      </c>
      <c r="AX27" t="b">
        <v>0</v>
      </c>
      <c r="AY27" t="b">
        <v>1</v>
      </c>
      <c r="AZ27" t="b">
        <v>0</v>
      </c>
      <c r="BA27" t="b">
        <v>0</v>
      </c>
      <c r="BB27" t="b">
        <v>0</v>
      </c>
      <c r="BC27" t="b">
        <v>0</v>
      </c>
      <c r="BD27" t="b">
        <v>0</v>
      </c>
      <c r="BE27" t="b">
        <v>0</v>
      </c>
      <c r="BF27" t="b">
        <v>0</v>
      </c>
      <c r="BG27" t="b">
        <v>0</v>
      </c>
      <c r="BH27" t="b">
        <v>0</v>
      </c>
      <c r="BI27" t="b">
        <v>0</v>
      </c>
      <c r="BJ27" t="b">
        <v>0</v>
      </c>
      <c r="BK27" t="b">
        <v>0</v>
      </c>
      <c r="BL27" t="b">
        <v>0</v>
      </c>
      <c r="BM27" t="b">
        <v>0</v>
      </c>
      <c r="BN27" t="b">
        <v>0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0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 t="b">
        <v>0</v>
      </c>
      <c r="CC27" t="s">
        <v>1512</v>
      </c>
      <c r="CD27" t="s">
        <v>1492</v>
      </c>
      <c r="CE27" t="s">
        <v>1495</v>
      </c>
      <c r="CF27" t="s">
        <v>1495</v>
      </c>
      <c r="CG27" t="b">
        <v>0</v>
      </c>
      <c r="CH27">
        <v>0</v>
      </c>
      <c r="CI27" t="s">
        <v>1544</v>
      </c>
      <c r="CJ27" t="s">
        <v>1539</v>
      </c>
      <c r="CK27" t="s">
        <v>1279</v>
      </c>
      <c r="CL27" t="s">
        <v>1545</v>
      </c>
    </row>
    <row r="28" spans="1:90">
      <c r="A28">
        <v>314</v>
      </c>
      <c r="B28">
        <v>298</v>
      </c>
      <c r="C28" t="s">
        <v>1250</v>
      </c>
      <c r="D28">
        <v>1</v>
      </c>
      <c r="E28" t="s">
        <v>1492</v>
      </c>
      <c r="F28">
        <v>20</v>
      </c>
      <c r="G28">
        <v>1</v>
      </c>
      <c r="H28">
        <v>4</v>
      </c>
      <c r="I28" t="s">
        <v>812</v>
      </c>
      <c r="J28" t="s">
        <v>1297</v>
      </c>
      <c r="K28" t="s">
        <v>15</v>
      </c>
      <c r="L28" t="s">
        <v>1511</v>
      </c>
      <c r="M28" t="s">
        <v>1492</v>
      </c>
      <c r="N28" t="s">
        <v>1492</v>
      </c>
      <c r="O28" t="s">
        <v>1285</v>
      </c>
      <c r="P28" t="s">
        <v>1379</v>
      </c>
      <c r="Q28" t="s">
        <v>1285</v>
      </c>
      <c r="R28" t="s">
        <v>1379</v>
      </c>
      <c r="S28" t="s">
        <v>1285</v>
      </c>
      <c r="T28" t="s">
        <v>1379</v>
      </c>
      <c r="U28" t="s">
        <v>1285</v>
      </c>
      <c r="V28" t="s">
        <v>1379</v>
      </c>
      <c r="W28" t="s">
        <v>1285</v>
      </c>
      <c r="X28" t="s">
        <v>1372</v>
      </c>
      <c r="Y28" t="s">
        <v>1257</v>
      </c>
      <c r="Z28" t="s">
        <v>1257</v>
      </c>
      <c r="AA28" t="s">
        <v>1257</v>
      </c>
      <c r="AB28" t="s">
        <v>1257</v>
      </c>
      <c r="AC28" t="b">
        <v>0</v>
      </c>
      <c r="AD28" t="b">
        <v>0</v>
      </c>
      <c r="AE28" t="b">
        <v>0</v>
      </c>
      <c r="AF28" t="b">
        <v>0</v>
      </c>
      <c r="AG28" t="b">
        <v>0</v>
      </c>
      <c r="AH28" t="b">
        <v>0</v>
      </c>
      <c r="AI28" t="b">
        <v>0</v>
      </c>
      <c r="AJ28" t="b">
        <v>1</v>
      </c>
      <c r="AK28" t="b">
        <v>0</v>
      </c>
      <c r="AL28" t="b">
        <v>0</v>
      </c>
      <c r="AM28" t="b">
        <v>1</v>
      </c>
      <c r="AN28" t="b">
        <v>1</v>
      </c>
      <c r="AO28" t="b">
        <v>1</v>
      </c>
      <c r="AP28" t="b">
        <v>0</v>
      </c>
      <c r="AQ28" t="b">
        <v>1</v>
      </c>
      <c r="AR28" t="b">
        <v>0</v>
      </c>
      <c r="AS28" t="b">
        <v>0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  <c r="AY28" t="b">
        <v>1</v>
      </c>
      <c r="AZ28" t="b">
        <v>0</v>
      </c>
      <c r="BA28" t="b">
        <v>0</v>
      </c>
      <c r="BB28" t="b">
        <v>0</v>
      </c>
      <c r="BC28" t="b">
        <v>0</v>
      </c>
      <c r="BD28" t="b">
        <v>0</v>
      </c>
      <c r="BE28" t="b">
        <v>0</v>
      </c>
      <c r="BF28" t="b">
        <v>0</v>
      </c>
      <c r="BG28" t="b">
        <v>0</v>
      </c>
      <c r="BH28" t="b">
        <v>0</v>
      </c>
      <c r="BI28" t="b">
        <v>0</v>
      </c>
      <c r="BJ28" t="b">
        <v>0</v>
      </c>
      <c r="BK28" t="b">
        <v>0</v>
      </c>
      <c r="BL28" t="b">
        <v>0</v>
      </c>
      <c r="BM28" t="b">
        <v>0</v>
      </c>
      <c r="BN28" t="b">
        <v>0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0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 t="b">
        <v>0</v>
      </c>
      <c r="CC28" t="s">
        <v>1512</v>
      </c>
      <c r="CD28" t="s">
        <v>1492</v>
      </c>
      <c r="CE28" t="s">
        <v>1495</v>
      </c>
      <c r="CF28" t="s">
        <v>1495</v>
      </c>
      <c r="CG28" t="b">
        <v>0</v>
      </c>
      <c r="CH28">
        <v>0</v>
      </c>
      <c r="CI28" t="s">
        <v>1546</v>
      </c>
      <c r="CJ28" t="s">
        <v>1547</v>
      </c>
      <c r="CK28" t="s">
        <v>1251</v>
      </c>
      <c r="CL28" t="s">
        <v>1548</v>
      </c>
    </row>
    <row r="29" spans="1:90">
      <c r="A29">
        <v>313</v>
      </c>
      <c r="B29">
        <v>298</v>
      </c>
      <c r="C29" t="s">
        <v>1273</v>
      </c>
      <c r="D29">
        <v>2</v>
      </c>
      <c r="E29" t="s">
        <v>1492</v>
      </c>
      <c r="F29">
        <v>20</v>
      </c>
      <c r="G29">
        <v>1</v>
      </c>
      <c r="H29">
        <v>4</v>
      </c>
      <c r="I29" t="s">
        <v>812</v>
      </c>
      <c r="J29" t="s">
        <v>1254</v>
      </c>
      <c r="K29" t="s">
        <v>15</v>
      </c>
      <c r="L29" t="s">
        <v>1511</v>
      </c>
      <c r="M29" t="s">
        <v>1492</v>
      </c>
      <c r="N29" t="s">
        <v>1492</v>
      </c>
      <c r="O29" t="s">
        <v>1285</v>
      </c>
      <c r="P29" t="s">
        <v>1379</v>
      </c>
      <c r="Q29" t="s">
        <v>1285</v>
      </c>
      <c r="R29" t="s">
        <v>1379</v>
      </c>
      <c r="S29" t="s">
        <v>1285</v>
      </c>
      <c r="T29" t="s">
        <v>1379</v>
      </c>
      <c r="U29" t="s">
        <v>1285</v>
      </c>
      <c r="V29" t="s">
        <v>1379</v>
      </c>
      <c r="W29" t="s">
        <v>1285</v>
      </c>
      <c r="X29" t="s">
        <v>1372</v>
      </c>
      <c r="Y29" t="s">
        <v>1257</v>
      </c>
      <c r="Z29" t="s">
        <v>1257</v>
      </c>
      <c r="AA29" t="s">
        <v>1257</v>
      </c>
      <c r="AB29" t="s">
        <v>1257</v>
      </c>
      <c r="AC29" t="b">
        <v>0</v>
      </c>
      <c r="AD29" t="b">
        <v>0</v>
      </c>
      <c r="AE29" t="b">
        <v>0</v>
      </c>
      <c r="AF29" t="b">
        <v>0</v>
      </c>
      <c r="AG29" t="b">
        <v>0</v>
      </c>
      <c r="AH29" t="b">
        <v>0</v>
      </c>
      <c r="AI29" t="b">
        <v>0</v>
      </c>
      <c r="AJ29" t="b">
        <v>0</v>
      </c>
      <c r="AK29" t="b">
        <v>1</v>
      </c>
      <c r="AL29" t="b">
        <v>1</v>
      </c>
      <c r="AM29" t="b">
        <v>0</v>
      </c>
      <c r="AN29" t="b">
        <v>0</v>
      </c>
      <c r="AO29" t="b">
        <v>0</v>
      </c>
      <c r="AP29" t="b">
        <v>1</v>
      </c>
      <c r="AQ29" t="b">
        <v>0</v>
      </c>
      <c r="AR29" t="b">
        <v>0</v>
      </c>
      <c r="AS29" t="b">
        <v>0</v>
      </c>
      <c r="AT29" t="b">
        <v>0</v>
      </c>
      <c r="AU29" t="b">
        <v>0</v>
      </c>
      <c r="AV29" t="b">
        <v>0</v>
      </c>
      <c r="AW29" t="b">
        <v>0</v>
      </c>
      <c r="AX29" t="b">
        <v>0</v>
      </c>
      <c r="AY29" t="b">
        <v>0</v>
      </c>
      <c r="AZ29" t="b">
        <v>0</v>
      </c>
      <c r="BA29" t="b">
        <v>0</v>
      </c>
      <c r="BB29" t="b">
        <v>0</v>
      </c>
      <c r="BC29" t="b">
        <v>0</v>
      </c>
      <c r="BD29" t="b">
        <v>0</v>
      </c>
      <c r="BE29" t="b">
        <v>0</v>
      </c>
      <c r="BF29" t="b">
        <v>0</v>
      </c>
      <c r="BG29" t="b">
        <v>0</v>
      </c>
      <c r="BH29" t="b">
        <v>0</v>
      </c>
      <c r="BI29" t="b">
        <v>0</v>
      </c>
      <c r="BJ29" t="b">
        <v>0</v>
      </c>
      <c r="BK29" t="b">
        <v>0</v>
      </c>
      <c r="BL29" t="b">
        <v>0</v>
      </c>
      <c r="BM29" t="b">
        <v>0</v>
      </c>
      <c r="BN29" t="b">
        <v>0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0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 t="b">
        <v>0</v>
      </c>
      <c r="CC29" t="s">
        <v>1512</v>
      </c>
      <c r="CD29" t="s">
        <v>1492</v>
      </c>
      <c r="CE29" t="s">
        <v>1495</v>
      </c>
      <c r="CF29" t="s">
        <v>1495</v>
      </c>
      <c r="CG29" t="b">
        <v>0</v>
      </c>
      <c r="CH29">
        <v>0</v>
      </c>
      <c r="CI29" t="s">
        <v>1549</v>
      </c>
      <c r="CJ29" t="s">
        <v>1547</v>
      </c>
      <c r="CK29" t="s">
        <v>1279</v>
      </c>
      <c r="CL29" t="s">
        <v>1550</v>
      </c>
    </row>
    <row r="30" spans="1:90">
      <c r="A30">
        <v>318</v>
      </c>
      <c r="B30">
        <v>300</v>
      </c>
      <c r="C30" t="s">
        <v>1250</v>
      </c>
      <c r="D30">
        <v>1</v>
      </c>
      <c r="E30" t="s">
        <v>1492</v>
      </c>
      <c r="F30">
        <v>20</v>
      </c>
      <c r="G30">
        <v>1</v>
      </c>
      <c r="H30">
        <v>4</v>
      </c>
      <c r="I30" t="s">
        <v>812</v>
      </c>
      <c r="J30" t="s">
        <v>1297</v>
      </c>
      <c r="K30" t="s">
        <v>15</v>
      </c>
      <c r="L30" t="s">
        <v>1511</v>
      </c>
      <c r="M30" t="s">
        <v>1492</v>
      </c>
      <c r="N30" t="s">
        <v>1492</v>
      </c>
      <c r="O30" t="s">
        <v>1285</v>
      </c>
      <c r="P30" t="s">
        <v>1379</v>
      </c>
      <c r="Q30" t="s">
        <v>1285</v>
      </c>
      <c r="R30" t="s">
        <v>1379</v>
      </c>
      <c r="S30" t="s">
        <v>1285</v>
      </c>
      <c r="T30" t="s">
        <v>1379</v>
      </c>
      <c r="U30" t="s">
        <v>1285</v>
      </c>
      <c r="V30" t="s">
        <v>1379</v>
      </c>
      <c r="W30" t="s">
        <v>1285</v>
      </c>
      <c r="X30" t="s">
        <v>1372</v>
      </c>
      <c r="Y30" t="s">
        <v>1257</v>
      </c>
      <c r="Z30" t="s">
        <v>1257</v>
      </c>
      <c r="AA30" t="s">
        <v>1257</v>
      </c>
      <c r="AB30" t="s">
        <v>1257</v>
      </c>
      <c r="AC30" t="b">
        <v>0</v>
      </c>
      <c r="AD30" t="b">
        <v>0</v>
      </c>
      <c r="AE30" t="b">
        <v>0</v>
      </c>
      <c r="AF30" t="b">
        <v>0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0</v>
      </c>
      <c r="AR30" t="b">
        <v>0</v>
      </c>
      <c r="AS30" t="b">
        <v>0</v>
      </c>
      <c r="AT30" t="b">
        <v>0</v>
      </c>
      <c r="AU30" t="b">
        <v>0</v>
      </c>
      <c r="AV30" t="b">
        <v>0</v>
      </c>
      <c r="AW30" t="b">
        <v>0</v>
      </c>
      <c r="AX30" t="b">
        <v>0</v>
      </c>
      <c r="AY30" t="b">
        <v>0</v>
      </c>
      <c r="AZ30" t="b">
        <v>0</v>
      </c>
      <c r="BA30" t="b">
        <v>0</v>
      </c>
      <c r="BB30" t="b">
        <v>0</v>
      </c>
      <c r="BC30" t="b">
        <v>0</v>
      </c>
      <c r="BD30" t="b">
        <v>0</v>
      </c>
      <c r="BE30" t="b">
        <v>0</v>
      </c>
      <c r="BF30" t="b">
        <v>1</v>
      </c>
      <c r="BG30" t="b">
        <v>0</v>
      </c>
      <c r="BH30" t="b">
        <v>0</v>
      </c>
      <c r="BI30" t="b">
        <v>1</v>
      </c>
      <c r="BJ30" t="b">
        <v>1</v>
      </c>
      <c r="BK30" t="b">
        <v>1</v>
      </c>
      <c r="BL30" t="b">
        <v>0</v>
      </c>
      <c r="BM30" t="b">
        <v>1</v>
      </c>
      <c r="BN30" t="b">
        <v>1</v>
      </c>
      <c r="BO30" t="b">
        <v>1</v>
      </c>
      <c r="BP30" t="b">
        <v>0</v>
      </c>
      <c r="BQ30" t="b">
        <v>0</v>
      </c>
      <c r="BR30" t="b">
        <v>1</v>
      </c>
      <c r="BS30" t="b">
        <v>1</v>
      </c>
      <c r="BT30" t="b">
        <v>1</v>
      </c>
      <c r="BU30" t="b">
        <v>1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 t="b">
        <v>0</v>
      </c>
      <c r="CC30" t="s">
        <v>1512</v>
      </c>
      <c r="CD30" t="s">
        <v>1492</v>
      </c>
      <c r="CE30" t="s">
        <v>1495</v>
      </c>
      <c r="CF30" t="s">
        <v>1495</v>
      </c>
      <c r="CG30" t="b">
        <v>0</v>
      </c>
      <c r="CH30">
        <v>0</v>
      </c>
      <c r="CI30" t="s">
        <v>1549</v>
      </c>
      <c r="CJ30" t="s">
        <v>1551</v>
      </c>
      <c r="CK30" t="s">
        <v>1251</v>
      </c>
      <c r="CL30" t="s">
        <v>1552</v>
      </c>
    </row>
    <row r="31" spans="1:90">
      <c r="A31">
        <v>317</v>
      </c>
      <c r="B31">
        <v>300</v>
      </c>
      <c r="C31" t="s">
        <v>1273</v>
      </c>
      <c r="D31">
        <v>1</v>
      </c>
      <c r="E31" t="s">
        <v>1492</v>
      </c>
      <c r="F31">
        <v>20</v>
      </c>
      <c r="G31">
        <v>1</v>
      </c>
      <c r="H31">
        <v>4</v>
      </c>
      <c r="I31" t="s">
        <v>812</v>
      </c>
      <c r="J31" t="s">
        <v>1254</v>
      </c>
      <c r="K31" t="s">
        <v>15</v>
      </c>
      <c r="L31" t="s">
        <v>1511</v>
      </c>
      <c r="M31" t="s">
        <v>1492</v>
      </c>
      <c r="N31" t="s">
        <v>1492</v>
      </c>
      <c r="O31" t="s">
        <v>1285</v>
      </c>
      <c r="P31" t="s">
        <v>1379</v>
      </c>
      <c r="Q31" t="s">
        <v>1285</v>
      </c>
      <c r="R31" t="s">
        <v>1379</v>
      </c>
      <c r="S31" t="s">
        <v>1285</v>
      </c>
      <c r="T31" t="s">
        <v>1379</v>
      </c>
      <c r="U31" t="s">
        <v>1285</v>
      </c>
      <c r="V31" t="s">
        <v>1379</v>
      </c>
      <c r="W31" t="s">
        <v>1285</v>
      </c>
      <c r="X31" t="s">
        <v>1372</v>
      </c>
      <c r="Y31" t="s">
        <v>1257</v>
      </c>
      <c r="Z31" t="s">
        <v>1257</v>
      </c>
      <c r="AA31" t="s">
        <v>1257</v>
      </c>
      <c r="AB31" t="s">
        <v>1257</v>
      </c>
      <c r="AC31" t="b">
        <v>0</v>
      </c>
      <c r="AD31" t="b">
        <v>0</v>
      </c>
      <c r="AE31" t="b">
        <v>0</v>
      </c>
      <c r="AF31" t="b">
        <v>0</v>
      </c>
      <c r="AG31" t="b">
        <v>0</v>
      </c>
      <c r="AH31" t="b">
        <v>0</v>
      </c>
      <c r="AI31" t="b">
        <v>0</v>
      </c>
      <c r="AJ31" t="b">
        <v>0</v>
      </c>
      <c r="AK31" t="b">
        <v>0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0</v>
      </c>
      <c r="AR31" t="b">
        <v>0</v>
      </c>
      <c r="AS31" t="b">
        <v>0</v>
      </c>
      <c r="AT31" t="b">
        <v>0</v>
      </c>
      <c r="AU31" t="b">
        <v>0</v>
      </c>
      <c r="AV31" t="b">
        <v>0</v>
      </c>
      <c r="AW31" t="b">
        <v>0</v>
      </c>
      <c r="AX31" t="b">
        <v>0</v>
      </c>
      <c r="AY31" t="b">
        <v>0</v>
      </c>
      <c r="AZ31" t="b">
        <v>0</v>
      </c>
      <c r="BA31" t="b">
        <v>0</v>
      </c>
      <c r="BB31" t="b">
        <v>0</v>
      </c>
      <c r="BC31" t="b">
        <v>0</v>
      </c>
      <c r="BD31" t="b">
        <v>0</v>
      </c>
      <c r="BE31" t="b">
        <v>0</v>
      </c>
      <c r="BF31" t="b">
        <v>0</v>
      </c>
      <c r="BG31" t="b">
        <v>1</v>
      </c>
      <c r="BH31" t="b">
        <v>1</v>
      </c>
      <c r="BI31" t="b">
        <v>0</v>
      </c>
      <c r="BJ31" t="b">
        <v>0</v>
      </c>
      <c r="BK31" t="b">
        <v>0</v>
      </c>
      <c r="BL31" t="b">
        <v>1</v>
      </c>
      <c r="BM31" t="b">
        <v>0</v>
      </c>
      <c r="BN31" t="b">
        <v>0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0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 t="b">
        <v>0</v>
      </c>
      <c r="CC31" t="s">
        <v>1512</v>
      </c>
      <c r="CD31" t="s">
        <v>1492</v>
      </c>
      <c r="CE31" t="s">
        <v>1495</v>
      </c>
      <c r="CF31" t="s">
        <v>1495</v>
      </c>
      <c r="CG31" t="b">
        <v>0</v>
      </c>
      <c r="CH31">
        <v>0</v>
      </c>
      <c r="CI31" t="s">
        <v>1553</v>
      </c>
      <c r="CJ31" t="s">
        <v>1551</v>
      </c>
      <c r="CK31" t="s">
        <v>1279</v>
      </c>
      <c r="CL31" t="s">
        <v>1554</v>
      </c>
    </row>
    <row r="32" spans="1:90">
      <c r="A32">
        <v>316</v>
      </c>
      <c r="B32">
        <v>299</v>
      </c>
      <c r="C32" t="s">
        <v>1250</v>
      </c>
      <c r="D32">
        <v>1</v>
      </c>
      <c r="E32" t="s">
        <v>1492</v>
      </c>
      <c r="F32">
        <v>8</v>
      </c>
      <c r="G32">
        <v>1</v>
      </c>
      <c r="H32">
        <v>4</v>
      </c>
      <c r="I32" t="s">
        <v>634</v>
      </c>
      <c r="J32" t="s">
        <v>1297</v>
      </c>
      <c r="K32" t="s">
        <v>16</v>
      </c>
      <c r="L32" t="s">
        <v>1522</v>
      </c>
      <c r="M32" t="s">
        <v>1492</v>
      </c>
      <c r="N32" t="s">
        <v>1492</v>
      </c>
      <c r="O32" t="s">
        <v>1302</v>
      </c>
      <c r="P32" t="s">
        <v>1379</v>
      </c>
      <c r="Q32" t="s">
        <v>1302</v>
      </c>
      <c r="R32" t="s">
        <v>1379</v>
      </c>
      <c r="S32" t="s">
        <v>1302</v>
      </c>
      <c r="T32" t="s">
        <v>1379</v>
      </c>
      <c r="U32" t="s">
        <v>1302</v>
      </c>
      <c r="V32" t="s">
        <v>1379</v>
      </c>
      <c r="W32" t="s">
        <v>1302</v>
      </c>
      <c r="X32" t="s">
        <v>1372</v>
      </c>
      <c r="Y32" t="s">
        <v>1257</v>
      </c>
      <c r="Z32" t="s">
        <v>1257</v>
      </c>
      <c r="AA32" t="s">
        <v>1257</v>
      </c>
      <c r="AB32" t="s">
        <v>1257</v>
      </c>
      <c r="AC32" t="b">
        <v>0</v>
      </c>
      <c r="AD32" t="b">
        <v>0</v>
      </c>
      <c r="AE32" t="b">
        <v>0</v>
      </c>
      <c r="AF32" t="b">
        <v>0</v>
      </c>
      <c r="AG32" t="b">
        <v>0</v>
      </c>
      <c r="AH32" t="b">
        <v>0</v>
      </c>
      <c r="AI32" t="b">
        <v>0</v>
      </c>
      <c r="AJ32" t="b">
        <v>1</v>
      </c>
      <c r="AK32" t="b">
        <v>0</v>
      </c>
      <c r="AL32" t="b">
        <v>0</v>
      </c>
      <c r="AM32" t="b">
        <v>1</v>
      </c>
      <c r="AN32" t="b">
        <v>1</v>
      </c>
      <c r="AO32" t="b">
        <v>1</v>
      </c>
      <c r="AP32" t="b">
        <v>0</v>
      </c>
      <c r="AQ32" t="b">
        <v>1</v>
      </c>
      <c r="AR32" t="b">
        <v>0</v>
      </c>
      <c r="AS32" t="b">
        <v>0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  <c r="AY32" t="b">
        <v>1</v>
      </c>
      <c r="AZ32" t="b">
        <v>0</v>
      </c>
      <c r="BA32" t="b">
        <v>0</v>
      </c>
      <c r="BB32" t="b">
        <v>0</v>
      </c>
      <c r="BC32" t="b">
        <v>0</v>
      </c>
      <c r="BD32" t="b">
        <v>0</v>
      </c>
      <c r="BE32" t="b">
        <v>0</v>
      </c>
      <c r="BF32" t="b">
        <v>0</v>
      </c>
      <c r="BG32" t="b">
        <v>0</v>
      </c>
      <c r="BH32" t="b">
        <v>0</v>
      </c>
      <c r="BI32" t="b">
        <v>0</v>
      </c>
      <c r="BJ32" t="b">
        <v>0</v>
      </c>
      <c r="BK32" t="b">
        <v>0</v>
      </c>
      <c r="BL32" t="b">
        <v>0</v>
      </c>
      <c r="BM32" t="b">
        <v>0</v>
      </c>
      <c r="BN32" t="b">
        <v>0</v>
      </c>
      <c r="BO32" t="b">
        <v>0</v>
      </c>
      <c r="BP32" t="b">
        <v>0</v>
      </c>
      <c r="BQ32" t="b">
        <v>0</v>
      </c>
      <c r="BR32" t="b">
        <v>0</v>
      </c>
      <c r="BS32" t="b">
        <v>0</v>
      </c>
      <c r="BT32" t="b">
        <v>0</v>
      </c>
      <c r="BU32" t="b">
        <v>0</v>
      </c>
      <c r="BV32" t="b">
        <v>0</v>
      </c>
      <c r="BW32" t="b">
        <v>0</v>
      </c>
      <c r="BX32" t="b">
        <v>0</v>
      </c>
      <c r="BY32" t="b">
        <v>0</v>
      </c>
      <c r="BZ32" t="b">
        <v>0</v>
      </c>
      <c r="CA32" t="b">
        <v>0</v>
      </c>
      <c r="CB32" t="b">
        <v>0</v>
      </c>
      <c r="CC32" t="s">
        <v>1512</v>
      </c>
      <c r="CD32" t="s">
        <v>1492</v>
      </c>
      <c r="CE32" t="s">
        <v>1495</v>
      </c>
      <c r="CF32" t="s">
        <v>1495</v>
      </c>
      <c r="CG32" t="b">
        <v>0</v>
      </c>
      <c r="CH32">
        <v>0</v>
      </c>
      <c r="CI32" t="s">
        <v>1555</v>
      </c>
      <c r="CJ32" t="s">
        <v>1556</v>
      </c>
      <c r="CK32" t="s">
        <v>1251</v>
      </c>
      <c r="CL32" t="s">
        <v>1557</v>
      </c>
    </row>
    <row r="33" spans="1:90">
      <c r="A33">
        <v>315</v>
      </c>
      <c r="B33">
        <v>299</v>
      </c>
      <c r="C33" t="s">
        <v>1273</v>
      </c>
      <c r="D33">
        <v>1</v>
      </c>
      <c r="E33" t="s">
        <v>1492</v>
      </c>
      <c r="F33">
        <v>8</v>
      </c>
      <c r="G33">
        <v>1</v>
      </c>
      <c r="H33">
        <v>4</v>
      </c>
      <c r="I33" t="s">
        <v>634</v>
      </c>
      <c r="J33" t="s">
        <v>1254</v>
      </c>
      <c r="K33" t="s">
        <v>16</v>
      </c>
      <c r="L33" t="s">
        <v>1522</v>
      </c>
      <c r="M33" t="s">
        <v>1492</v>
      </c>
      <c r="N33" t="s">
        <v>1492</v>
      </c>
      <c r="O33" t="s">
        <v>1302</v>
      </c>
      <c r="P33" t="s">
        <v>1379</v>
      </c>
      <c r="Q33" t="s">
        <v>1302</v>
      </c>
      <c r="R33" t="s">
        <v>1379</v>
      </c>
      <c r="S33" t="s">
        <v>1302</v>
      </c>
      <c r="T33" t="s">
        <v>1379</v>
      </c>
      <c r="U33" t="s">
        <v>1302</v>
      </c>
      <c r="V33" t="s">
        <v>1379</v>
      </c>
      <c r="W33" t="s">
        <v>1302</v>
      </c>
      <c r="X33" t="s">
        <v>1372</v>
      </c>
      <c r="Y33" t="s">
        <v>1257</v>
      </c>
      <c r="Z33" t="s">
        <v>1257</v>
      </c>
      <c r="AA33" t="s">
        <v>1257</v>
      </c>
      <c r="AB33" t="s">
        <v>1257</v>
      </c>
      <c r="AC33" t="b">
        <v>0</v>
      </c>
      <c r="AD33" t="b">
        <v>0</v>
      </c>
      <c r="AE33" t="b">
        <v>0</v>
      </c>
      <c r="AF33" t="b">
        <v>0</v>
      </c>
      <c r="AG33" t="b">
        <v>0</v>
      </c>
      <c r="AH33" t="b">
        <v>0</v>
      </c>
      <c r="AI33" t="b">
        <v>0</v>
      </c>
      <c r="AJ33" t="b">
        <v>0</v>
      </c>
      <c r="AK33" t="b">
        <v>1</v>
      </c>
      <c r="AL33" t="b">
        <v>1</v>
      </c>
      <c r="AM33" t="b">
        <v>0</v>
      </c>
      <c r="AN33" t="b">
        <v>0</v>
      </c>
      <c r="AO33" t="b">
        <v>0</v>
      </c>
      <c r="AP33" t="b">
        <v>1</v>
      </c>
      <c r="AQ33" t="b">
        <v>0</v>
      </c>
      <c r="AR33" t="b">
        <v>0</v>
      </c>
      <c r="AS33" t="b">
        <v>0</v>
      </c>
      <c r="AT33" t="b">
        <v>0</v>
      </c>
      <c r="AU33" t="b">
        <v>0</v>
      </c>
      <c r="AV33" t="b">
        <v>0</v>
      </c>
      <c r="AW33" t="b">
        <v>0</v>
      </c>
      <c r="AX33" t="b">
        <v>0</v>
      </c>
      <c r="AY33" t="b">
        <v>0</v>
      </c>
      <c r="AZ33" t="b">
        <v>0</v>
      </c>
      <c r="BA33" t="b">
        <v>0</v>
      </c>
      <c r="BB33" t="b">
        <v>0</v>
      </c>
      <c r="BC33" t="b">
        <v>0</v>
      </c>
      <c r="BD33" t="b">
        <v>0</v>
      </c>
      <c r="BE33" t="b">
        <v>0</v>
      </c>
      <c r="BF33" t="b">
        <v>0</v>
      </c>
      <c r="BG33" t="b">
        <v>0</v>
      </c>
      <c r="BH33" t="b">
        <v>0</v>
      </c>
      <c r="BI33" t="b">
        <v>0</v>
      </c>
      <c r="BJ33" t="b">
        <v>0</v>
      </c>
      <c r="BK33" t="b">
        <v>0</v>
      </c>
      <c r="BL33" t="b">
        <v>0</v>
      </c>
      <c r="BM33" t="b">
        <v>0</v>
      </c>
      <c r="BN33" t="b">
        <v>0</v>
      </c>
      <c r="BO33" t="b">
        <v>0</v>
      </c>
      <c r="BP33" t="b">
        <v>0</v>
      </c>
      <c r="BQ33" t="b">
        <v>0</v>
      </c>
      <c r="BR33" t="b">
        <v>0</v>
      </c>
      <c r="BS33" t="b">
        <v>0</v>
      </c>
      <c r="BT33" t="b">
        <v>0</v>
      </c>
      <c r="BU33" t="b">
        <v>0</v>
      </c>
      <c r="BV33" t="b">
        <v>0</v>
      </c>
      <c r="BW33" t="b">
        <v>0</v>
      </c>
      <c r="BX33" t="b">
        <v>0</v>
      </c>
      <c r="BY33" t="b">
        <v>0</v>
      </c>
      <c r="BZ33" t="b">
        <v>0</v>
      </c>
      <c r="CA33" t="b">
        <v>0</v>
      </c>
      <c r="CB33" t="b">
        <v>0</v>
      </c>
      <c r="CC33" t="s">
        <v>1512</v>
      </c>
      <c r="CD33" t="s">
        <v>1492</v>
      </c>
      <c r="CE33" t="s">
        <v>1495</v>
      </c>
      <c r="CF33" t="s">
        <v>1495</v>
      </c>
      <c r="CG33" t="b">
        <v>0</v>
      </c>
      <c r="CH33">
        <v>0</v>
      </c>
      <c r="CI33" t="s">
        <v>1558</v>
      </c>
      <c r="CJ33" t="s">
        <v>1556</v>
      </c>
      <c r="CK33" t="s">
        <v>1279</v>
      </c>
      <c r="CL33" t="s">
        <v>1559</v>
      </c>
    </row>
    <row r="34" spans="1:90">
      <c r="A34">
        <v>320</v>
      </c>
      <c r="B34">
        <v>301</v>
      </c>
      <c r="C34" t="s">
        <v>1250</v>
      </c>
      <c r="D34">
        <v>1</v>
      </c>
      <c r="E34" t="s">
        <v>1492</v>
      </c>
      <c r="F34">
        <v>8</v>
      </c>
      <c r="G34">
        <v>1</v>
      </c>
      <c r="H34">
        <v>4</v>
      </c>
      <c r="I34" t="s">
        <v>634</v>
      </c>
      <c r="J34" t="s">
        <v>1297</v>
      </c>
      <c r="K34" t="s">
        <v>16</v>
      </c>
      <c r="L34" t="s">
        <v>1522</v>
      </c>
      <c r="M34" t="s">
        <v>1492</v>
      </c>
      <c r="N34" t="s">
        <v>1492</v>
      </c>
      <c r="O34" t="s">
        <v>1302</v>
      </c>
      <c r="P34" t="s">
        <v>1379</v>
      </c>
      <c r="Q34" t="s">
        <v>1302</v>
      </c>
      <c r="R34" t="s">
        <v>1379</v>
      </c>
      <c r="S34" t="s">
        <v>1302</v>
      </c>
      <c r="T34" t="s">
        <v>1379</v>
      </c>
      <c r="U34" t="s">
        <v>1302</v>
      </c>
      <c r="V34" t="s">
        <v>1379</v>
      </c>
      <c r="W34" t="s">
        <v>1302</v>
      </c>
      <c r="X34" t="s">
        <v>1372</v>
      </c>
      <c r="Y34" t="s">
        <v>1257</v>
      </c>
      <c r="Z34" t="s">
        <v>1257</v>
      </c>
      <c r="AA34" t="s">
        <v>1257</v>
      </c>
      <c r="AB34" t="s">
        <v>1257</v>
      </c>
      <c r="AC34" t="b">
        <v>0</v>
      </c>
      <c r="AD34" t="b">
        <v>0</v>
      </c>
      <c r="AE34" t="b">
        <v>0</v>
      </c>
      <c r="AF34" t="b">
        <v>0</v>
      </c>
      <c r="AG34" t="b">
        <v>0</v>
      </c>
      <c r="AH34" t="b">
        <v>0</v>
      </c>
      <c r="AI34" t="b">
        <v>0</v>
      </c>
      <c r="AJ34" t="b">
        <v>0</v>
      </c>
      <c r="AK34" t="b">
        <v>0</v>
      </c>
      <c r="AL34" t="b">
        <v>0</v>
      </c>
      <c r="AM34" t="b">
        <v>0</v>
      </c>
      <c r="AN34" t="b">
        <v>0</v>
      </c>
      <c r="AO34" t="b">
        <v>0</v>
      </c>
      <c r="AP34" t="b">
        <v>0</v>
      </c>
      <c r="AQ34" t="b">
        <v>0</v>
      </c>
      <c r="AR34" t="b">
        <v>0</v>
      </c>
      <c r="AS34" t="b">
        <v>0</v>
      </c>
      <c r="AT34" t="b">
        <v>0</v>
      </c>
      <c r="AU34" t="b">
        <v>0</v>
      </c>
      <c r="AV34" t="b">
        <v>0</v>
      </c>
      <c r="AW34" t="b">
        <v>0</v>
      </c>
      <c r="AX34" t="b">
        <v>0</v>
      </c>
      <c r="AY34" t="b">
        <v>0</v>
      </c>
      <c r="AZ34" t="b">
        <v>0</v>
      </c>
      <c r="BA34" t="b">
        <v>0</v>
      </c>
      <c r="BB34" t="b">
        <v>0</v>
      </c>
      <c r="BC34" t="b">
        <v>0</v>
      </c>
      <c r="BD34" t="b">
        <v>0</v>
      </c>
      <c r="BE34" t="b">
        <v>0</v>
      </c>
      <c r="BF34" t="b">
        <v>1</v>
      </c>
      <c r="BG34" t="b">
        <v>0</v>
      </c>
      <c r="BH34" t="b">
        <v>0</v>
      </c>
      <c r="BI34" t="b">
        <v>1</v>
      </c>
      <c r="BJ34" t="b">
        <v>1</v>
      </c>
      <c r="BK34" t="b">
        <v>1</v>
      </c>
      <c r="BL34" t="b">
        <v>0</v>
      </c>
      <c r="BM34" t="b">
        <v>1</v>
      </c>
      <c r="BN34" t="b">
        <v>1</v>
      </c>
      <c r="BO34" t="b">
        <v>1</v>
      </c>
      <c r="BP34" t="b">
        <v>0</v>
      </c>
      <c r="BQ34" t="b">
        <v>0</v>
      </c>
      <c r="BR34" t="b">
        <v>1</v>
      </c>
      <c r="BS34" t="b">
        <v>1</v>
      </c>
      <c r="BT34" t="b">
        <v>1</v>
      </c>
      <c r="BU34" t="b">
        <v>1</v>
      </c>
      <c r="BV34" t="b">
        <v>0</v>
      </c>
      <c r="BW34" t="b">
        <v>0</v>
      </c>
      <c r="BX34" t="b">
        <v>0</v>
      </c>
      <c r="BY34" t="b">
        <v>0</v>
      </c>
      <c r="BZ34" t="b">
        <v>0</v>
      </c>
      <c r="CA34" t="b">
        <v>0</v>
      </c>
      <c r="CB34" t="b">
        <v>0</v>
      </c>
      <c r="CC34" t="s">
        <v>1512</v>
      </c>
      <c r="CD34" t="s">
        <v>1492</v>
      </c>
      <c r="CE34" t="s">
        <v>1495</v>
      </c>
      <c r="CF34" t="s">
        <v>1495</v>
      </c>
      <c r="CG34" t="b">
        <v>0</v>
      </c>
      <c r="CH34">
        <v>0</v>
      </c>
      <c r="CI34" t="s">
        <v>1560</v>
      </c>
      <c r="CJ34" t="s">
        <v>1561</v>
      </c>
      <c r="CK34" t="s">
        <v>1251</v>
      </c>
      <c r="CL34" t="s">
        <v>1562</v>
      </c>
    </row>
    <row r="35" spans="1:90">
      <c r="A35">
        <v>319</v>
      </c>
      <c r="B35">
        <v>301</v>
      </c>
      <c r="C35" t="s">
        <v>1273</v>
      </c>
      <c r="D35">
        <v>1</v>
      </c>
      <c r="E35" t="s">
        <v>1492</v>
      </c>
      <c r="F35">
        <v>8</v>
      </c>
      <c r="G35">
        <v>1</v>
      </c>
      <c r="H35">
        <v>4</v>
      </c>
      <c r="I35" t="s">
        <v>634</v>
      </c>
      <c r="J35" t="s">
        <v>1254</v>
      </c>
      <c r="K35" t="s">
        <v>16</v>
      </c>
      <c r="L35" t="s">
        <v>1522</v>
      </c>
      <c r="M35" t="s">
        <v>1492</v>
      </c>
      <c r="N35" t="s">
        <v>1492</v>
      </c>
      <c r="O35" t="s">
        <v>1302</v>
      </c>
      <c r="P35" t="s">
        <v>1379</v>
      </c>
      <c r="Q35" t="s">
        <v>1302</v>
      </c>
      <c r="R35" t="s">
        <v>1379</v>
      </c>
      <c r="S35" t="s">
        <v>1302</v>
      </c>
      <c r="T35" t="s">
        <v>1379</v>
      </c>
      <c r="U35" t="s">
        <v>1302</v>
      </c>
      <c r="V35" t="s">
        <v>1379</v>
      </c>
      <c r="W35" t="s">
        <v>1302</v>
      </c>
      <c r="X35" t="s">
        <v>1372</v>
      </c>
      <c r="Y35" t="s">
        <v>1257</v>
      </c>
      <c r="Z35" t="s">
        <v>1257</v>
      </c>
      <c r="AA35" t="s">
        <v>1257</v>
      </c>
      <c r="AB35" t="s">
        <v>1257</v>
      </c>
      <c r="AC35" t="b">
        <v>0</v>
      </c>
      <c r="AD35" t="b">
        <v>0</v>
      </c>
      <c r="AE35" t="b">
        <v>0</v>
      </c>
      <c r="AF35" t="b">
        <v>0</v>
      </c>
      <c r="AG35" t="b">
        <v>0</v>
      </c>
      <c r="AH35" t="b">
        <v>0</v>
      </c>
      <c r="AI35" t="b">
        <v>0</v>
      </c>
      <c r="AJ35" t="b">
        <v>0</v>
      </c>
      <c r="AK35" t="b">
        <v>0</v>
      </c>
      <c r="AL35" t="b">
        <v>0</v>
      </c>
      <c r="AM35" t="b">
        <v>0</v>
      </c>
      <c r="AN35" t="b">
        <v>0</v>
      </c>
      <c r="AO35" t="b">
        <v>0</v>
      </c>
      <c r="AP35" t="b">
        <v>0</v>
      </c>
      <c r="AQ35" t="b">
        <v>0</v>
      </c>
      <c r="AR35" t="b">
        <v>0</v>
      </c>
      <c r="AS35" t="b">
        <v>0</v>
      </c>
      <c r="AT35" t="b">
        <v>0</v>
      </c>
      <c r="AU35" t="b">
        <v>0</v>
      </c>
      <c r="AV35" t="b">
        <v>0</v>
      </c>
      <c r="AW35" t="b">
        <v>0</v>
      </c>
      <c r="AX35" t="b">
        <v>0</v>
      </c>
      <c r="AY35" t="b">
        <v>0</v>
      </c>
      <c r="AZ35" t="b">
        <v>0</v>
      </c>
      <c r="BA35" t="b">
        <v>0</v>
      </c>
      <c r="BB35" t="b">
        <v>0</v>
      </c>
      <c r="BC35" t="b">
        <v>0</v>
      </c>
      <c r="BD35" t="b">
        <v>0</v>
      </c>
      <c r="BE35" t="b">
        <v>0</v>
      </c>
      <c r="BF35" t="b">
        <v>0</v>
      </c>
      <c r="BG35" t="b">
        <v>1</v>
      </c>
      <c r="BH35" t="b">
        <v>1</v>
      </c>
      <c r="BI35" t="b">
        <v>0</v>
      </c>
      <c r="BJ35" t="b">
        <v>0</v>
      </c>
      <c r="BK35" t="b">
        <v>0</v>
      </c>
      <c r="BL35" t="b">
        <v>1</v>
      </c>
      <c r="BM35" t="b">
        <v>0</v>
      </c>
      <c r="BN35" t="b">
        <v>0</v>
      </c>
      <c r="BO35" t="b">
        <v>0</v>
      </c>
      <c r="BP35" t="b">
        <v>0</v>
      </c>
      <c r="BQ35" t="b">
        <v>0</v>
      </c>
      <c r="BR35" t="b">
        <v>0</v>
      </c>
      <c r="BS35" t="b">
        <v>0</v>
      </c>
      <c r="BT35" t="b">
        <v>0</v>
      </c>
      <c r="BU35" t="b">
        <v>0</v>
      </c>
      <c r="BV35" t="b">
        <v>0</v>
      </c>
      <c r="BW35" t="b">
        <v>0</v>
      </c>
      <c r="BX35" t="b">
        <v>0</v>
      </c>
      <c r="BY35" t="b">
        <v>0</v>
      </c>
      <c r="BZ35" t="b">
        <v>0</v>
      </c>
      <c r="CA35" t="b">
        <v>0</v>
      </c>
      <c r="CB35" t="b">
        <v>0</v>
      </c>
      <c r="CC35" t="s">
        <v>1512</v>
      </c>
      <c r="CD35" t="s">
        <v>1492</v>
      </c>
      <c r="CE35" t="s">
        <v>1495</v>
      </c>
      <c r="CF35" t="s">
        <v>1495</v>
      </c>
      <c r="CG35" t="b">
        <v>0</v>
      </c>
      <c r="CH35">
        <v>0</v>
      </c>
      <c r="CI35" t="s">
        <v>1563</v>
      </c>
      <c r="CJ35" t="s">
        <v>1561</v>
      </c>
      <c r="CK35" t="s">
        <v>1279</v>
      </c>
      <c r="CL35" t="s">
        <v>1564</v>
      </c>
    </row>
    <row r="36" spans="1:90">
      <c r="A36">
        <v>459</v>
      </c>
      <c r="B36">
        <v>99997</v>
      </c>
      <c r="C36" t="s">
        <v>1250</v>
      </c>
      <c r="D36">
        <v>1</v>
      </c>
      <c r="E36" t="s">
        <v>1492</v>
      </c>
      <c r="F36">
        <v>20</v>
      </c>
      <c r="G36">
        <v>1</v>
      </c>
      <c r="H36">
        <v>4</v>
      </c>
      <c r="I36" t="s">
        <v>812</v>
      </c>
      <c r="J36" t="s">
        <v>1297</v>
      </c>
      <c r="K36" t="s">
        <v>15</v>
      </c>
      <c r="L36" t="s">
        <v>1511</v>
      </c>
      <c r="M36" t="s">
        <v>1492</v>
      </c>
      <c r="N36" t="s">
        <v>1492</v>
      </c>
      <c r="O36" t="s">
        <v>1285</v>
      </c>
      <c r="P36" t="s">
        <v>1379</v>
      </c>
      <c r="Q36" t="s">
        <v>1285</v>
      </c>
      <c r="R36" t="s">
        <v>1379</v>
      </c>
      <c r="S36" t="s">
        <v>1285</v>
      </c>
      <c r="T36" t="s">
        <v>1379</v>
      </c>
      <c r="U36" t="s">
        <v>1285</v>
      </c>
      <c r="V36" t="s">
        <v>1379</v>
      </c>
      <c r="W36" t="s">
        <v>1285</v>
      </c>
      <c r="X36" t="s">
        <v>1372</v>
      </c>
      <c r="Y36" t="s">
        <v>1257</v>
      </c>
      <c r="Z36" t="s">
        <v>1257</v>
      </c>
      <c r="AA36" t="s">
        <v>1257</v>
      </c>
      <c r="AB36" t="s">
        <v>1257</v>
      </c>
      <c r="AC36" t="b">
        <v>0</v>
      </c>
      <c r="AD36" t="b">
        <v>0</v>
      </c>
      <c r="AE36" t="b">
        <v>0</v>
      </c>
      <c r="AF36" t="b">
        <v>0</v>
      </c>
      <c r="AG36" t="b">
        <v>0</v>
      </c>
      <c r="AH36" t="b">
        <v>0</v>
      </c>
      <c r="AI36" t="b">
        <v>0</v>
      </c>
      <c r="AJ36" t="b">
        <v>0</v>
      </c>
      <c r="AK36" t="b">
        <v>0</v>
      </c>
      <c r="AL36" t="b">
        <v>0</v>
      </c>
      <c r="AM36" t="b">
        <v>0</v>
      </c>
      <c r="AN36" t="b">
        <v>0</v>
      </c>
      <c r="AO36" t="b">
        <v>0</v>
      </c>
      <c r="AP36" t="b">
        <v>0</v>
      </c>
      <c r="AQ36" t="b">
        <v>0</v>
      </c>
      <c r="AR36" t="b">
        <v>0</v>
      </c>
      <c r="AS36" t="b">
        <v>0</v>
      </c>
      <c r="AT36" t="b">
        <v>0</v>
      </c>
      <c r="AU36" t="b">
        <v>0</v>
      </c>
      <c r="AV36" t="b">
        <v>0</v>
      </c>
      <c r="AW36" t="b">
        <v>0</v>
      </c>
      <c r="AX36" t="b">
        <v>0</v>
      </c>
      <c r="AY36" t="b">
        <v>0</v>
      </c>
      <c r="AZ36" t="b">
        <v>0</v>
      </c>
      <c r="BA36" t="b">
        <v>0</v>
      </c>
      <c r="BB36" t="b">
        <v>0</v>
      </c>
      <c r="BC36" t="b">
        <v>0</v>
      </c>
      <c r="BD36" t="b">
        <v>0</v>
      </c>
      <c r="BE36" t="b">
        <v>0</v>
      </c>
      <c r="BF36" t="b">
        <v>1</v>
      </c>
      <c r="BG36" t="b">
        <v>1</v>
      </c>
      <c r="BH36" t="b">
        <v>1</v>
      </c>
      <c r="BI36" t="b">
        <v>1</v>
      </c>
      <c r="BJ36" t="b">
        <v>0</v>
      </c>
      <c r="BK36" t="b">
        <v>0</v>
      </c>
      <c r="BL36" t="b">
        <v>0</v>
      </c>
      <c r="BM36" t="b">
        <v>0</v>
      </c>
      <c r="BN36" t="b">
        <v>1</v>
      </c>
      <c r="BO36" t="b">
        <v>1</v>
      </c>
      <c r="BP36" t="b">
        <v>0</v>
      </c>
      <c r="BQ36" t="b">
        <v>0</v>
      </c>
      <c r="BR36" t="b">
        <v>1</v>
      </c>
      <c r="BS36" t="b">
        <v>1</v>
      </c>
      <c r="BT36" t="b">
        <v>1</v>
      </c>
      <c r="BU36" t="b">
        <v>0</v>
      </c>
      <c r="BV36" t="b">
        <v>0</v>
      </c>
      <c r="BW36" t="b">
        <v>0</v>
      </c>
      <c r="BX36" t="b">
        <v>0</v>
      </c>
      <c r="BY36" t="b">
        <v>0</v>
      </c>
      <c r="BZ36" t="b">
        <v>0</v>
      </c>
      <c r="CA36" t="b">
        <v>0</v>
      </c>
      <c r="CB36" t="b">
        <v>0</v>
      </c>
      <c r="CC36" t="s">
        <v>1253</v>
      </c>
      <c r="CD36" t="s">
        <v>1492</v>
      </c>
      <c r="CE36" t="s">
        <v>1495</v>
      </c>
      <c r="CF36" t="s">
        <v>1495</v>
      </c>
      <c r="CG36" t="b">
        <v>0</v>
      </c>
      <c r="CH36">
        <v>0</v>
      </c>
      <c r="CI36" t="s">
        <v>1565</v>
      </c>
      <c r="CJ36" t="s">
        <v>1566</v>
      </c>
      <c r="CK36" t="s">
        <v>1251</v>
      </c>
      <c r="CL36" t="s">
        <v>1567</v>
      </c>
    </row>
    <row r="37" spans="1:90">
      <c r="A37">
        <v>460</v>
      </c>
      <c r="B37">
        <v>99997</v>
      </c>
      <c r="C37" t="s">
        <v>1273</v>
      </c>
      <c r="D37">
        <v>1</v>
      </c>
      <c r="E37" t="s">
        <v>1492</v>
      </c>
      <c r="F37">
        <v>20</v>
      </c>
      <c r="G37">
        <v>1</v>
      </c>
      <c r="H37">
        <v>4</v>
      </c>
      <c r="I37" t="s">
        <v>812</v>
      </c>
      <c r="J37" t="s">
        <v>1254</v>
      </c>
      <c r="K37" t="s">
        <v>15</v>
      </c>
      <c r="L37" t="s">
        <v>1493</v>
      </c>
      <c r="M37" t="s">
        <v>1492</v>
      </c>
      <c r="N37" t="s">
        <v>1492</v>
      </c>
      <c r="O37" t="s">
        <v>1285</v>
      </c>
      <c r="P37" t="s">
        <v>1379</v>
      </c>
      <c r="Q37" t="s">
        <v>1285</v>
      </c>
      <c r="R37" t="s">
        <v>1379</v>
      </c>
      <c r="S37" t="s">
        <v>1285</v>
      </c>
      <c r="T37" t="s">
        <v>1379</v>
      </c>
      <c r="U37" t="s">
        <v>1285</v>
      </c>
      <c r="V37" t="s">
        <v>1379</v>
      </c>
      <c r="W37" t="s">
        <v>1285</v>
      </c>
      <c r="X37" t="s">
        <v>1372</v>
      </c>
      <c r="Y37" t="s">
        <v>1257</v>
      </c>
      <c r="Z37" t="s">
        <v>1257</v>
      </c>
      <c r="AA37" t="s">
        <v>1257</v>
      </c>
      <c r="AB37" t="s">
        <v>1257</v>
      </c>
      <c r="AC37" t="b">
        <v>0</v>
      </c>
      <c r="AD37" t="b">
        <v>0</v>
      </c>
      <c r="AE37" t="b">
        <v>0</v>
      </c>
      <c r="AF37" t="b">
        <v>0</v>
      </c>
      <c r="AG37" t="b">
        <v>0</v>
      </c>
      <c r="AH37" t="b">
        <v>0</v>
      </c>
      <c r="AI37" t="b">
        <v>0</v>
      </c>
      <c r="AJ37" t="b">
        <v>0</v>
      </c>
      <c r="AK37" t="b">
        <v>0</v>
      </c>
      <c r="AL37" t="b">
        <v>0</v>
      </c>
      <c r="AM37" t="b">
        <v>0</v>
      </c>
      <c r="AN37" t="b">
        <v>0</v>
      </c>
      <c r="AO37" t="b">
        <v>0</v>
      </c>
      <c r="AP37" t="b">
        <v>0</v>
      </c>
      <c r="AQ37" t="b">
        <v>0</v>
      </c>
      <c r="AR37" t="b">
        <v>0</v>
      </c>
      <c r="AS37" t="b">
        <v>0</v>
      </c>
      <c r="AT37" t="b">
        <v>0</v>
      </c>
      <c r="AU37" t="b">
        <v>0</v>
      </c>
      <c r="AV37" t="b">
        <v>0</v>
      </c>
      <c r="AW37" t="b">
        <v>0</v>
      </c>
      <c r="AX37" t="b">
        <v>0</v>
      </c>
      <c r="AY37" t="b">
        <v>0</v>
      </c>
      <c r="AZ37" t="b">
        <v>0</v>
      </c>
      <c r="BA37" t="b">
        <v>0</v>
      </c>
      <c r="BB37" t="b">
        <v>0</v>
      </c>
      <c r="BC37" t="b">
        <v>0</v>
      </c>
      <c r="BD37" t="b">
        <v>0</v>
      </c>
      <c r="BE37" t="b">
        <v>0</v>
      </c>
      <c r="BF37" t="b">
        <v>0</v>
      </c>
      <c r="BG37" t="b">
        <v>0</v>
      </c>
      <c r="BH37" t="b">
        <v>0</v>
      </c>
      <c r="BI37" t="b">
        <v>0</v>
      </c>
      <c r="BJ37" t="b">
        <v>1</v>
      </c>
      <c r="BK37" t="b">
        <v>1</v>
      </c>
      <c r="BL37" t="b">
        <v>1</v>
      </c>
      <c r="BM37" t="b">
        <v>1</v>
      </c>
      <c r="BN37" t="b">
        <v>0</v>
      </c>
      <c r="BO37" t="b">
        <v>0</v>
      </c>
      <c r="BP37" t="b">
        <v>0</v>
      </c>
      <c r="BQ37" t="b">
        <v>0</v>
      </c>
      <c r="BR37" t="b">
        <v>0</v>
      </c>
      <c r="BS37" t="b">
        <v>0</v>
      </c>
      <c r="BT37" t="b">
        <v>0</v>
      </c>
      <c r="BU37" t="b">
        <v>1</v>
      </c>
      <c r="BV37" t="b">
        <v>0</v>
      </c>
      <c r="BW37" t="b">
        <v>0</v>
      </c>
      <c r="BX37" t="b">
        <v>0</v>
      </c>
      <c r="BY37" t="b">
        <v>0</v>
      </c>
      <c r="BZ37" t="b">
        <v>0</v>
      </c>
      <c r="CA37" t="b">
        <v>0</v>
      </c>
      <c r="CB37" t="b">
        <v>0</v>
      </c>
      <c r="CC37" t="s">
        <v>1253</v>
      </c>
      <c r="CD37" t="s">
        <v>1492</v>
      </c>
      <c r="CE37" t="s">
        <v>1495</v>
      </c>
      <c r="CF37" t="s">
        <v>1495</v>
      </c>
      <c r="CG37" t="b">
        <v>0</v>
      </c>
      <c r="CH37">
        <v>0</v>
      </c>
      <c r="CI37" t="s">
        <v>1568</v>
      </c>
      <c r="CJ37" t="s">
        <v>1566</v>
      </c>
      <c r="CK37" t="s">
        <v>1279</v>
      </c>
      <c r="CL37" t="s">
        <v>1569</v>
      </c>
    </row>
    <row r="38" spans="1:90">
      <c r="A38">
        <v>324</v>
      </c>
      <c r="B38">
        <v>304</v>
      </c>
      <c r="C38" t="s">
        <v>1250</v>
      </c>
      <c r="D38">
        <v>1</v>
      </c>
      <c r="E38" t="s">
        <v>1492</v>
      </c>
      <c r="F38">
        <v>13</v>
      </c>
      <c r="G38">
        <v>1</v>
      </c>
      <c r="H38">
        <v>4</v>
      </c>
      <c r="I38" t="s">
        <v>634</v>
      </c>
      <c r="J38" t="s">
        <v>1297</v>
      </c>
      <c r="K38" t="s">
        <v>16</v>
      </c>
      <c r="L38" t="s">
        <v>1522</v>
      </c>
      <c r="M38" t="s">
        <v>1492</v>
      </c>
      <c r="N38" t="s">
        <v>1492</v>
      </c>
      <c r="O38" t="s">
        <v>1302</v>
      </c>
      <c r="P38" t="s">
        <v>1379</v>
      </c>
      <c r="Q38" t="s">
        <v>1302</v>
      </c>
      <c r="R38" t="s">
        <v>1379</v>
      </c>
      <c r="S38" t="s">
        <v>1302</v>
      </c>
      <c r="T38" t="s">
        <v>1379</v>
      </c>
      <c r="U38" t="s">
        <v>1302</v>
      </c>
      <c r="V38" t="s">
        <v>1379</v>
      </c>
      <c r="W38" t="s">
        <v>1302</v>
      </c>
      <c r="X38" t="s">
        <v>1372</v>
      </c>
      <c r="Y38" t="s">
        <v>1257</v>
      </c>
      <c r="Z38" t="s">
        <v>1257</v>
      </c>
      <c r="AA38" t="s">
        <v>1257</v>
      </c>
      <c r="AB38" t="s">
        <v>1257</v>
      </c>
      <c r="AC38" t="b">
        <v>0</v>
      </c>
      <c r="AD38" t="b">
        <v>0</v>
      </c>
      <c r="AE38" t="b">
        <v>0</v>
      </c>
      <c r="AF38" t="b">
        <v>0</v>
      </c>
      <c r="AG38" t="b">
        <v>0</v>
      </c>
      <c r="AH38" t="b">
        <v>0</v>
      </c>
      <c r="AI38" t="b">
        <v>0</v>
      </c>
      <c r="AJ38" t="b">
        <v>0</v>
      </c>
      <c r="AK38" t="b">
        <v>0</v>
      </c>
      <c r="AL38" t="b">
        <v>0</v>
      </c>
      <c r="AM38" t="b">
        <v>0</v>
      </c>
      <c r="AN38" t="b">
        <v>0</v>
      </c>
      <c r="AO38" t="b">
        <v>0</v>
      </c>
      <c r="AP38" t="b">
        <v>0</v>
      </c>
      <c r="AQ38" t="b">
        <v>0</v>
      </c>
      <c r="AR38" t="b">
        <v>0</v>
      </c>
      <c r="AS38" t="b">
        <v>0</v>
      </c>
      <c r="AT38" t="b">
        <v>0</v>
      </c>
      <c r="AU38" t="b">
        <v>0</v>
      </c>
      <c r="AV38" t="b">
        <v>0</v>
      </c>
      <c r="AW38" t="b">
        <v>0</v>
      </c>
      <c r="AX38" t="b">
        <v>0</v>
      </c>
      <c r="AY38" t="b">
        <v>0</v>
      </c>
      <c r="AZ38" t="b">
        <v>0</v>
      </c>
      <c r="BA38" t="b">
        <v>0</v>
      </c>
      <c r="BB38" t="b">
        <v>0</v>
      </c>
      <c r="BC38" t="b">
        <v>0</v>
      </c>
      <c r="BD38" t="b">
        <v>0</v>
      </c>
      <c r="BE38" t="b">
        <v>0</v>
      </c>
      <c r="BF38" t="b">
        <v>1</v>
      </c>
      <c r="BG38" t="b">
        <v>1</v>
      </c>
      <c r="BH38" t="b">
        <v>1</v>
      </c>
      <c r="BI38" t="b">
        <v>1</v>
      </c>
      <c r="BJ38" t="b">
        <v>0</v>
      </c>
      <c r="BK38" t="b">
        <v>0</v>
      </c>
      <c r="BL38" t="b">
        <v>0</v>
      </c>
      <c r="BM38" t="b">
        <v>0</v>
      </c>
      <c r="BN38" t="b">
        <v>1</v>
      </c>
      <c r="BO38" t="b">
        <v>1</v>
      </c>
      <c r="BP38" t="b">
        <v>0</v>
      </c>
      <c r="BQ38" t="b">
        <v>0</v>
      </c>
      <c r="BR38" t="b">
        <v>1</v>
      </c>
      <c r="BS38" t="b">
        <v>1</v>
      </c>
      <c r="BT38" t="b">
        <v>1</v>
      </c>
      <c r="BU38" t="b">
        <v>0</v>
      </c>
      <c r="BV38" t="b">
        <v>0</v>
      </c>
      <c r="BW38" t="b">
        <v>0</v>
      </c>
      <c r="BX38" t="b">
        <v>0</v>
      </c>
      <c r="BY38" t="b">
        <v>0</v>
      </c>
      <c r="BZ38" t="b">
        <v>0</v>
      </c>
      <c r="CA38" t="b">
        <v>0</v>
      </c>
      <c r="CB38" t="b">
        <v>0</v>
      </c>
      <c r="CC38" t="s">
        <v>1512</v>
      </c>
      <c r="CD38" t="s">
        <v>1492</v>
      </c>
      <c r="CE38" t="s">
        <v>1495</v>
      </c>
      <c r="CF38" t="s">
        <v>1495</v>
      </c>
      <c r="CG38" t="b">
        <v>0</v>
      </c>
      <c r="CH38">
        <v>0</v>
      </c>
      <c r="CI38" t="s">
        <v>1570</v>
      </c>
      <c r="CJ38" t="s">
        <v>1571</v>
      </c>
      <c r="CK38" t="s">
        <v>1251</v>
      </c>
      <c r="CL38" t="s">
        <v>1572</v>
      </c>
    </row>
    <row r="39" spans="1:90">
      <c r="A39">
        <v>323</v>
      </c>
      <c r="B39">
        <v>304</v>
      </c>
      <c r="C39" t="s">
        <v>1273</v>
      </c>
      <c r="D39">
        <v>1</v>
      </c>
      <c r="E39" t="s">
        <v>1492</v>
      </c>
      <c r="F39">
        <v>13</v>
      </c>
      <c r="G39">
        <v>1</v>
      </c>
      <c r="H39">
        <v>4</v>
      </c>
      <c r="I39" t="s">
        <v>634</v>
      </c>
      <c r="J39" t="s">
        <v>1254</v>
      </c>
      <c r="K39" t="s">
        <v>16</v>
      </c>
      <c r="L39" t="s">
        <v>1522</v>
      </c>
      <c r="M39" t="s">
        <v>1492</v>
      </c>
      <c r="N39" t="s">
        <v>1492</v>
      </c>
      <c r="O39" t="s">
        <v>1302</v>
      </c>
      <c r="P39" t="s">
        <v>1379</v>
      </c>
      <c r="Q39" t="s">
        <v>1302</v>
      </c>
      <c r="R39" t="s">
        <v>1379</v>
      </c>
      <c r="S39" t="s">
        <v>1302</v>
      </c>
      <c r="T39" t="s">
        <v>1379</v>
      </c>
      <c r="U39" t="s">
        <v>1302</v>
      </c>
      <c r="V39" t="s">
        <v>1379</v>
      </c>
      <c r="W39" t="s">
        <v>1302</v>
      </c>
      <c r="X39" t="s">
        <v>1372</v>
      </c>
      <c r="Y39" t="s">
        <v>1257</v>
      </c>
      <c r="Z39" t="s">
        <v>1257</v>
      </c>
      <c r="AA39" t="s">
        <v>1257</v>
      </c>
      <c r="AB39" t="s">
        <v>1257</v>
      </c>
      <c r="AC39" t="b">
        <v>0</v>
      </c>
      <c r="AD39" t="b">
        <v>0</v>
      </c>
      <c r="AE39" t="b">
        <v>0</v>
      </c>
      <c r="AF39" t="b">
        <v>0</v>
      </c>
      <c r="AG39" t="b">
        <v>0</v>
      </c>
      <c r="AH39" t="b">
        <v>0</v>
      </c>
      <c r="AI39" t="b">
        <v>0</v>
      </c>
      <c r="AJ39" t="b">
        <v>0</v>
      </c>
      <c r="AK39" t="b">
        <v>0</v>
      </c>
      <c r="AL39" t="b">
        <v>0</v>
      </c>
      <c r="AM39" t="b">
        <v>0</v>
      </c>
      <c r="AN39" t="b">
        <v>0</v>
      </c>
      <c r="AO39" t="b">
        <v>0</v>
      </c>
      <c r="AP39" t="b">
        <v>0</v>
      </c>
      <c r="AQ39" t="b">
        <v>0</v>
      </c>
      <c r="AR39" t="b">
        <v>0</v>
      </c>
      <c r="AS39" t="b">
        <v>0</v>
      </c>
      <c r="AT39" t="b">
        <v>0</v>
      </c>
      <c r="AU39" t="b">
        <v>0</v>
      </c>
      <c r="AV39" t="b">
        <v>0</v>
      </c>
      <c r="AW39" t="b">
        <v>0</v>
      </c>
      <c r="AX39" t="b">
        <v>0</v>
      </c>
      <c r="AY39" t="b">
        <v>0</v>
      </c>
      <c r="AZ39" t="b">
        <v>0</v>
      </c>
      <c r="BA39" t="b">
        <v>0</v>
      </c>
      <c r="BB39" t="b">
        <v>0</v>
      </c>
      <c r="BC39" t="b">
        <v>0</v>
      </c>
      <c r="BD39" t="b">
        <v>0</v>
      </c>
      <c r="BE39" t="b">
        <v>0</v>
      </c>
      <c r="BF39" t="b">
        <v>0</v>
      </c>
      <c r="BG39" t="b">
        <v>0</v>
      </c>
      <c r="BH39" t="b">
        <v>0</v>
      </c>
      <c r="BI39" t="b">
        <v>0</v>
      </c>
      <c r="BJ39" t="b">
        <v>1</v>
      </c>
      <c r="BK39" t="b">
        <v>1</v>
      </c>
      <c r="BL39" t="b">
        <v>1</v>
      </c>
      <c r="BM39" t="b">
        <v>1</v>
      </c>
      <c r="BN39" t="b">
        <v>0</v>
      </c>
      <c r="BO39" t="b">
        <v>0</v>
      </c>
      <c r="BP39" t="b">
        <v>0</v>
      </c>
      <c r="BQ39" t="b">
        <v>0</v>
      </c>
      <c r="BR39" t="b">
        <v>0</v>
      </c>
      <c r="BS39" t="b">
        <v>0</v>
      </c>
      <c r="BT39" t="b">
        <v>0</v>
      </c>
      <c r="BU39" t="b">
        <v>1</v>
      </c>
      <c r="BV39" t="b">
        <v>0</v>
      </c>
      <c r="BW39" t="b">
        <v>0</v>
      </c>
      <c r="BX39" t="b">
        <v>0</v>
      </c>
      <c r="BY39" t="b">
        <v>0</v>
      </c>
      <c r="BZ39" t="b">
        <v>0</v>
      </c>
      <c r="CA39" t="b">
        <v>0</v>
      </c>
      <c r="CB39" t="b">
        <v>0</v>
      </c>
      <c r="CC39" t="s">
        <v>1512</v>
      </c>
      <c r="CD39" t="s">
        <v>1492</v>
      </c>
      <c r="CE39" t="s">
        <v>1495</v>
      </c>
      <c r="CF39" t="s">
        <v>1495</v>
      </c>
      <c r="CG39" t="b">
        <v>0</v>
      </c>
      <c r="CH39">
        <v>0</v>
      </c>
      <c r="CI39" t="s">
        <v>1573</v>
      </c>
      <c r="CJ39" t="s">
        <v>1571</v>
      </c>
      <c r="CK39" t="s">
        <v>1279</v>
      </c>
      <c r="CL39" t="s">
        <v>1574</v>
      </c>
    </row>
    <row r="40" spans="1:90">
      <c r="A40">
        <v>531</v>
      </c>
      <c r="B40">
        <v>100040</v>
      </c>
      <c r="C40" t="s">
        <v>1250</v>
      </c>
      <c r="D40">
        <v>1</v>
      </c>
      <c r="E40" t="s">
        <v>1492</v>
      </c>
      <c r="F40">
        <v>23</v>
      </c>
      <c r="G40">
        <v>1</v>
      </c>
      <c r="H40">
        <v>2</v>
      </c>
      <c r="I40" t="s">
        <v>389</v>
      </c>
      <c r="J40" t="s">
        <v>1297</v>
      </c>
      <c r="K40" t="s">
        <v>15</v>
      </c>
      <c r="L40" t="s">
        <v>1575</v>
      </c>
      <c r="M40" t="s">
        <v>1576</v>
      </c>
      <c r="N40" t="s">
        <v>1492</v>
      </c>
      <c r="O40" t="s">
        <v>1285</v>
      </c>
      <c r="P40" t="s">
        <v>1383</v>
      </c>
      <c r="Q40" t="s">
        <v>1285</v>
      </c>
      <c r="R40" t="s">
        <v>1383</v>
      </c>
      <c r="S40" t="s">
        <v>1285</v>
      </c>
      <c r="T40" t="s">
        <v>1383</v>
      </c>
      <c r="U40" t="s">
        <v>1285</v>
      </c>
      <c r="V40" t="s">
        <v>1383</v>
      </c>
      <c r="W40" t="s">
        <v>1285</v>
      </c>
      <c r="X40" t="s">
        <v>1372</v>
      </c>
      <c r="Y40" t="s">
        <v>1257</v>
      </c>
      <c r="Z40" t="s">
        <v>1257</v>
      </c>
      <c r="AA40" t="s">
        <v>1257</v>
      </c>
      <c r="AB40" t="s">
        <v>1257</v>
      </c>
      <c r="AC40" t="b">
        <v>0</v>
      </c>
      <c r="AD40" t="b">
        <v>0</v>
      </c>
      <c r="AE40" t="b">
        <v>0</v>
      </c>
      <c r="AF40" t="b">
        <v>0</v>
      </c>
      <c r="AG40" t="b">
        <v>0</v>
      </c>
      <c r="AH40" t="b">
        <v>0</v>
      </c>
      <c r="AI40" t="b">
        <v>0</v>
      </c>
      <c r="AJ40" t="b">
        <v>0</v>
      </c>
      <c r="AK40" t="b">
        <v>0</v>
      </c>
      <c r="AL40" t="b">
        <v>0</v>
      </c>
      <c r="AM40" t="b">
        <v>0</v>
      </c>
      <c r="AN40" t="b">
        <v>0</v>
      </c>
      <c r="AO40" t="b">
        <v>0</v>
      </c>
      <c r="AP40" t="b">
        <v>0</v>
      </c>
      <c r="AQ40" t="b">
        <v>0</v>
      </c>
      <c r="AR40" t="b">
        <v>0</v>
      </c>
      <c r="AS40" t="b">
        <v>0</v>
      </c>
      <c r="AT40" t="b">
        <v>0</v>
      </c>
      <c r="AU40" t="b">
        <v>0</v>
      </c>
      <c r="AV40" t="b">
        <v>0</v>
      </c>
      <c r="AW40" t="b">
        <v>0</v>
      </c>
      <c r="AX40" t="b">
        <v>0</v>
      </c>
      <c r="AY40" t="b">
        <v>0</v>
      </c>
      <c r="AZ40" t="b">
        <v>0</v>
      </c>
      <c r="BA40" t="b">
        <v>0</v>
      </c>
      <c r="BB40" t="b">
        <v>0</v>
      </c>
      <c r="BC40" t="b">
        <v>0</v>
      </c>
      <c r="BD40" t="b">
        <v>0</v>
      </c>
      <c r="BE40" t="b">
        <v>0</v>
      </c>
      <c r="BF40" t="b">
        <v>0</v>
      </c>
      <c r="BG40" t="b">
        <v>0</v>
      </c>
      <c r="BH40" t="b">
        <v>0</v>
      </c>
      <c r="BI40" t="b">
        <v>0</v>
      </c>
      <c r="BJ40" t="b">
        <v>0</v>
      </c>
      <c r="BK40" t="b">
        <v>0</v>
      </c>
      <c r="BL40" t="b">
        <v>0</v>
      </c>
      <c r="BM40" t="b">
        <v>0</v>
      </c>
      <c r="BN40" t="b">
        <v>0</v>
      </c>
      <c r="BO40" t="b">
        <v>0</v>
      </c>
      <c r="BP40" t="b">
        <v>0</v>
      </c>
      <c r="BQ40" t="b">
        <v>0</v>
      </c>
      <c r="BR40" t="b">
        <v>0</v>
      </c>
      <c r="BS40" t="b">
        <v>0</v>
      </c>
      <c r="BT40" t="b">
        <v>0</v>
      </c>
      <c r="BU40" t="b">
        <v>0</v>
      </c>
      <c r="BV40" t="b">
        <v>0</v>
      </c>
      <c r="BW40" t="b">
        <v>0</v>
      </c>
      <c r="BX40" t="b">
        <v>0</v>
      </c>
      <c r="BY40" t="b">
        <v>0</v>
      </c>
      <c r="BZ40" t="b">
        <v>0</v>
      </c>
      <c r="CA40" t="b">
        <v>0</v>
      </c>
      <c r="CB40" t="b">
        <v>0</v>
      </c>
      <c r="CC40" t="s">
        <v>1253</v>
      </c>
      <c r="CD40" t="s">
        <v>1492</v>
      </c>
      <c r="CE40" t="s">
        <v>1513</v>
      </c>
      <c r="CF40" t="s">
        <v>1495</v>
      </c>
      <c r="CG40" t="b">
        <v>1</v>
      </c>
      <c r="CH40">
        <v>0</v>
      </c>
      <c r="CI40" t="s">
        <v>1577</v>
      </c>
      <c r="CJ40" t="s">
        <v>1578</v>
      </c>
      <c r="CK40" t="s">
        <v>1251</v>
      </c>
      <c r="CL40" t="s">
        <v>1579</v>
      </c>
    </row>
    <row r="41" spans="1:90">
      <c r="A41">
        <v>532</v>
      </c>
      <c r="B41">
        <v>100040</v>
      </c>
      <c r="C41" t="s">
        <v>1250</v>
      </c>
      <c r="D41">
        <v>2</v>
      </c>
      <c r="E41" t="s">
        <v>1492</v>
      </c>
      <c r="F41">
        <v>23</v>
      </c>
      <c r="G41">
        <v>1</v>
      </c>
      <c r="H41">
        <v>2</v>
      </c>
      <c r="I41" t="s">
        <v>389</v>
      </c>
      <c r="J41" t="s">
        <v>1297</v>
      </c>
      <c r="K41" t="s">
        <v>15</v>
      </c>
      <c r="L41" t="s">
        <v>1575</v>
      </c>
      <c r="M41" t="s">
        <v>1576</v>
      </c>
      <c r="N41" t="s">
        <v>1492</v>
      </c>
      <c r="O41" t="s">
        <v>1285</v>
      </c>
      <c r="P41" t="s">
        <v>1383</v>
      </c>
      <c r="Q41" t="s">
        <v>1285</v>
      </c>
      <c r="R41" t="s">
        <v>1383</v>
      </c>
      <c r="S41" t="s">
        <v>1285</v>
      </c>
      <c r="T41" t="s">
        <v>1383</v>
      </c>
      <c r="U41" t="s">
        <v>1285</v>
      </c>
      <c r="V41" t="s">
        <v>1383</v>
      </c>
      <c r="W41" t="s">
        <v>1285</v>
      </c>
      <c r="X41" t="s">
        <v>1372</v>
      </c>
      <c r="Y41" t="s">
        <v>1257</v>
      </c>
      <c r="Z41" t="s">
        <v>1257</v>
      </c>
      <c r="AA41" t="s">
        <v>1257</v>
      </c>
      <c r="AB41" t="s">
        <v>1257</v>
      </c>
      <c r="AC41" t="b">
        <v>0</v>
      </c>
      <c r="AD41" t="b">
        <v>0</v>
      </c>
      <c r="AE41" t="b">
        <v>0</v>
      </c>
      <c r="AF41" t="b">
        <v>0</v>
      </c>
      <c r="AG41" t="b">
        <v>0</v>
      </c>
      <c r="AH41" t="b">
        <v>0</v>
      </c>
      <c r="AI41" t="b">
        <v>0</v>
      </c>
      <c r="AJ41" t="b">
        <v>0</v>
      </c>
      <c r="AK41" t="b">
        <v>0</v>
      </c>
      <c r="AL41" t="b">
        <v>0</v>
      </c>
      <c r="AM41" t="b">
        <v>0</v>
      </c>
      <c r="AN41" t="b">
        <v>0</v>
      </c>
      <c r="AO41" t="b">
        <v>0</v>
      </c>
      <c r="AP41" t="b">
        <v>0</v>
      </c>
      <c r="AQ41" t="b">
        <v>0</v>
      </c>
      <c r="AR41" t="b">
        <v>0</v>
      </c>
      <c r="AS41" t="b">
        <v>0</v>
      </c>
      <c r="AT41" t="b">
        <v>0</v>
      </c>
      <c r="AU41" t="b">
        <v>0</v>
      </c>
      <c r="AV41" t="b">
        <v>0</v>
      </c>
      <c r="AW41" t="b">
        <v>0</v>
      </c>
      <c r="AX41" t="b">
        <v>0</v>
      </c>
      <c r="AY41" t="b">
        <v>0</v>
      </c>
      <c r="AZ41" t="b">
        <v>0</v>
      </c>
      <c r="BA41" t="b">
        <v>0</v>
      </c>
      <c r="BB41" t="b">
        <v>0</v>
      </c>
      <c r="BC41" t="b">
        <v>0</v>
      </c>
      <c r="BD41" t="b">
        <v>0</v>
      </c>
      <c r="BE41" t="b">
        <v>0</v>
      </c>
      <c r="BF41" t="b">
        <v>0</v>
      </c>
      <c r="BG41" t="b">
        <v>0</v>
      </c>
      <c r="BH41" t="b">
        <v>0</v>
      </c>
      <c r="BI41" t="b">
        <v>0</v>
      </c>
      <c r="BJ41" t="b">
        <v>0</v>
      </c>
      <c r="BK41" t="b">
        <v>0</v>
      </c>
      <c r="BL41" t="b">
        <v>0</v>
      </c>
      <c r="BM41" t="b">
        <v>0</v>
      </c>
      <c r="BN41" t="b">
        <v>0</v>
      </c>
      <c r="BO41" t="b">
        <v>0</v>
      </c>
      <c r="BP41" t="b">
        <v>0</v>
      </c>
      <c r="BQ41" t="b">
        <v>0</v>
      </c>
      <c r="BR41" t="b">
        <v>0</v>
      </c>
      <c r="BS41" t="b">
        <v>0</v>
      </c>
      <c r="BT41" t="b">
        <v>0</v>
      </c>
      <c r="BU41" t="b">
        <v>0</v>
      </c>
      <c r="BV41" t="b">
        <v>0</v>
      </c>
      <c r="BW41" t="b">
        <v>0</v>
      </c>
      <c r="BX41" t="b">
        <v>0</v>
      </c>
      <c r="BY41" t="b">
        <v>0</v>
      </c>
      <c r="BZ41" t="b">
        <v>0</v>
      </c>
      <c r="CA41" t="b">
        <v>0</v>
      </c>
      <c r="CB41" t="b">
        <v>0</v>
      </c>
      <c r="CC41" t="s">
        <v>1253</v>
      </c>
      <c r="CD41" t="s">
        <v>1492</v>
      </c>
      <c r="CE41" t="s">
        <v>1513</v>
      </c>
      <c r="CF41" t="s">
        <v>1495</v>
      </c>
      <c r="CG41" t="b">
        <v>1</v>
      </c>
      <c r="CH41">
        <v>0</v>
      </c>
      <c r="CI41" t="s">
        <v>1577</v>
      </c>
      <c r="CJ41" t="s">
        <v>1578</v>
      </c>
      <c r="CK41" t="s">
        <v>1251</v>
      </c>
      <c r="CL41" t="s">
        <v>1580</v>
      </c>
    </row>
    <row r="42" spans="1:90">
      <c r="A42">
        <v>479</v>
      </c>
      <c r="B42">
        <v>100011</v>
      </c>
      <c r="C42" t="s">
        <v>1250</v>
      </c>
      <c r="D42">
        <v>1</v>
      </c>
      <c r="E42" t="s">
        <v>1492</v>
      </c>
      <c r="F42">
        <v>15</v>
      </c>
      <c r="G42">
        <v>1</v>
      </c>
      <c r="H42">
        <v>2</v>
      </c>
      <c r="I42" t="s">
        <v>389</v>
      </c>
      <c r="J42" t="s">
        <v>1297</v>
      </c>
      <c r="K42" t="s">
        <v>15</v>
      </c>
      <c r="L42" t="s">
        <v>1575</v>
      </c>
      <c r="M42" t="s">
        <v>1576</v>
      </c>
      <c r="N42" t="s">
        <v>1492</v>
      </c>
      <c r="O42" t="s">
        <v>1285</v>
      </c>
      <c r="P42" t="s">
        <v>1383</v>
      </c>
      <c r="Q42" t="s">
        <v>1285</v>
      </c>
      <c r="R42" t="s">
        <v>1383</v>
      </c>
      <c r="S42" t="s">
        <v>1285</v>
      </c>
      <c r="T42" t="s">
        <v>1383</v>
      </c>
      <c r="U42" t="s">
        <v>1285</v>
      </c>
      <c r="V42" t="s">
        <v>1383</v>
      </c>
      <c r="W42" t="s">
        <v>1285</v>
      </c>
      <c r="X42" t="s">
        <v>1372</v>
      </c>
      <c r="Y42" t="s">
        <v>1257</v>
      </c>
      <c r="Z42" t="s">
        <v>1257</v>
      </c>
      <c r="AA42" t="s">
        <v>1257</v>
      </c>
      <c r="AB42" t="s">
        <v>1257</v>
      </c>
      <c r="AC42" t="b">
        <v>0</v>
      </c>
      <c r="AD42" t="b">
        <v>0</v>
      </c>
      <c r="AE42" t="b">
        <v>0</v>
      </c>
      <c r="AF42" t="b">
        <v>0</v>
      </c>
      <c r="AG42" t="b">
        <v>0</v>
      </c>
      <c r="AH42" t="b">
        <v>0</v>
      </c>
      <c r="AI42" t="b">
        <v>0</v>
      </c>
      <c r="AJ42" t="b">
        <v>0</v>
      </c>
      <c r="AK42" t="b">
        <v>0</v>
      </c>
      <c r="AL42" t="b">
        <v>0</v>
      </c>
      <c r="AM42" t="b">
        <v>0</v>
      </c>
      <c r="AN42" t="b">
        <v>0</v>
      </c>
      <c r="AO42" t="b">
        <v>0</v>
      </c>
      <c r="AP42" t="b">
        <v>0</v>
      </c>
      <c r="AQ42" t="b">
        <v>0</v>
      </c>
      <c r="AR42" t="b">
        <v>0</v>
      </c>
      <c r="AS42" t="b">
        <v>0</v>
      </c>
      <c r="AT42" t="b">
        <v>0</v>
      </c>
      <c r="AU42" t="b">
        <v>0</v>
      </c>
      <c r="AV42" t="b">
        <v>0</v>
      </c>
      <c r="AW42" t="b">
        <v>0</v>
      </c>
      <c r="AX42" t="b">
        <v>0</v>
      </c>
      <c r="AY42" t="b">
        <v>0</v>
      </c>
      <c r="AZ42" t="b">
        <v>0</v>
      </c>
      <c r="BA42" t="b">
        <v>0</v>
      </c>
      <c r="BB42" t="b">
        <v>0</v>
      </c>
      <c r="BC42" t="b">
        <v>0</v>
      </c>
      <c r="BD42" t="b">
        <v>0</v>
      </c>
      <c r="BE42" t="b">
        <v>0</v>
      </c>
      <c r="BF42" t="b">
        <v>0</v>
      </c>
      <c r="BG42" t="b">
        <v>0</v>
      </c>
      <c r="BH42" t="b">
        <v>0</v>
      </c>
      <c r="BI42" t="b">
        <v>0</v>
      </c>
      <c r="BJ42" t="b">
        <v>0</v>
      </c>
      <c r="BK42" t="b">
        <v>0</v>
      </c>
      <c r="BL42" t="b">
        <v>0</v>
      </c>
      <c r="BM42" t="b">
        <v>0</v>
      </c>
      <c r="BN42" t="b">
        <v>0</v>
      </c>
      <c r="BO42" t="b">
        <v>0</v>
      </c>
      <c r="BP42" t="b">
        <v>0</v>
      </c>
      <c r="BQ42" t="b">
        <v>0</v>
      </c>
      <c r="BR42" t="b">
        <v>0</v>
      </c>
      <c r="BS42" t="b">
        <v>0</v>
      </c>
      <c r="BT42" t="b">
        <v>0</v>
      </c>
      <c r="BU42" t="b">
        <v>0</v>
      </c>
      <c r="BV42" t="b">
        <v>0</v>
      </c>
      <c r="BW42" t="b">
        <v>0</v>
      </c>
      <c r="BX42" t="b">
        <v>0</v>
      </c>
      <c r="BY42" t="b">
        <v>0</v>
      </c>
      <c r="BZ42" t="b">
        <v>0</v>
      </c>
      <c r="CA42" t="b">
        <v>0</v>
      </c>
      <c r="CB42" t="b">
        <v>0</v>
      </c>
      <c r="CC42" t="s">
        <v>1253</v>
      </c>
      <c r="CD42" t="s">
        <v>1492</v>
      </c>
      <c r="CE42" t="s">
        <v>1518</v>
      </c>
      <c r="CF42" t="s">
        <v>1495</v>
      </c>
      <c r="CG42" t="b">
        <v>1</v>
      </c>
      <c r="CH42">
        <v>0</v>
      </c>
      <c r="CI42" t="s">
        <v>1581</v>
      </c>
      <c r="CJ42" t="s">
        <v>1582</v>
      </c>
      <c r="CK42" t="s">
        <v>1251</v>
      </c>
      <c r="CL42" t="s">
        <v>1583</v>
      </c>
    </row>
    <row r="43" spans="1:90">
      <c r="A43">
        <v>480</v>
      </c>
      <c r="B43">
        <v>100011</v>
      </c>
      <c r="C43" t="s">
        <v>1250</v>
      </c>
      <c r="D43">
        <v>2</v>
      </c>
      <c r="E43" t="s">
        <v>1492</v>
      </c>
      <c r="F43">
        <v>15</v>
      </c>
      <c r="G43">
        <v>1</v>
      </c>
      <c r="H43">
        <v>2</v>
      </c>
      <c r="I43" t="s">
        <v>389</v>
      </c>
      <c r="J43" t="s">
        <v>1297</v>
      </c>
      <c r="K43" t="s">
        <v>15</v>
      </c>
      <c r="L43" t="s">
        <v>1575</v>
      </c>
      <c r="M43" t="s">
        <v>1576</v>
      </c>
      <c r="N43" t="s">
        <v>1492</v>
      </c>
      <c r="O43" t="s">
        <v>1285</v>
      </c>
      <c r="P43" t="s">
        <v>1383</v>
      </c>
      <c r="Q43" t="s">
        <v>1285</v>
      </c>
      <c r="R43" t="s">
        <v>1383</v>
      </c>
      <c r="S43" t="s">
        <v>1285</v>
      </c>
      <c r="T43" t="s">
        <v>1383</v>
      </c>
      <c r="U43" t="s">
        <v>1285</v>
      </c>
      <c r="V43" t="s">
        <v>1383</v>
      </c>
      <c r="W43" t="s">
        <v>1285</v>
      </c>
      <c r="X43" t="s">
        <v>1372</v>
      </c>
      <c r="Y43" t="s">
        <v>1257</v>
      </c>
      <c r="Z43" t="s">
        <v>1257</v>
      </c>
      <c r="AA43" t="s">
        <v>1257</v>
      </c>
      <c r="AB43" t="s">
        <v>1257</v>
      </c>
      <c r="AC43" t="b">
        <v>0</v>
      </c>
      <c r="AD43" t="b">
        <v>0</v>
      </c>
      <c r="AE43" t="b">
        <v>0</v>
      </c>
      <c r="AF43" t="b">
        <v>0</v>
      </c>
      <c r="AG43" t="b">
        <v>0</v>
      </c>
      <c r="AH43" t="b">
        <v>0</v>
      </c>
      <c r="AI43" t="b">
        <v>0</v>
      </c>
      <c r="AJ43" t="b">
        <v>0</v>
      </c>
      <c r="AK43" t="b">
        <v>0</v>
      </c>
      <c r="AL43" t="b">
        <v>0</v>
      </c>
      <c r="AM43" t="b">
        <v>0</v>
      </c>
      <c r="AN43" t="b">
        <v>0</v>
      </c>
      <c r="AO43" t="b">
        <v>0</v>
      </c>
      <c r="AP43" t="b">
        <v>0</v>
      </c>
      <c r="AQ43" t="b">
        <v>0</v>
      </c>
      <c r="AR43" t="b">
        <v>0</v>
      </c>
      <c r="AS43" t="b">
        <v>0</v>
      </c>
      <c r="AT43" t="b">
        <v>0</v>
      </c>
      <c r="AU43" t="b">
        <v>0</v>
      </c>
      <c r="AV43" t="b">
        <v>0</v>
      </c>
      <c r="AW43" t="b">
        <v>0</v>
      </c>
      <c r="AX43" t="b">
        <v>0</v>
      </c>
      <c r="AY43" t="b">
        <v>0</v>
      </c>
      <c r="AZ43" t="b">
        <v>0</v>
      </c>
      <c r="BA43" t="b">
        <v>0</v>
      </c>
      <c r="BB43" t="b">
        <v>0</v>
      </c>
      <c r="BC43" t="b">
        <v>0</v>
      </c>
      <c r="BD43" t="b">
        <v>0</v>
      </c>
      <c r="BE43" t="b">
        <v>0</v>
      </c>
      <c r="BF43" t="b">
        <v>0</v>
      </c>
      <c r="BG43" t="b">
        <v>0</v>
      </c>
      <c r="BH43" t="b">
        <v>0</v>
      </c>
      <c r="BI43" t="b">
        <v>0</v>
      </c>
      <c r="BJ43" t="b">
        <v>0</v>
      </c>
      <c r="BK43" t="b">
        <v>0</v>
      </c>
      <c r="BL43" t="b">
        <v>0</v>
      </c>
      <c r="BM43" t="b">
        <v>0</v>
      </c>
      <c r="BN43" t="b">
        <v>0</v>
      </c>
      <c r="BO43" t="b">
        <v>0</v>
      </c>
      <c r="BP43" t="b">
        <v>0</v>
      </c>
      <c r="BQ43" t="b">
        <v>0</v>
      </c>
      <c r="BR43" t="b">
        <v>0</v>
      </c>
      <c r="BS43" t="b">
        <v>0</v>
      </c>
      <c r="BT43" t="b">
        <v>0</v>
      </c>
      <c r="BU43" t="b">
        <v>0</v>
      </c>
      <c r="BV43" t="b">
        <v>0</v>
      </c>
      <c r="BW43" t="b">
        <v>0</v>
      </c>
      <c r="BX43" t="b">
        <v>0</v>
      </c>
      <c r="BY43" t="b">
        <v>0</v>
      </c>
      <c r="BZ43" t="b">
        <v>0</v>
      </c>
      <c r="CA43" t="b">
        <v>0</v>
      </c>
      <c r="CB43" t="b">
        <v>0</v>
      </c>
      <c r="CC43" t="s">
        <v>1253</v>
      </c>
      <c r="CD43" t="s">
        <v>1492</v>
      </c>
      <c r="CE43" t="s">
        <v>1518</v>
      </c>
      <c r="CF43" t="s">
        <v>1495</v>
      </c>
      <c r="CG43" t="b">
        <v>1</v>
      </c>
      <c r="CH43">
        <v>0</v>
      </c>
      <c r="CI43" t="s">
        <v>1581</v>
      </c>
      <c r="CJ43" t="s">
        <v>1582</v>
      </c>
      <c r="CK43" t="s">
        <v>1251</v>
      </c>
      <c r="CL43" t="s">
        <v>1584</v>
      </c>
    </row>
    <row r="44" spans="1:90">
      <c r="A44">
        <v>533</v>
      </c>
      <c r="B44">
        <v>100041</v>
      </c>
      <c r="C44" t="s">
        <v>1250</v>
      </c>
      <c r="D44">
        <v>1</v>
      </c>
      <c r="E44" t="s">
        <v>1492</v>
      </c>
      <c r="F44">
        <v>10</v>
      </c>
      <c r="G44">
        <v>1</v>
      </c>
      <c r="H44">
        <v>2</v>
      </c>
      <c r="I44" t="s">
        <v>1492</v>
      </c>
      <c r="J44" t="s">
        <v>1297</v>
      </c>
      <c r="K44" t="s">
        <v>16</v>
      </c>
      <c r="L44" t="s">
        <v>1492</v>
      </c>
      <c r="M44" t="s">
        <v>1576</v>
      </c>
      <c r="N44" t="s">
        <v>1492</v>
      </c>
      <c r="O44" t="s">
        <v>1285</v>
      </c>
      <c r="P44" t="s">
        <v>1383</v>
      </c>
      <c r="Q44" t="s">
        <v>1285</v>
      </c>
      <c r="R44" t="s">
        <v>1383</v>
      </c>
      <c r="S44" t="s">
        <v>1285</v>
      </c>
      <c r="T44" t="s">
        <v>1383</v>
      </c>
      <c r="U44" t="s">
        <v>1285</v>
      </c>
      <c r="V44" t="s">
        <v>1383</v>
      </c>
      <c r="W44" t="s">
        <v>1285</v>
      </c>
      <c r="X44" t="s">
        <v>1372</v>
      </c>
      <c r="Y44" t="s">
        <v>1257</v>
      </c>
      <c r="Z44" t="s">
        <v>1257</v>
      </c>
      <c r="AA44" t="s">
        <v>1257</v>
      </c>
      <c r="AB44" t="s">
        <v>1257</v>
      </c>
      <c r="AC44" t="b">
        <v>0</v>
      </c>
      <c r="AD44" t="b">
        <v>0</v>
      </c>
      <c r="AE44" t="b">
        <v>0</v>
      </c>
      <c r="AF44" t="b">
        <v>0</v>
      </c>
      <c r="AG44" t="b">
        <v>0</v>
      </c>
      <c r="AH44" t="b">
        <v>0</v>
      </c>
      <c r="AI44" t="b">
        <v>0</v>
      </c>
      <c r="AJ44" t="b">
        <v>0</v>
      </c>
      <c r="AK44" t="b">
        <v>0</v>
      </c>
      <c r="AL44" t="b">
        <v>0</v>
      </c>
      <c r="AM44" t="b">
        <v>0</v>
      </c>
      <c r="AN44" t="b">
        <v>0</v>
      </c>
      <c r="AO44" t="b">
        <v>0</v>
      </c>
      <c r="AP44" t="b">
        <v>0</v>
      </c>
      <c r="AQ44" t="b">
        <v>0</v>
      </c>
      <c r="AR44" t="b">
        <v>0</v>
      </c>
      <c r="AS44" t="b">
        <v>0</v>
      </c>
      <c r="AT44" t="b">
        <v>0</v>
      </c>
      <c r="AU44" t="b">
        <v>0</v>
      </c>
      <c r="AV44" t="b">
        <v>0</v>
      </c>
      <c r="AW44" t="b">
        <v>0</v>
      </c>
      <c r="AX44" t="b">
        <v>0</v>
      </c>
      <c r="AY44" t="b">
        <v>0</v>
      </c>
      <c r="AZ44" t="b">
        <v>0</v>
      </c>
      <c r="BA44" t="b">
        <v>0</v>
      </c>
      <c r="BB44" t="b">
        <v>0</v>
      </c>
      <c r="BC44" t="b">
        <v>0</v>
      </c>
      <c r="BD44" t="b">
        <v>0</v>
      </c>
      <c r="BE44" t="b">
        <v>0</v>
      </c>
      <c r="BF44" t="b">
        <v>0</v>
      </c>
      <c r="BG44" t="b">
        <v>0</v>
      </c>
      <c r="BH44" t="b">
        <v>0</v>
      </c>
      <c r="BI44" t="b">
        <v>0</v>
      </c>
      <c r="BJ44" t="b">
        <v>0</v>
      </c>
      <c r="BK44" t="b">
        <v>0</v>
      </c>
      <c r="BL44" t="b">
        <v>0</v>
      </c>
      <c r="BM44" t="b">
        <v>0</v>
      </c>
      <c r="BN44" t="b">
        <v>0</v>
      </c>
      <c r="BO44" t="b">
        <v>0</v>
      </c>
      <c r="BP44" t="b">
        <v>0</v>
      </c>
      <c r="BQ44" t="b">
        <v>0</v>
      </c>
      <c r="BR44" t="b">
        <v>0</v>
      </c>
      <c r="BS44" t="b">
        <v>0</v>
      </c>
      <c r="BT44" t="b">
        <v>0</v>
      </c>
      <c r="BU44" t="b">
        <v>0</v>
      </c>
      <c r="BV44" t="b">
        <v>0</v>
      </c>
      <c r="BW44" t="b">
        <v>0</v>
      </c>
      <c r="BX44" t="b">
        <v>0</v>
      </c>
      <c r="BY44" t="b">
        <v>0</v>
      </c>
      <c r="BZ44" t="b">
        <v>0</v>
      </c>
      <c r="CA44" t="b">
        <v>0</v>
      </c>
      <c r="CB44" t="b">
        <v>0</v>
      </c>
      <c r="CC44" t="s">
        <v>1253</v>
      </c>
      <c r="CD44" t="s">
        <v>1492</v>
      </c>
      <c r="CE44" t="s">
        <v>1513</v>
      </c>
      <c r="CF44" t="s">
        <v>1495</v>
      </c>
      <c r="CG44" t="b">
        <v>1</v>
      </c>
      <c r="CH44">
        <v>0</v>
      </c>
      <c r="CI44" t="s">
        <v>1585</v>
      </c>
      <c r="CJ44" t="s">
        <v>1586</v>
      </c>
      <c r="CK44" t="s">
        <v>1251</v>
      </c>
      <c r="CL44" t="s">
        <v>1587</v>
      </c>
    </row>
    <row r="45" spans="1:90">
      <c r="A45">
        <v>534</v>
      </c>
      <c r="B45">
        <v>100041</v>
      </c>
      <c r="C45" t="s">
        <v>1250</v>
      </c>
      <c r="D45">
        <v>2</v>
      </c>
      <c r="E45" t="s">
        <v>1492</v>
      </c>
      <c r="F45">
        <v>10</v>
      </c>
      <c r="G45">
        <v>1</v>
      </c>
      <c r="H45">
        <v>2</v>
      </c>
      <c r="I45" t="s">
        <v>1492</v>
      </c>
      <c r="J45" t="s">
        <v>1297</v>
      </c>
      <c r="K45" t="s">
        <v>16</v>
      </c>
      <c r="L45" t="s">
        <v>1492</v>
      </c>
      <c r="M45" t="s">
        <v>1576</v>
      </c>
      <c r="N45" t="s">
        <v>1492</v>
      </c>
      <c r="O45" t="s">
        <v>1285</v>
      </c>
      <c r="P45" t="s">
        <v>1383</v>
      </c>
      <c r="Q45" t="s">
        <v>1285</v>
      </c>
      <c r="R45" t="s">
        <v>1383</v>
      </c>
      <c r="S45" t="s">
        <v>1285</v>
      </c>
      <c r="T45" t="s">
        <v>1383</v>
      </c>
      <c r="U45" t="s">
        <v>1285</v>
      </c>
      <c r="V45" t="s">
        <v>1383</v>
      </c>
      <c r="W45" t="s">
        <v>1285</v>
      </c>
      <c r="X45" t="s">
        <v>1372</v>
      </c>
      <c r="Y45" t="s">
        <v>1257</v>
      </c>
      <c r="Z45" t="s">
        <v>1257</v>
      </c>
      <c r="AA45" t="s">
        <v>1257</v>
      </c>
      <c r="AB45" t="s">
        <v>1257</v>
      </c>
      <c r="AC45" t="b">
        <v>0</v>
      </c>
      <c r="AD45" t="b">
        <v>0</v>
      </c>
      <c r="AE45" t="b">
        <v>0</v>
      </c>
      <c r="AF45" t="b">
        <v>0</v>
      </c>
      <c r="AG45" t="b">
        <v>0</v>
      </c>
      <c r="AH45" t="b">
        <v>0</v>
      </c>
      <c r="AI45" t="b">
        <v>0</v>
      </c>
      <c r="AJ45" t="b">
        <v>0</v>
      </c>
      <c r="AK45" t="b">
        <v>0</v>
      </c>
      <c r="AL45" t="b">
        <v>0</v>
      </c>
      <c r="AM45" t="b">
        <v>0</v>
      </c>
      <c r="AN45" t="b">
        <v>0</v>
      </c>
      <c r="AO45" t="b">
        <v>0</v>
      </c>
      <c r="AP45" t="b">
        <v>0</v>
      </c>
      <c r="AQ45" t="b">
        <v>0</v>
      </c>
      <c r="AR45" t="b">
        <v>0</v>
      </c>
      <c r="AS45" t="b">
        <v>0</v>
      </c>
      <c r="AT45" t="b">
        <v>0</v>
      </c>
      <c r="AU45" t="b">
        <v>0</v>
      </c>
      <c r="AV45" t="b">
        <v>0</v>
      </c>
      <c r="AW45" t="b">
        <v>0</v>
      </c>
      <c r="AX45" t="b">
        <v>0</v>
      </c>
      <c r="AY45" t="b">
        <v>0</v>
      </c>
      <c r="AZ45" t="b">
        <v>0</v>
      </c>
      <c r="BA45" t="b">
        <v>0</v>
      </c>
      <c r="BB45" t="b">
        <v>0</v>
      </c>
      <c r="BC45" t="b">
        <v>0</v>
      </c>
      <c r="BD45" t="b">
        <v>0</v>
      </c>
      <c r="BE45" t="b">
        <v>0</v>
      </c>
      <c r="BF45" t="b">
        <v>0</v>
      </c>
      <c r="BG45" t="b">
        <v>0</v>
      </c>
      <c r="BH45" t="b">
        <v>0</v>
      </c>
      <c r="BI45" t="b">
        <v>0</v>
      </c>
      <c r="BJ45" t="b">
        <v>0</v>
      </c>
      <c r="BK45" t="b">
        <v>0</v>
      </c>
      <c r="BL45" t="b">
        <v>0</v>
      </c>
      <c r="BM45" t="b">
        <v>0</v>
      </c>
      <c r="BN45" t="b">
        <v>0</v>
      </c>
      <c r="BO45" t="b">
        <v>0</v>
      </c>
      <c r="BP45" t="b">
        <v>0</v>
      </c>
      <c r="BQ45" t="b">
        <v>0</v>
      </c>
      <c r="BR45" t="b">
        <v>0</v>
      </c>
      <c r="BS45" t="b">
        <v>0</v>
      </c>
      <c r="BT45" t="b">
        <v>0</v>
      </c>
      <c r="BU45" t="b">
        <v>0</v>
      </c>
      <c r="BV45" t="b">
        <v>0</v>
      </c>
      <c r="BW45" t="b">
        <v>0</v>
      </c>
      <c r="BX45" t="b">
        <v>0</v>
      </c>
      <c r="BY45" t="b">
        <v>0</v>
      </c>
      <c r="BZ45" t="b">
        <v>0</v>
      </c>
      <c r="CA45" t="b">
        <v>0</v>
      </c>
      <c r="CB45" t="b">
        <v>0</v>
      </c>
      <c r="CC45" t="s">
        <v>1253</v>
      </c>
      <c r="CD45" t="s">
        <v>1492</v>
      </c>
      <c r="CE45" t="s">
        <v>1513</v>
      </c>
      <c r="CF45" t="s">
        <v>1495</v>
      </c>
      <c r="CG45" t="b">
        <v>1</v>
      </c>
      <c r="CH45">
        <v>0</v>
      </c>
      <c r="CI45" t="s">
        <v>1588</v>
      </c>
      <c r="CJ45" t="s">
        <v>1586</v>
      </c>
      <c r="CK45" t="s">
        <v>1251</v>
      </c>
      <c r="CL45" t="s">
        <v>1589</v>
      </c>
    </row>
    <row r="46" spans="1:90">
      <c r="A46">
        <v>481</v>
      </c>
      <c r="B46">
        <v>100012</v>
      </c>
      <c r="C46" t="s">
        <v>1250</v>
      </c>
      <c r="D46">
        <v>1</v>
      </c>
      <c r="E46" t="s">
        <v>1492</v>
      </c>
      <c r="F46">
        <v>10</v>
      </c>
      <c r="G46">
        <v>1</v>
      </c>
      <c r="H46">
        <v>2</v>
      </c>
      <c r="I46" t="s">
        <v>1492</v>
      </c>
      <c r="J46" t="s">
        <v>1297</v>
      </c>
      <c r="K46" t="s">
        <v>16</v>
      </c>
      <c r="L46" t="s">
        <v>1492</v>
      </c>
      <c r="M46" t="s">
        <v>1576</v>
      </c>
      <c r="N46" t="s">
        <v>1492</v>
      </c>
      <c r="O46" t="s">
        <v>1285</v>
      </c>
      <c r="P46" t="s">
        <v>1383</v>
      </c>
      <c r="Q46" t="s">
        <v>1285</v>
      </c>
      <c r="R46" t="s">
        <v>1383</v>
      </c>
      <c r="S46" t="s">
        <v>1285</v>
      </c>
      <c r="T46" t="s">
        <v>1383</v>
      </c>
      <c r="U46" t="s">
        <v>1285</v>
      </c>
      <c r="V46" t="s">
        <v>1383</v>
      </c>
      <c r="W46" t="s">
        <v>1285</v>
      </c>
      <c r="X46" t="s">
        <v>1372</v>
      </c>
      <c r="Y46" t="s">
        <v>1257</v>
      </c>
      <c r="Z46" t="s">
        <v>1257</v>
      </c>
      <c r="AA46" t="s">
        <v>1257</v>
      </c>
      <c r="AB46" t="s">
        <v>1257</v>
      </c>
      <c r="AC46" t="b">
        <v>0</v>
      </c>
      <c r="AD46" t="b">
        <v>0</v>
      </c>
      <c r="AE46" t="b">
        <v>0</v>
      </c>
      <c r="AF46" t="b">
        <v>0</v>
      </c>
      <c r="AG46" t="b">
        <v>0</v>
      </c>
      <c r="AH46" t="b">
        <v>0</v>
      </c>
      <c r="AI46" t="b">
        <v>0</v>
      </c>
      <c r="AJ46" t="b">
        <v>0</v>
      </c>
      <c r="AK46" t="b">
        <v>0</v>
      </c>
      <c r="AL46" t="b">
        <v>0</v>
      </c>
      <c r="AM46" t="b">
        <v>0</v>
      </c>
      <c r="AN46" t="b">
        <v>0</v>
      </c>
      <c r="AO46" t="b">
        <v>0</v>
      </c>
      <c r="AP46" t="b">
        <v>0</v>
      </c>
      <c r="AQ46" t="b">
        <v>0</v>
      </c>
      <c r="AR46" t="b">
        <v>0</v>
      </c>
      <c r="AS46" t="b">
        <v>0</v>
      </c>
      <c r="AT46" t="b">
        <v>0</v>
      </c>
      <c r="AU46" t="b">
        <v>0</v>
      </c>
      <c r="AV46" t="b">
        <v>0</v>
      </c>
      <c r="AW46" t="b">
        <v>0</v>
      </c>
      <c r="AX46" t="b">
        <v>0</v>
      </c>
      <c r="AY46" t="b">
        <v>0</v>
      </c>
      <c r="AZ46" t="b">
        <v>0</v>
      </c>
      <c r="BA46" t="b">
        <v>0</v>
      </c>
      <c r="BB46" t="b">
        <v>0</v>
      </c>
      <c r="BC46" t="b">
        <v>0</v>
      </c>
      <c r="BD46" t="b">
        <v>0</v>
      </c>
      <c r="BE46" t="b">
        <v>0</v>
      </c>
      <c r="BF46" t="b">
        <v>0</v>
      </c>
      <c r="BG46" t="b">
        <v>0</v>
      </c>
      <c r="BH46" t="b">
        <v>0</v>
      </c>
      <c r="BI46" t="b">
        <v>0</v>
      </c>
      <c r="BJ46" t="b">
        <v>0</v>
      </c>
      <c r="BK46" t="b">
        <v>0</v>
      </c>
      <c r="BL46" t="b">
        <v>0</v>
      </c>
      <c r="BM46" t="b">
        <v>0</v>
      </c>
      <c r="BN46" t="b">
        <v>0</v>
      </c>
      <c r="BO46" t="b">
        <v>0</v>
      </c>
      <c r="BP46" t="b">
        <v>0</v>
      </c>
      <c r="BQ46" t="b">
        <v>0</v>
      </c>
      <c r="BR46" t="b">
        <v>0</v>
      </c>
      <c r="BS46" t="b">
        <v>0</v>
      </c>
      <c r="BT46" t="b">
        <v>0</v>
      </c>
      <c r="BU46" t="b">
        <v>0</v>
      </c>
      <c r="BV46" t="b">
        <v>0</v>
      </c>
      <c r="BW46" t="b">
        <v>0</v>
      </c>
      <c r="BX46" t="b">
        <v>0</v>
      </c>
      <c r="BY46" t="b">
        <v>0</v>
      </c>
      <c r="BZ46" t="b">
        <v>0</v>
      </c>
      <c r="CA46" t="b">
        <v>0</v>
      </c>
      <c r="CB46" t="b">
        <v>0</v>
      </c>
      <c r="CC46" t="s">
        <v>1253</v>
      </c>
      <c r="CD46" t="s">
        <v>1492</v>
      </c>
      <c r="CE46" t="s">
        <v>1518</v>
      </c>
      <c r="CF46" t="s">
        <v>1495</v>
      </c>
      <c r="CG46" t="b">
        <v>1</v>
      </c>
      <c r="CH46">
        <v>0</v>
      </c>
      <c r="CI46" t="s">
        <v>1588</v>
      </c>
      <c r="CJ46" t="s">
        <v>1590</v>
      </c>
      <c r="CK46" t="s">
        <v>1251</v>
      </c>
      <c r="CL46" t="s">
        <v>1591</v>
      </c>
    </row>
    <row r="47" spans="1:90">
      <c r="A47">
        <v>482</v>
      </c>
      <c r="B47">
        <v>100012</v>
      </c>
      <c r="C47" t="s">
        <v>1250</v>
      </c>
      <c r="D47">
        <v>2</v>
      </c>
      <c r="E47" t="s">
        <v>1492</v>
      </c>
      <c r="F47">
        <v>10</v>
      </c>
      <c r="G47">
        <v>1</v>
      </c>
      <c r="H47">
        <v>2</v>
      </c>
      <c r="I47" t="s">
        <v>1492</v>
      </c>
      <c r="J47" t="s">
        <v>1297</v>
      </c>
      <c r="K47" t="s">
        <v>16</v>
      </c>
      <c r="L47" t="s">
        <v>1511</v>
      </c>
      <c r="M47" t="s">
        <v>1576</v>
      </c>
      <c r="N47" t="s">
        <v>1492</v>
      </c>
      <c r="O47" t="s">
        <v>1285</v>
      </c>
      <c r="P47" t="s">
        <v>1383</v>
      </c>
      <c r="Q47" t="s">
        <v>1285</v>
      </c>
      <c r="R47" t="s">
        <v>1383</v>
      </c>
      <c r="S47" t="s">
        <v>1285</v>
      </c>
      <c r="T47" t="s">
        <v>1383</v>
      </c>
      <c r="U47" t="s">
        <v>1285</v>
      </c>
      <c r="V47" t="s">
        <v>1383</v>
      </c>
      <c r="W47" t="s">
        <v>1285</v>
      </c>
      <c r="X47" t="s">
        <v>1383</v>
      </c>
      <c r="Y47" t="s">
        <v>1257</v>
      </c>
      <c r="Z47" t="s">
        <v>1257</v>
      </c>
      <c r="AA47" t="s">
        <v>1257</v>
      </c>
      <c r="AB47" t="s">
        <v>1257</v>
      </c>
      <c r="AC47" t="b">
        <v>0</v>
      </c>
      <c r="AD47" t="b">
        <v>0</v>
      </c>
      <c r="AE47" t="b">
        <v>0</v>
      </c>
      <c r="AF47" t="b">
        <v>0</v>
      </c>
      <c r="AG47" t="b">
        <v>0</v>
      </c>
      <c r="AH47" t="b">
        <v>0</v>
      </c>
      <c r="AI47" t="b">
        <v>0</v>
      </c>
      <c r="AJ47" t="b">
        <v>0</v>
      </c>
      <c r="AK47" t="b">
        <v>0</v>
      </c>
      <c r="AL47" t="b">
        <v>0</v>
      </c>
      <c r="AM47" t="b">
        <v>0</v>
      </c>
      <c r="AN47" t="b">
        <v>0</v>
      </c>
      <c r="AO47" t="b">
        <v>0</v>
      </c>
      <c r="AP47" t="b">
        <v>0</v>
      </c>
      <c r="AQ47" t="b">
        <v>0</v>
      </c>
      <c r="AR47" t="b">
        <v>0</v>
      </c>
      <c r="AS47" t="b">
        <v>0</v>
      </c>
      <c r="AT47" t="b">
        <v>0</v>
      </c>
      <c r="AU47" t="b">
        <v>0</v>
      </c>
      <c r="AV47" t="b">
        <v>0</v>
      </c>
      <c r="AW47" t="b">
        <v>0</v>
      </c>
      <c r="AX47" t="b">
        <v>0</v>
      </c>
      <c r="AY47" t="b">
        <v>0</v>
      </c>
      <c r="AZ47" t="b">
        <v>0</v>
      </c>
      <c r="BA47" t="b">
        <v>0</v>
      </c>
      <c r="BB47" t="b">
        <v>0</v>
      </c>
      <c r="BC47" t="b">
        <v>1</v>
      </c>
      <c r="BD47" t="b">
        <v>0</v>
      </c>
      <c r="BE47" t="b">
        <v>0</v>
      </c>
      <c r="BF47" t="b">
        <v>0</v>
      </c>
      <c r="BG47" t="b">
        <v>0</v>
      </c>
      <c r="BH47" t="b">
        <v>0</v>
      </c>
      <c r="BI47" t="b">
        <v>0</v>
      </c>
      <c r="BJ47" t="b">
        <v>0</v>
      </c>
      <c r="BK47" t="b">
        <v>0</v>
      </c>
      <c r="BL47" t="b">
        <v>0</v>
      </c>
      <c r="BM47" t="b">
        <v>0</v>
      </c>
      <c r="BN47" t="b">
        <v>0</v>
      </c>
      <c r="BO47" t="b">
        <v>0</v>
      </c>
      <c r="BP47" t="b">
        <v>0</v>
      </c>
      <c r="BQ47" t="b">
        <v>0</v>
      </c>
      <c r="BR47" t="b">
        <v>0</v>
      </c>
      <c r="BS47" t="b">
        <v>0</v>
      </c>
      <c r="BT47" t="b">
        <v>0</v>
      </c>
      <c r="BU47" t="b">
        <v>0</v>
      </c>
      <c r="BV47" t="b">
        <v>0</v>
      </c>
      <c r="BW47" t="b">
        <v>0</v>
      </c>
      <c r="BX47" t="b">
        <v>0</v>
      </c>
      <c r="BY47" t="b">
        <v>0</v>
      </c>
      <c r="BZ47" t="b">
        <v>0</v>
      </c>
      <c r="CA47" t="b">
        <v>0</v>
      </c>
      <c r="CB47" t="b">
        <v>0</v>
      </c>
      <c r="CC47" t="s">
        <v>1253</v>
      </c>
      <c r="CD47" t="s">
        <v>1492</v>
      </c>
      <c r="CE47" t="s">
        <v>1518</v>
      </c>
      <c r="CF47" t="s">
        <v>1495</v>
      </c>
      <c r="CG47" t="b">
        <v>1</v>
      </c>
      <c r="CH47">
        <v>0</v>
      </c>
      <c r="CI47" t="s">
        <v>1588</v>
      </c>
      <c r="CJ47" t="s">
        <v>1590</v>
      </c>
      <c r="CK47" t="s">
        <v>1251</v>
      </c>
      <c r="CL47" t="s">
        <v>1592</v>
      </c>
    </row>
    <row r="48" spans="1:90">
      <c r="A48">
        <v>483</v>
      </c>
      <c r="B48">
        <v>100013</v>
      </c>
      <c r="C48" t="s">
        <v>1250</v>
      </c>
      <c r="D48">
        <v>1</v>
      </c>
      <c r="E48" t="s">
        <v>1492</v>
      </c>
      <c r="F48">
        <v>33</v>
      </c>
      <c r="G48">
        <v>1</v>
      </c>
      <c r="H48">
        <v>2</v>
      </c>
      <c r="I48" t="s">
        <v>286</v>
      </c>
      <c r="J48" t="s">
        <v>1297</v>
      </c>
      <c r="K48" t="s">
        <v>15</v>
      </c>
      <c r="L48" t="s">
        <v>1575</v>
      </c>
      <c r="M48" t="s">
        <v>1492</v>
      </c>
      <c r="N48" t="s">
        <v>1492</v>
      </c>
      <c r="O48" t="s">
        <v>1285</v>
      </c>
      <c r="P48" t="s">
        <v>1383</v>
      </c>
      <c r="Q48" t="s">
        <v>1285</v>
      </c>
      <c r="R48" t="s">
        <v>1383</v>
      </c>
      <c r="S48" t="s">
        <v>1285</v>
      </c>
      <c r="T48" t="s">
        <v>1383</v>
      </c>
      <c r="U48" t="s">
        <v>1285</v>
      </c>
      <c r="V48" t="s">
        <v>1383</v>
      </c>
      <c r="W48" t="s">
        <v>1285</v>
      </c>
      <c r="X48" t="s">
        <v>1372</v>
      </c>
      <c r="Y48" t="s">
        <v>1257</v>
      </c>
      <c r="Z48" t="s">
        <v>1257</v>
      </c>
      <c r="AA48" t="s">
        <v>1257</v>
      </c>
      <c r="AB48" t="s">
        <v>1257</v>
      </c>
      <c r="AC48" t="b">
        <v>0</v>
      </c>
      <c r="AD48" t="b">
        <v>0</v>
      </c>
      <c r="AE48" t="b">
        <v>0</v>
      </c>
      <c r="AF48" t="b">
        <v>0</v>
      </c>
      <c r="AG48" t="b">
        <v>0</v>
      </c>
      <c r="AH48" t="b">
        <v>0</v>
      </c>
      <c r="AI48" t="b">
        <v>0</v>
      </c>
      <c r="AJ48" t="b">
        <v>0</v>
      </c>
      <c r="AK48" t="b">
        <v>0</v>
      </c>
      <c r="AL48" t="b">
        <v>0</v>
      </c>
      <c r="AM48" t="b">
        <v>0</v>
      </c>
      <c r="AN48" t="b">
        <v>0</v>
      </c>
      <c r="AO48" t="b">
        <v>0</v>
      </c>
      <c r="AP48" t="b">
        <v>0</v>
      </c>
      <c r="AQ48" t="b">
        <v>0</v>
      </c>
      <c r="AR48" t="b">
        <v>0</v>
      </c>
      <c r="AS48" t="b">
        <v>0</v>
      </c>
      <c r="AT48" t="b">
        <v>0</v>
      </c>
      <c r="AU48" t="b">
        <v>0</v>
      </c>
      <c r="AV48" t="b">
        <v>0</v>
      </c>
      <c r="AW48" t="b">
        <v>0</v>
      </c>
      <c r="AX48" t="b">
        <v>0</v>
      </c>
      <c r="AY48" t="b">
        <v>0</v>
      </c>
      <c r="AZ48" t="b">
        <v>0</v>
      </c>
      <c r="BA48" t="b">
        <v>0</v>
      </c>
      <c r="BB48" t="b">
        <v>0</v>
      </c>
      <c r="BC48" t="b">
        <v>0</v>
      </c>
      <c r="BD48" t="b">
        <v>0</v>
      </c>
      <c r="BE48" t="b">
        <v>0</v>
      </c>
      <c r="BF48" t="b">
        <v>0</v>
      </c>
      <c r="BG48" t="b">
        <v>0</v>
      </c>
      <c r="BH48" t="b">
        <v>0</v>
      </c>
      <c r="BI48" t="b">
        <v>0</v>
      </c>
      <c r="BJ48" t="b">
        <v>0</v>
      </c>
      <c r="BK48" t="b">
        <v>0</v>
      </c>
      <c r="BL48" t="b">
        <v>0</v>
      </c>
      <c r="BM48" t="b">
        <v>0</v>
      </c>
      <c r="BN48" t="b">
        <v>0</v>
      </c>
      <c r="BO48" t="b">
        <v>0</v>
      </c>
      <c r="BP48" t="b">
        <v>0</v>
      </c>
      <c r="BQ48" t="b">
        <v>0</v>
      </c>
      <c r="BR48" t="b">
        <v>0</v>
      </c>
      <c r="BS48" t="b">
        <v>0</v>
      </c>
      <c r="BT48" t="b">
        <v>0</v>
      </c>
      <c r="BU48" t="b">
        <v>0</v>
      </c>
      <c r="BV48" t="b">
        <v>0</v>
      </c>
      <c r="BW48" t="b">
        <v>0</v>
      </c>
      <c r="BX48" t="b">
        <v>0</v>
      </c>
      <c r="BY48" t="b">
        <v>0</v>
      </c>
      <c r="BZ48" t="b">
        <v>0</v>
      </c>
      <c r="CA48" t="b">
        <v>0</v>
      </c>
      <c r="CB48" t="b">
        <v>0</v>
      </c>
      <c r="CC48" t="s">
        <v>1253</v>
      </c>
      <c r="CD48" t="s">
        <v>1492</v>
      </c>
      <c r="CE48" t="s">
        <v>1513</v>
      </c>
      <c r="CF48" t="s">
        <v>1495</v>
      </c>
      <c r="CG48" t="b">
        <v>0</v>
      </c>
      <c r="CH48">
        <v>0</v>
      </c>
      <c r="CI48" t="s">
        <v>1593</v>
      </c>
      <c r="CJ48" t="s">
        <v>1594</v>
      </c>
      <c r="CK48" t="s">
        <v>1251</v>
      </c>
      <c r="CL48" t="s">
        <v>1595</v>
      </c>
    </row>
    <row r="49" spans="1:90">
      <c r="A49">
        <v>484</v>
      </c>
      <c r="B49">
        <v>100013</v>
      </c>
      <c r="C49" t="s">
        <v>1250</v>
      </c>
      <c r="D49">
        <v>2</v>
      </c>
      <c r="E49" t="s">
        <v>1492</v>
      </c>
      <c r="F49">
        <v>33</v>
      </c>
      <c r="G49">
        <v>1</v>
      </c>
      <c r="H49">
        <v>2</v>
      </c>
      <c r="I49" t="s">
        <v>286</v>
      </c>
      <c r="J49" t="s">
        <v>1297</v>
      </c>
      <c r="K49" t="s">
        <v>15</v>
      </c>
      <c r="L49" t="s">
        <v>1575</v>
      </c>
      <c r="M49" t="s">
        <v>1492</v>
      </c>
      <c r="N49" t="s">
        <v>1492</v>
      </c>
      <c r="O49" t="s">
        <v>1285</v>
      </c>
      <c r="P49" t="s">
        <v>1383</v>
      </c>
      <c r="Q49" t="s">
        <v>1285</v>
      </c>
      <c r="R49" t="s">
        <v>1383</v>
      </c>
      <c r="S49" t="s">
        <v>1285</v>
      </c>
      <c r="T49" t="s">
        <v>1383</v>
      </c>
      <c r="U49" t="s">
        <v>1285</v>
      </c>
      <c r="V49" t="s">
        <v>1383</v>
      </c>
      <c r="W49" t="s">
        <v>1285</v>
      </c>
      <c r="X49" t="s">
        <v>1372</v>
      </c>
      <c r="Y49" t="s">
        <v>1257</v>
      </c>
      <c r="Z49" t="s">
        <v>1257</v>
      </c>
      <c r="AA49" t="s">
        <v>1257</v>
      </c>
      <c r="AB49" t="s">
        <v>1257</v>
      </c>
      <c r="AC49" t="b">
        <v>0</v>
      </c>
      <c r="AD49" t="b">
        <v>0</v>
      </c>
      <c r="AE49" t="b">
        <v>0</v>
      </c>
      <c r="AF49" t="b">
        <v>0</v>
      </c>
      <c r="AG49" t="b">
        <v>0</v>
      </c>
      <c r="AH49" t="b">
        <v>0</v>
      </c>
      <c r="AI49" t="b">
        <v>0</v>
      </c>
      <c r="AJ49" t="b">
        <v>0</v>
      </c>
      <c r="AK49" t="b">
        <v>0</v>
      </c>
      <c r="AL49" t="b">
        <v>0</v>
      </c>
      <c r="AM49" t="b">
        <v>0</v>
      </c>
      <c r="AN49" t="b">
        <v>0</v>
      </c>
      <c r="AO49" t="b">
        <v>0</v>
      </c>
      <c r="AP49" t="b">
        <v>0</v>
      </c>
      <c r="AQ49" t="b">
        <v>0</v>
      </c>
      <c r="AR49" t="b">
        <v>0</v>
      </c>
      <c r="AS49" t="b">
        <v>0</v>
      </c>
      <c r="AT49" t="b">
        <v>0</v>
      </c>
      <c r="AU49" t="b">
        <v>0</v>
      </c>
      <c r="AV49" t="b">
        <v>0</v>
      </c>
      <c r="AW49" t="b">
        <v>0</v>
      </c>
      <c r="AX49" t="b">
        <v>0</v>
      </c>
      <c r="AY49" t="b">
        <v>0</v>
      </c>
      <c r="AZ49" t="b">
        <v>0</v>
      </c>
      <c r="BA49" t="b">
        <v>0</v>
      </c>
      <c r="BB49" t="b">
        <v>0</v>
      </c>
      <c r="BC49" t="b">
        <v>0</v>
      </c>
      <c r="BD49" t="b">
        <v>0</v>
      </c>
      <c r="BE49" t="b">
        <v>0</v>
      </c>
      <c r="BF49" t="b">
        <v>0</v>
      </c>
      <c r="BG49" t="b">
        <v>0</v>
      </c>
      <c r="BH49" t="b">
        <v>0</v>
      </c>
      <c r="BI49" t="b">
        <v>0</v>
      </c>
      <c r="BJ49" t="b">
        <v>0</v>
      </c>
      <c r="BK49" t="b">
        <v>0</v>
      </c>
      <c r="BL49" t="b">
        <v>0</v>
      </c>
      <c r="BM49" t="b">
        <v>0</v>
      </c>
      <c r="BN49" t="b">
        <v>0</v>
      </c>
      <c r="BO49" t="b">
        <v>0</v>
      </c>
      <c r="BP49" t="b">
        <v>0</v>
      </c>
      <c r="BQ49" t="b">
        <v>0</v>
      </c>
      <c r="BR49" t="b">
        <v>0</v>
      </c>
      <c r="BS49" t="b">
        <v>0</v>
      </c>
      <c r="BT49" t="b">
        <v>0</v>
      </c>
      <c r="BU49" t="b">
        <v>0</v>
      </c>
      <c r="BV49" t="b">
        <v>0</v>
      </c>
      <c r="BW49" t="b">
        <v>0</v>
      </c>
      <c r="BX49" t="b">
        <v>0</v>
      </c>
      <c r="BY49" t="b">
        <v>0</v>
      </c>
      <c r="BZ49" t="b">
        <v>0</v>
      </c>
      <c r="CA49" t="b">
        <v>0</v>
      </c>
      <c r="CB49" t="b">
        <v>0</v>
      </c>
      <c r="CC49" t="s">
        <v>1253</v>
      </c>
      <c r="CD49" t="s">
        <v>1492</v>
      </c>
      <c r="CE49" t="s">
        <v>1513</v>
      </c>
      <c r="CF49" t="s">
        <v>1495</v>
      </c>
      <c r="CG49" t="b">
        <v>0</v>
      </c>
      <c r="CH49">
        <v>0</v>
      </c>
      <c r="CI49" t="s">
        <v>1596</v>
      </c>
      <c r="CJ49" t="s">
        <v>1594</v>
      </c>
      <c r="CK49" t="s">
        <v>1251</v>
      </c>
      <c r="CL49" t="s">
        <v>1597</v>
      </c>
    </row>
    <row r="50" spans="1:90">
      <c r="A50">
        <v>487</v>
      </c>
      <c r="B50">
        <v>100015</v>
      </c>
      <c r="C50" t="s">
        <v>1250</v>
      </c>
      <c r="D50">
        <v>1</v>
      </c>
      <c r="E50" t="s">
        <v>1492</v>
      </c>
      <c r="F50">
        <v>10</v>
      </c>
      <c r="G50">
        <v>1</v>
      </c>
      <c r="H50">
        <v>2</v>
      </c>
      <c r="I50" t="s">
        <v>580</v>
      </c>
      <c r="J50" t="s">
        <v>1297</v>
      </c>
      <c r="K50" t="s">
        <v>16</v>
      </c>
      <c r="L50" t="s">
        <v>1492</v>
      </c>
      <c r="M50" t="s">
        <v>1492</v>
      </c>
      <c r="N50" t="s">
        <v>1492</v>
      </c>
      <c r="O50" t="s">
        <v>1285</v>
      </c>
      <c r="P50" t="s">
        <v>1383</v>
      </c>
      <c r="Q50" t="s">
        <v>1285</v>
      </c>
      <c r="R50" t="s">
        <v>1383</v>
      </c>
      <c r="S50" t="s">
        <v>1285</v>
      </c>
      <c r="T50" t="s">
        <v>1383</v>
      </c>
      <c r="U50" t="s">
        <v>1285</v>
      </c>
      <c r="V50" t="s">
        <v>1383</v>
      </c>
      <c r="W50" t="s">
        <v>1285</v>
      </c>
      <c r="X50" t="s">
        <v>1372</v>
      </c>
      <c r="Y50" t="s">
        <v>1257</v>
      </c>
      <c r="Z50" t="s">
        <v>1257</v>
      </c>
      <c r="AA50" t="s">
        <v>1257</v>
      </c>
      <c r="AB50" t="s">
        <v>1257</v>
      </c>
      <c r="AC50" t="b">
        <v>0</v>
      </c>
      <c r="AD50" t="b">
        <v>0</v>
      </c>
      <c r="AE50" t="b">
        <v>0</v>
      </c>
      <c r="AF50" t="b">
        <v>0</v>
      </c>
      <c r="AG50" t="b">
        <v>0</v>
      </c>
      <c r="AH50" t="b">
        <v>0</v>
      </c>
      <c r="AI50" t="b">
        <v>0</v>
      </c>
      <c r="AJ50" t="b">
        <v>1</v>
      </c>
      <c r="AK50" t="b">
        <v>1</v>
      </c>
      <c r="AL50" t="b">
        <v>1</v>
      </c>
      <c r="AM50" t="b">
        <v>1</v>
      </c>
      <c r="AN50" t="b">
        <v>1</v>
      </c>
      <c r="AO50" t="b">
        <v>1</v>
      </c>
      <c r="AP50" t="b">
        <v>1</v>
      </c>
      <c r="AQ50" t="b">
        <v>1</v>
      </c>
      <c r="AR50" t="b">
        <v>0</v>
      </c>
      <c r="AS50" t="b">
        <v>0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  <c r="AY50" t="b">
        <v>1</v>
      </c>
      <c r="AZ50" t="b">
        <v>0</v>
      </c>
      <c r="BA50" t="b">
        <v>0</v>
      </c>
      <c r="BB50" t="b">
        <v>0</v>
      </c>
      <c r="BC50" t="b">
        <v>0</v>
      </c>
      <c r="BD50" t="b">
        <v>0</v>
      </c>
      <c r="BE50" t="b">
        <v>0</v>
      </c>
      <c r="BF50" t="b">
        <v>0</v>
      </c>
      <c r="BG50" t="b">
        <v>0</v>
      </c>
      <c r="BH50" t="b">
        <v>0</v>
      </c>
      <c r="BI50" t="b">
        <v>0</v>
      </c>
      <c r="BJ50" t="b">
        <v>0</v>
      </c>
      <c r="BK50" t="b">
        <v>0</v>
      </c>
      <c r="BL50" t="b">
        <v>0</v>
      </c>
      <c r="BM50" t="b">
        <v>0</v>
      </c>
      <c r="BN50" t="b">
        <v>0</v>
      </c>
      <c r="BO50" t="b">
        <v>0</v>
      </c>
      <c r="BP50" t="b">
        <v>0</v>
      </c>
      <c r="BQ50" t="b">
        <v>0</v>
      </c>
      <c r="BR50" t="b">
        <v>0</v>
      </c>
      <c r="BS50" t="b">
        <v>0</v>
      </c>
      <c r="BT50" t="b">
        <v>0</v>
      </c>
      <c r="BU50" t="b">
        <v>0</v>
      </c>
      <c r="BV50" t="b">
        <v>0</v>
      </c>
      <c r="BW50" t="b">
        <v>0</v>
      </c>
      <c r="BX50" t="b">
        <v>0</v>
      </c>
      <c r="BY50" t="b">
        <v>0</v>
      </c>
      <c r="BZ50" t="b">
        <v>0</v>
      </c>
      <c r="CA50" t="b">
        <v>0</v>
      </c>
      <c r="CB50" t="b">
        <v>0</v>
      </c>
      <c r="CC50" t="s">
        <v>1253</v>
      </c>
      <c r="CD50" t="s">
        <v>1492</v>
      </c>
      <c r="CE50" t="s">
        <v>1513</v>
      </c>
      <c r="CF50" t="s">
        <v>1495</v>
      </c>
      <c r="CG50" t="b">
        <v>0</v>
      </c>
      <c r="CH50">
        <v>0</v>
      </c>
      <c r="CI50" t="s">
        <v>1596</v>
      </c>
      <c r="CJ50" t="s">
        <v>1598</v>
      </c>
      <c r="CK50" t="s">
        <v>1251</v>
      </c>
      <c r="CL50" t="s">
        <v>1599</v>
      </c>
    </row>
    <row r="51" spans="1:90">
      <c r="A51">
        <v>488</v>
      </c>
      <c r="B51">
        <v>100015</v>
      </c>
      <c r="C51" t="s">
        <v>1250</v>
      </c>
      <c r="D51">
        <v>2</v>
      </c>
      <c r="E51" t="s">
        <v>1492</v>
      </c>
      <c r="F51">
        <v>10</v>
      </c>
      <c r="G51">
        <v>1</v>
      </c>
      <c r="H51">
        <v>2</v>
      </c>
      <c r="I51" t="s">
        <v>580</v>
      </c>
      <c r="J51" t="s">
        <v>1297</v>
      </c>
      <c r="K51" t="s">
        <v>16</v>
      </c>
      <c r="L51" t="s">
        <v>1511</v>
      </c>
      <c r="M51" t="s">
        <v>1492</v>
      </c>
      <c r="N51" t="s">
        <v>1492</v>
      </c>
      <c r="O51" t="s">
        <v>1285</v>
      </c>
      <c r="P51" t="s">
        <v>1383</v>
      </c>
      <c r="Q51" t="s">
        <v>1285</v>
      </c>
      <c r="R51" t="s">
        <v>1383</v>
      </c>
      <c r="S51" t="s">
        <v>1285</v>
      </c>
      <c r="T51" t="s">
        <v>1383</v>
      </c>
      <c r="U51" t="s">
        <v>1285</v>
      </c>
      <c r="V51" t="s">
        <v>1383</v>
      </c>
      <c r="W51" t="s">
        <v>1285</v>
      </c>
      <c r="X51" t="s">
        <v>1372</v>
      </c>
      <c r="Y51" t="s">
        <v>1257</v>
      </c>
      <c r="Z51" t="s">
        <v>1257</v>
      </c>
      <c r="AA51" t="s">
        <v>1257</v>
      </c>
      <c r="AB51" t="s">
        <v>1257</v>
      </c>
      <c r="AC51" t="b">
        <v>0</v>
      </c>
      <c r="AD51" t="b">
        <v>0</v>
      </c>
      <c r="AE51" t="b">
        <v>0</v>
      </c>
      <c r="AF51" t="b">
        <v>0</v>
      </c>
      <c r="AG51" t="b">
        <v>0</v>
      </c>
      <c r="AH51" t="b">
        <v>0</v>
      </c>
      <c r="AI51" t="b">
        <v>0</v>
      </c>
      <c r="AJ51" t="b">
        <v>1</v>
      </c>
      <c r="AK51" t="b">
        <v>1</v>
      </c>
      <c r="AL51" t="b">
        <v>1</v>
      </c>
      <c r="AM51" t="b">
        <v>1</v>
      </c>
      <c r="AN51" t="b">
        <v>1</v>
      </c>
      <c r="AO51" t="b">
        <v>1</v>
      </c>
      <c r="AP51" t="b">
        <v>1</v>
      </c>
      <c r="AQ51" t="b">
        <v>1</v>
      </c>
      <c r="AR51" t="b">
        <v>0</v>
      </c>
      <c r="AS51" t="b">
        <v>0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  <c r="AY51" t="b">
        <v>1</v>
      </c>
      <c r="AZ51" t="b">
        <v>0</v>
      </c>
      <c r="BA51" t="b">
        <v>0</v>
      </c>
      <c r="BB51" t="b">
        <v>0</v>
      </c>
      <c r="BC51" t="b">
        <v>0</v>
      </c>
      <c r="BD51" t="b">
        <v>0</v>
      </c>
      <c r="BE51" t="b">
        <v>0</v>
      </c>
      <c r="BF51" t="b">
        <v>0</v>
      </c>
      <c r="BG51" t="b">
        <v>0</v>
      </c>
      <c r="BH51" t="b">
        <v>0</v>
      </c>
      <c r="BI51" t="b">
        <v>0</v>
      </c>
      <c r="BJ51" t="b">
        <v>0</v>
      </c>
      <c r="BK51" t="b">
        <v>0</v>
      </c>
      <c r="BL51" t="b">
        <v>0</v>
      </c>
      <c r="BM51" t="b">
        <v>0</v>
      </c>
      <c r="BN51" t="b">
        <v>0</v>
      </c>
      <c r="BO51" t="b">
        <v>0</v>
      </c>
      <c r="BP51" t="b">
        <v>0</v>
      </c>
      <c r="BQ51" t="b">
        <v>0</v>
      </c>
      <c r="BR51" t="b">
        <v>0</v>
      </c>
      <c r="BS51" t="b">
        <v>0</v>
      </c>
      <c r="BT51" t="b">
        <v>0</v>
      </c>
      <c r="BU51" t="b">
        <v>0</v>
      </c>
      <c r="BV51" t="b">
        <v>0</v>
      </c>
      <c r="BW51" t="b">
        <v>0</v>
      </c>
      <c r="BX51" t="b">
        <v>0</v>
      </c>
      <c r="BY51" t="b">
        <v>0</v>
      </c>
      <c r="BZ51" t="b">
        <v>0</v>
      </c>
      <c r="CA51" t="b">
        <v>0</v>
      </c>
      <c r="CB51" t="b">
        <v>0</v>
      </c>
      <c r="CC51" t="s">
        <v>1253</v>
      </c>
      <c r="CD51" t="s">
        <v>1492</v>
      </c>
      <c r="CE51" t="s">
        <v>1513</v>
      </c>
      <c r="CF51" t="s">
        <v>1495</v>
      </c>
      <c r="CG51" t="b">
        <v>0</v>
      </c>
      <c r="CH51">
        <v>0</v>
      </c>
      <c r="CI51" t="s">
        <v>1596</v>
      </c>
      <c r="CJ51" t="s">
        <v>1598</v>
      </c>
      <c r="CK51" t="s">
        <v>1251</v>
      </c>
      <c r="CL51" t="s">
        <v>1600</v>
      </c>
    </row>
    <row r="52" spans="1:90">
      <c r="A52">
        <v>493</v>
      </c>
      <c r="B52">
        <v>100018</v>
      </c>
      <c r="C52" t="s">
        <v>1250</v>
      </c>
      <c r="D52">
        <v>1</v>
      </c>
      <c r="E52" t="s">
        <v>1492</v>
      </c>
      <c r="F52">
        <v>14</v>
      </c>
      <c r="G52">
        <v>1</v>
      </c>
      <c r="H52">
        <v>2</v>
      </c>
      <c r="I52" t="s">
        <v>728</v>
      </c>
      <c r="J52" t="s">
        <v>1297</v>
      </c>
      <c r="K52" t="s">
        <v>15</v>
      </c>
      <c r="L52" t="s">
        <v>1575</v>
      </c>
      <c r="M52" t="s">
        <v>1492</v>
      </c>
      <c r="N52" t="s">
        <v>1492</v>
      </c>
      <c r="O52" t="s">
        <v>1285</v>
      </c>
      <c r="P52" t="s">
        <v>1383</v>
      </c>
      <c r="Q52" t="s">
        <v>1285</v>
      </c>
      <c r="R52" t="s">
        <v>1383</v>
      </c>
      <c r="S52" t="s">
        <v>1285</v>
      </c>
      <c r="T52" t="s">
        <v>1383</v>
      </c>
      <c r="U52" t="s">
        <v>1285</v>
      </c>
      <c r="V52" t="s">
        <v>1383</v>
      </c>
      <c r="W52" t="s">
        <v>1285</v>
      </c>
      <c r="X52" t="s">
        <v>1372</v>
      </c>
      <c r="Y52" t="s">
        <v>1257</v>
      </c>
      <c r="Z52" t="s">
        <v>1257</v>
      </c>
      <c r="AA52" t="s">
        <v>1257</v>
      </c>
      <c r="AB52" t="s">
        <v>1257</v>
      </c>
      <c r="AC52" t="b">
        <v>0</v>
      </c>
      <c r="AD52" t="b">
        <v>0</v>
      </c>
      <c r="AE52" t="b">
        <v>0</v>
      </c>
      <c r="AF52" t="b">
        <v>0</v>
      </c>
      <c r="AG52" t="b">
        <v>0</v>
      </c>
      <c r="AH52" t="b">
        <v>0</v>
      </c>
      <c r="AI52" t="b">
        <v>0</v>
      </c>
      <c r="AJ52" t="b">
        <v>0</v>
      </c>
      <c r="AK52" t="b">
        <v>0</v>
      </c>
      <c r="AL52" t="b">
        <v>0</v>
      </c>
      <c r="AM52" t="b">
        <v>0</v>
      </c>
      <c r="AN52" t="b">
        <v>0</v>
      </c>
      <c r="AO52" t="b">
        <v>0</v>
      </c>
      <c r="AP52" t="b">
        <v>0</v>
      </c>
      <c r="AQ52" t="b">
        <v>0</v>
      </c>
      <c r="AR52" t="b">
        <v>0</v>
      </c>
      <c r="AS52" t="b">
        <v>0</v>
      </c>
      <c r="AT52" t="b">
        <v>0</v>
      </c>
      <c r="AU52" t="b">
        <v>0</v>
      </c>
      <c r="AV52" t="b">
        <v>0</v>
      </c>
      <c r="AW52" t="b">
        <v>0</v>
      </c>
      <c r="AX52" t="b">
        <v>0</v>
      </c>
      <c r="AY52" t="b">
        <v>0</v>
      </c>
      <c r="AZ52" t="b">
        <v>0</v>
      </c>
      <c r="BA52" t="b">
        <v>0</v>
      </c>
      <c r="BB52" t="b">
        <v>0</v>
      </c>
      <c r="BC52" t="b">
        <v>0</v>
      </c>
      <c r="BD52" t="b">
        <v>0</v>
      </c>
      <c r="BE52" t="b">
        <v>0</v>
      </c>
      <c r="BF52" t="b">
        <v>0</v>
      </c>
      <c r="BG52" t="b">
        <v>0</v>
      </c>
      <c r="BH52" t="b">
        <v>0</v>
      </c>
      <c r="BI52" t="b">
        <v>0</v>
      </c>
      <c r="BJ52" t="b">
        <v>0</v>
      </c>
      <c r="BK52" t="b">
        <v>0</v>
      </c>
      <c r="BL52" t="b">
        <v>0</v>
      </c>
      <c r="BM52" t="b">
        <v>0</v>
      </c>
      <c r="BN52" t="b">
        <v>0</v>
      </c>
      <c r="BO52" t="b">
        <v>0</v>
      </c>
      <c r="BP52" t="b">
        <v>0</v>
      </c>
      <c r="BQ52" t="b">
        <v>0</v>
      </c>
      <c r="BR52" t="b">
        <v>0</v>
      </c>
      <c r="BS52" t="b">
        <v>0</v>
      </c>
      <c r="BT52" t="b">
        <v>0</v>
      </c>
      <c r="BU52" t="b">
        <v>0</v>
      </c>
      <c r="BV52" t="b">
        <v>0</v>
      </c>
      <c r="BW52" t="b">
        <v>0</v>
      </c>
      <c r="BX52" t="b">
        <v>0</v>
      </c>
      <c r="BY52" t="b">
        <v>0</v>
      </c>
      <c r="BZ52" t="b">
        <v>0</v>
      </c>
      <c r="CA52" t="b">
        <v>0</v>
      </c>
      <c r="CB52" t="b">
        <v>0</v>
      </c>
      <c r="CC52" t="s">
        <v>1253</v>
      </c>
      <c r="CD52" t="s">
        <v>1492</v>
      </c>
      <c r="CE52" t="s">
        <v>1513</v>
      </c>
      <c r="CF52" t="s">
        <v>1495</v>
      </c>
      <c r="CG52" t="b">
        <v>0</v>
      </c>
      <c r="CH52">
        <v>0</v>
      </c>
      <c r="CI52" t="s">
        <v>1596</v>
      </c>
      <c r="CJ52" t="s">
        <v>1601</v>
      </c>
      <c r="CK52" t="s">
        <v>1251</v>
      </c>
      <c r="CL52" t="s">
        <v>1602</v>
      </c>
    </row>
    <row r="53" spans="1:90">
      <c r="A53">
        <v>494</v>
      </c>
      <c r="B53">
        <v>100018</v>
      </c>
      <c r="C53" t="s">
        <v>1250</v>
      </c>
      <c r="D53">
        <v>2</v>
      </c>
      <c r="E53" t="s">
        <v>1492</v>
      </c>
      <c r="F53">
        <v>14</v>
      </c>
      <c r="G53">
        <v>1</v>
      </c>
      <c r="H53">
        <v>2</v>
      </c>
      <c r="I53" t="s">
        <v>728</v>
      </c>
      <c r="J53" t="s">
        <v>1297</v>
      </c>
      <c r="K53" t="s">
        <v>15</v>
      </c>
      <c r="L53" t="s">
        <v>1575</v>
      </c>
      <c r="M53" t="s">
        <v>1492</v>
      </c>
      <c r="N53" t="s">
        <v>1492</v>
      </c>
      <c r="O53" t="s">
        <v>1285</v>
      </c>
      <c r="P53" t="s">
        <v>1383</v>
      </c>
      <c r="Q53" t="s">
        <v>1285</v>
      </c>
      <c r="R53" t="s">
        <v>1383</v>
      </c>
      <c r="S53" t="s">
        <v>1285</v>
      </c>
      <c r="T53" t="s">
        <v>1383</v>
      </c>
      <c r="U53" t="s">
        <v>1285</v>
      </c>
      <c r="V53" t="s">
        <v>1383</v>
      </c>
      <c r="W53" t="s">
        <v>1285</v>
      </c>
      <c r="X53" t="s">
        <v>1372</v>
      </c>
      <c r="Y53" t="s">
        <v>1257</v>
      </c>
      <c r="Z53" t="s">
        <v>1257</v>
      </c>
      <c r="AA53" t="s">
        <v>1257</v>
      </c>
      <c r="AB53" t="s">
        <v>1257</v>
      </c>
      <c r="AC53" t="b">
        <v>0</v>
      </c>
      <c r="AD53" t="b">
        <v>0</v>
      </c>
      <c r="AE53" t="b">
        <v>0</v>
      </c>
      <c r="AF53" t="b">
        <v>0</v>
      </c>
      <c r="AG53" t="b">
        <v>0</v>
      </c>
      <c r="AH53" t="b">
        <v>0</v>
      </c>
      <c r="AI53" t="b">
        <v>0</v>
      </c>
      <c r="AJ53" t="b">
        <v>0</v>
      </c>
      <c r="AK53" t="b">
        <v>0</v>
      </c>
      <c r="AL53" t="b">
        <v>0</v>
      </c>
      <c r="AM53" t="b">
        <v>0</v>
      </c>
      <c r="AN53" t="b">
        <v>0</v>
      </c>
      <c r="AO53" t="b">
        <v>0</v>
      </c>
      <c r="AP53" t="b">
        <v>0</v>
      </c>
      <c r="AQ53" t="b">
        <v>0</v>
      </c>
      <c r="AR53" t="b">
        <v>0</v>
      </c>
      <c r="AS53" t="b">
        <v>0</v>
      </c>
      <c r="AT53" t="b">
        <v>0</v>
      </c>
      <c r="AU53" t="b">
        <v>0</v>
      </c>
      <c r="AV53" t="b">
        <v>0</v>
      </c>
      <c r="AW53" t="b">
        <v>0</v>
      </c>
      <c r="AX53" t="b">
        <v>0</v>
      </c>
      <c r="AY53" t="b">
        <v>0</v>
      </c>
      <c r="AZ53" t="b">
        <v>0</v>
      </c>
      <c r="BA53" t="b">
        <v>0</v>
      </c>
      <c r="BB53" t="b">
        <v>0</v>
      </c>
      <c r="BC53" t="b">
        <v>0</v>
      </c>
      <c r="BD53" t="b">
        <v>0</v>
      </c>
      <c r="BE53" t="b">
        <v>0</v>
      </c>
      <c r="BF53" t="b">
        <v>0</v>
      </c>
      <c r="BG53" t="b">
        <v>0</v>
      </c>
      <c r="BH53" t="b">
        <v>0</v>
      </c>
      <c r="BI53" t="b">
        <v>0</v>
      </c>
      <c r="BJ53" t="b">
        <v>0</v>
      </c>
      <c r="BK53" t="b">
        <v>0</v>
      </c>
      <c r="BL53" t="b">
        <v>0</v>
      </c>
      <c r="BM53" t="b">
        <v>0</v>
      </c>
      <c r="BN53" t="b">
        <v>0</v>
      </c>
      <c r="BO53" t="b">
        <v>0</v>
      </c>
      <c r="BP53" t="b">
        <v>0</v>
      </c>
      <c r="BQ53" t="b">
        <v>0</v>
      </c>
      <c r="BR53" t="b">
        <v>0</v>
      </c>
      <c r="BS53" t="b">
        <v>0</v>
      </c>
      <c r="BT53" t="b">
        <v>0</v>
      </c>
      <c r="BU53" t="b">
        <v>0</v>
      </c>
      <c r="BV53" t="b">
        <v>0</v>
      </c>
      <c r="BW53" t="b">
        <v>0</v>
      </c>
      <c r="BX53" t="b">
        <v>0</v>
      </c>
      <c r="BY53" t="b">
        <v>0</v>
      </c>
      <c r="BZ53" t="b">
        <v>0</v>
      </c>
      <c r="CA53" t="b">
        <v>0</v>
      </c>
      <c r="CB53" t="b">
        <v>0</v>
      </c>
      <c r="CC53" t="s">
        <v>1253</v>
      </c>
      <c r="CD53" t="s">
        <v>1492</v>
      </c>
      <c r="CE53" t="s">
        <v>1513</v>
      </c>
      <c r="CF53" t="s">
        <v>1495</v>
      </c>
      <c r="CG53" t="b">
        <v>0</v>
      </c>
      <c r="CH53">
        <v>0</v>
      </c>
      <c r="CI53" t="s">
        <v>1596</v>
      </c>
      <c r="CJ53" t="s">
        <v>1601</v>
      </c>
      <c r="CK53" t="s">
        <v>1251</v>
      </c>
      <c r="CL53" t="s">
        <v>1603</v>
      </c>
    </row>
    <row r="54" spans="1:90">
      <c r="A54">
        <v>495</v>
      </c>
      <c r="B54">
        <v>100019</v>
      </c>
      <c r="C54" t="s">
        <v>1250</v>
      </c>
      <c r="D54">
        <v>1</v>
      </c>
      <c r="E54" t="s">
        <v>1492</v>
      </c>
      <c r="F54">
        <v>8</v>
      </c>
      <c r="G54">
        <v>1</v>
      </c>
      <c r="H54">
        <v>2</v>
      </c>
      <c r="I54" t="s">
        <v>618</v>
      </c>
      <c r="J54" t="s">
        <v>1297</v>
      </c>
      <c r="K54" t="s">
        <v>16</v>
      </c>
      <c r="L54" t="s">
        <v>1492</v>
      </c>
      <c r="M54" t="s">
        <v>1492</v>
      </c>
      <c r="N54" t="s">
        <v>1492</v>
      </c>
      <c r="O54" t="s">
        <v>1285</v>
      </c>
      <c r="P54" t="s">
        <v>1383</v>
      </c>
      <c r="Q54" t="s">
        <v>1285</v>
      </c>
      <c r="R54" t="s">
        <v>1383</v>
      </c>
      <c r="S54" t="s">
        <v>1285</v>
      </c>
      <c r="T54" t="s">
        <v>1383</v>
      </c>
      <c r="U54" t="s">
        <v>1285</v>
      </c>
      <c r="V54" t="s">
        <v>1383</v>
      </c>
      <c r="W54" t="s">
        <v>1285</v>
      </c>
      <c r="X54" t="s">
        <v>1372</v>
      </c>
      <c r="Y54" t="s">
        <v>1257</v>
      </c>
      <c r="Z54" t="s">
        <v>1257</v>
      </c>
      <c r="AA54" t="s">
        <v>1257</v>
      </c>
      <c r="AB54" t="s">
        <v>1257</v>
      </c>
      <c r="AC54" t="b">
        <v>0</v>
      </c>
      <c r="AD54" t="b">
        <v>0</v>
      </c>
      <c r="AE54" t="b">
        <v>0</v>
      </c>
      <c r="AF54" t="b">
        <v>0</v>
      </c>
      <c r="AG54" t="b">
        <v>0</v>
      </c>
      <c r="AH54" t="b">
        <v>0</v>
      </c>
      <c r="AI54" t="b">
        <v>0</v>
      </c>
      <c r="AJ54" t="b">
        <v>1</v>
      </c>
      <c r="AK54" t="b">
        <v>1</v>
      </c>
      <c r="AL54" t="b">
        <v>1</v>
      </c>
      <c r="AM54" t="b">
        <v>1</v>
      </c>
      <c r="AN54" t="b">
        <v>1</v>
      </c>
      <c r="AO54" t="b">
        <v>1</v>
      </c>
      <c r="AP54" t="b">
        <v>1</v>
      </c>
      <c r="AQ54" t="b">
        <v>1</v>
      </c>
      <c r="AR54" t="b">
        <v>0</v>
      </c>
      <c r="AS54" t="b">
        <v>0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  <c r="AY54" t="b">
        <v>1</v>
      </c>
      <c r="AZ54" t="b">
        <v>0</v>
      </c>
      <c r="BA54" t="b">
        <v>0</v>
      </c>
      <c r="BB54" t="b">
        <v>0</v>
      </c>
      <c r="BC54" t="b">
        <v>0</v>
      </c>
      <c r="BD54" t="b">
        <v>0</v>
      </c>
      <c r="BE54" t="b">
        <v>0</v>
      </c>
      <c r="BF54" t="b">
        <v>0</v>
      </c>
      <c r="BG54" t="b">
        <v>0</v>
      </c>
      <c r="BH54" t="b">
        <v>0</v>
      </c>
      <c r="BI54" t="b">
        <v>0</v>
      </c>
      <c r="BJ54" t="b">
        <v>0</v>
      </c>
      <c r="BK54" t="b">
        <v>0</v>
      </c>
      <c r="BL54" t="b">
        <v>0</v>
      </c>
      <c r="BM54" t="b">
        <v>0</v>
      </c>
      <c r="BN54" t="b">
        <v>0</v>
      </c>
      <c r="BO54" t="b">
        <v>0</v>
      </c>
      <c r="BP54" t="b">
        <v>0</v>
      </c>
      <c r="BQ54" t="b">
        <v>0</v>
      </c>
      <c r="BR54" t="b">
        <v>0</v>
      </c>
      <c r="BS54" t="b">
        <v>0</v>
      </c>
      <c r="BT54" t="b">
        <v>0</v>
      </c>
      <c r="BU54" t="b">
        <v>0</v>
      </c>
      <c r="BV54" t="b">
        <v>0</v>
      </c>
      <c r="BW54" t="b">
        <v>0</v>
      </c>
      <c r="BX54" t="b">
        <v>0</v>
      </c>
      <c r="BY54" t="b">
        <v>0</v>
      </c>
      <c r="BZ54" t="b">
        <v>0</v>
      </c>
      <c r="CA54" t="b">
        <v>0</v>
      </c>
      <c r="CB54" t="b">
        <v>0</v>
      </c>
      <c r="CC54" t="s">
        <v>1253</v>
      </c>
      <c r="CD54" t="s">
        <v>1492</v>
      </c>
      <c r="CE54" t="s">
        <v>1513</v>
      </c>
      <c r="CF54" t="s">
        <v>1495</v>
      </c>
      <c r="CG54" t="b">
        <v>0</v>
      </c>
      <c r="CH54">
        <v>0</v>
      </c>
      <c r="CI54" t="s">
        <v>1596</v>
      </c>
      <c r="CJ54" t="s">
        <v>1604</v>
      </c>
      <c r="CK54" t="s">
        <v>1251</v>
      </c>
      <c r="CL54" t="s">
        <v>1605</v>
      </c>
    </row>
    <row r="55" spans="1:90">
      <c r="A55">
        <v>496</v>
      </c>
      <c r="B55">
        <v>100019</v>
      </c>
      <c r="C55" t="s">
        <v>1250</v>
      </c>
      <c r="D55">
        <v>2</v>
      </c>
      <c r="E55" t="s">
        <v>1492</v>
      </c>
      <c r="F55">
        <v>8</v>
      </c>
      <c r="G55">
        <v>1</v>
      </c>
      <c r="H55">
        <v>2</v>
      </c>
      <c r="I55" t="s">
        <v>618</v>
      </c>
      <c r="J55" t="s">
        <v>1297</v>
      </c>
      <c r="K55" t="s">
        <v>16</v>
      </c>
      <c r="L55" t="s">
        <v>1511</v>
      </c>
      <c r="M55" t="s">
        <v>1492</v>
      </c>
      <c r="N55" t="s">
        <v>1492</v>
      </c>
      <c r="O55" t="s">
        <v>1285</v>
      </c>
      <c r="P55" t="s">
        <v>1383</v>
      </c>
      <c r="Q55" t="s">
        <v>1285</v>
      </c>
      <c r="R55" t="s">
        <v>1383</v>
      </c>
      <c r="S55" t="s">
        <v>1285</v>
      </c>
      <c r="T55" t="s">
        <v>1383</v>
      </c>
      <c r="U55" t="s">
        <v>1285</v>
      </c>
      <c r="V55" t="s">
        <v>1383</v>
      </c>
      <c r="W55" t="s">
        <v>1285</v>
      </c>
      <c r="X55" t="s">
        <v>1372</v>
      </c>
      <c r="Y55" t="s">
        <v>1257</v>
      </c>
      <c r="Z55" t="s">
        <v>1257</v>
      </c>
      <c r="AA55" t="s">
        <v>1257</v>
      </c>
      <c r="AB55" t="s">
        <v>1257</v>
      </c>
      <c r="AC55" t="b">
        <v>0</v>
      </c>
      <c r="AD55" t="b">
        <v>0</v>
      </c>
      <c r="AE55" t="b">
        <v>0</v>
      </c>
      <c r="AF55" t="b">
        <v>0</v>
      </c>
      <c r="AG55" t="b">
        <v>0</v>
      </c>
      <c r="AH55" t="b">
        <v>0</v>
      </c>
      <c r="AI55" t="b">
        <v>0</v>
      </c>
      <c r="AJ55" t="b">
        <v>1</v>
      </c>
      <c r="AK55" t="b">
        <v>1</v>
      </c>
      <c r="AL55" t="b">
        <v>1</v>
      </c>
      <c r="AM55" t="b">
        <v>1</v>
      </c>
      <c r="AN55" t="b">
        <v>1</v>
      </c>
      <c r="AO55" t="b">
        <v>1</v>
      </c>
      <c r="AP55" t="b">
        <v>1</v>
      </c>
      <c r="AQ55" t="b">
        <v>1</v>
      </c>
      <c r="AR55" t="b">
        <v>0</v>
      </c>
      <c r="AS55" t="b">
        <v>0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  <c r="AY55" t="b">
        <v>1</v>
      </c>
      <c r="AZ55" t="b">
        <v>0</v>
      </c>
      <c r="BA55" t="b">
        <v>0</v>
      </c>
      <c r="BB55" t="b">
        <v>0</v>
      </c>
      <c r="BC55" t="b">
        <v>0</v>
      </c>
      <c r="BD55" t="b">
        <v>0</v>
      </c>
      <c r="BE55" t="b">
        <v>0</v>
      </c>
      <c r="BF55" t="b">
        <v>0</v>
      </c>
      <c r="BG55" t="b">
        <v>0</v>
      </c>
      <c r="BH55" t="b">
        <v>0</v>
      </c>
      <c r="BI55" t="b">
        <v>0</v>
      </c>
      <c r="BJ55" t="b">
        <v>0</v>
      </c>
      <c r="BK55" t="b">
        <v>0</v>
      </c>
      <c r="BL55" t="b">
        <v>0</v>
      </c>
      <c r="BM55" t="b">
        <v>0</v>
      </c>
      <c r="BN55" t="b">
        <v>0</v>
      </c>
      <c r="BO55" t="b">
        <v>0</v>
      </c>
      <c r="BP55" t="b">
        <v>0</v>
      </c>
      <c r="BQ55" t="b">
        <v>0</v>
      </c>
      <c r="BR55" t="b">
        <v>0</v>
      </c>
      <c r="BS55" t="b">
        <v>0</v>
      </c>
      <c r="BT55" t="b">
        <v>0</v>
      </c>
      <c r="BU55" t="b">
        <v>0</v>
      </c>
      <c r="BV55" t="b">
        <v>0</v>
      </c>
      <c r="BW55" t="b">
        <v>0</v>
      </c>
      <c r="BX55" t="b">
        <v>0</v>
      </c>
      <c r="BY55" t="b">
        <v>0</v>
      </c>
      <c r="BZ55" t="b">
        <v>0</v>
      </c>
      <c r="CA55" t="b">
        <v>0</v>
      </c>
      <c r="CB55" t="b">
        <v>0</v>
      </c>
      <c r="CC55" t="s">
        <v>1253</v>
      </c>
      <c r="CD55" t="s">
        <v>1492</v>
      </c>
      <c r="CE55" t="s">
        <v>1513</v>
      </c>
      <c r="CF55" t="s">
        <v>1495</v>
      </c>
      <c r="CG55" t="b">
        <v>0</v>
      </c>
      <c r="CH55">
        <v>0</v>
      </c>
      <c r="CI55" t="s">
        <v>1596</v>
      </c>
      <c r="CJ55" t="s">
        <v>1604</v>
      </c>
      <c r="CK55" t="s">
        <v>1251</v>
      </c>
      <c r="CL55" t="s">
        <v>1606</v>
      </c>
    </row>
    <row r="56" spans="1:90">
      <c r="A56">
        <v>497</v>
      </c>
      <c r="B56">
        <v>100020</v>
      </c>
      <c r="C56" t="s">
        <v>1250</v>
      </c>
      <c r="D56">
        <v>1</v>
      </c>
      <c r="E56" t="s">
        <v>1492</v>
      </c>
      <c r="F56">
        <v>11</v>
      </c>
      <c r="G56">
        <v>1</v>
      </c>
      <c r="H56">
        <v>2</v>
      </c>
      <c r="I56" t="s">
        <v>778</v>
      </c>
      <c r="J56" t="s">
        <v>1297</v>
      </c>
      <c r="K56" t="s">
        <v>15</v>
      </c>
      <c r="L56" t="s">
        <v>1511</v>
      </c>
      <c r="M56" t="s">
        <v>1492</v>
      </c>
      <c r="N56" t="s">
        <v>1492</v>
      </c>
      <c r="O56" t="s">
        <v>1285</v>
      </c>
      <c r="P56" t="s">
        <v>1383</v>
      </c>
      <c r="Q56" t="s">
        <v>1285</v>
      </c>
      <c r="R56" t="s">
        <v>1383</v>
      </c>
      <c r="S56" t="s">
        <v>1285</v>
      </c>
      <c r="T56" t="s">
        <v>1383</v>
      </c>
      <c r="U56" t="s">
        <v>1285</v>
      </c>
      <c r="V56" t="s">
        <v>1383</v>
      </c>
      <c r="W56" t="s">
        <v>1285</v>
      </c>
      <c r="X56" t="s">
        <v>1372</v>
      </c>
      <c r="Y56" t="s">
        <v>1257</v>
      </c>
      <c r="Z56" t="s">
        <v>1257</v>
      </c>
      <c r="AA56" t="s">
        <v>1257</v>
      </c>
      <c r="AB56" t="s">
        <v>1257</v>
      </c>
      <c r="AC56" t="b">
        <v>0</v>
      </c>
      <c r="AD56" t="b">
        <v>0</v>
      </c>
      <c r="AE56" t="b">
        <v>0</v>
      </c>
      <c r="AF56" t="b">
        <v>0</v>
      </c>
      <c r="AG56" t="b">
        <v>0</v>
      </c>
      <c r="AH56" t="b">
        <v>0</v>
      </c>
      <c r="AI56" t="b">
        <v>0</v>
      </c>
      <c r="AJ56" t="b">
        <v>0</v>
      </c>
      <c r="AK56" t="b">
        <v>0</v>
      </c>
      <c r="AL56" t="b">
        <v>0</v>
      </c>
      <c r="AM56" t="b">
        <v>0</v>
      </c>
      <c r="AN56" t="b">
        <v>0</v>
      </c>
      <c r="AO56" t="b">
        <v>0</v>
      </c>
      <c r="AP56" t="b">
        <v>0</v>
      </c>
      <c r="AQ56" t="b">
        <v>0</v>
      </c>
      <c r="AR56" t="b">
        <v>0</v>
      </c>
      <c r="AS56" t="b">
        <v>0</v>
      </c>
      <c r="AT56" t="b">
        <v>0</v>
      </c>
      <c r="AU56" t="b">
        <v>0</v>
      </c>
      <c r="AV56" t="b">
        <v>0</v>
      </c>
      <c r="AW56" t="b">
        <v>0</v>
      </c>
      <c r="AX56" t="b">
        <v>0</v>
      </c>
      <c r="AY56" t="b">
        <v>0</v>
      </c>
      <c r="AZ56" t="b">
        <v>0</v>
      </c>
      <c r="BA56" t="b">
        <v>0</v>
      </c>
      <c r="BB56" t="b">
        <v>0</v>
      </c>
      <c r="BC56" t="b">
        <v>0</v>
      </c>
      <c r="BD56" t="b">
        <v>0</v>
      </c>
      <c r="BE56" t="b">
        <v>0</v>
      </c>
      <c r="BF56" t="b">
        <v>0</v>
      </c>
      <c r="BG56" t="b">
        <v>0</v>
      </c>
      <c r="BH56" t="b">
        <v>0</v>
      </c>
      <c r="BI56" t="b">
        <v>0</v>
      </c>
      <c r="BJ56" t="b">
        <v>0</v>
      </c>
      <c r="BK56" t="b">
        <v>0</v>
      </c>
      <c r="BL56" t="b">
        <v>0</v>
      </c>
      <c r="BM56" t="b">
        <v>0</v>
      </c>
      <c r="BN56" t="b">
        <v>0</v>
      </c>
      <c r="BO56" t="b">
        <v>0</v>
      </c>
      <c r="BP56" t="b">
        <v>0</v>
      </c>
      <c r="BQ56" t="b">
        <v>0</v>
      </c>
      <c r="BR56" t="b">
        <v>0</v>
      </c>
      <c r="BS56" t="b">
        <v>0</v>
      </c>
      <c r="BT56" t="b">
        <v>0</v>
      </c>
      <c r="BU56" t="b">
        <v>0</v>
      </c>
      <c r="BV56" t="b">
        <v>0</v>
      </c>
      <c r="BW56" t="b">
        <v>0</v>
      </c>
      <c r="BX56" t="b">
        <v>0</v>
      </c>
      <c r="BY56" t="b">
        <v>0</v>
      </c>
      <c r="BZ56" t="b">
        <v>0</v>
      </c>
      <c r="CA56" t="b">
        <v>0</v>
      </c>
      <c r="CB56" t="b">
        <v>0</v>
      </c>
      <c r="CC56" t="s">
        <v>1253</v>
      </c>
      <c r="CD56" t="s">
        <v>1492</v>
      </c>
      <c r="CE56" t="s">
        <v>1513</v>
      </c>
      <c r="CF56" t="s">
        <v>1495</v>
      </c>
      <c r="CG56" t="b">
        <v>0</v>
      </c>
      <c r="CH56">
        <v>0</v>
      </c>
      <c r="CI56" t="s">
        <v>1607</v>
      </c>
      <c r="CJ56" t="s">
        <v>1608</v>
      </c>
      <c r="CK56" t="s">
        <v>1251</v>
      </c>
      <c r="CL56" t="s">
        <v>1609</v>
      </c>
    </row>
    <row r="57" spans="1:90">
      <c r="A57">
        <v>498</v>
      </c>
      <c r="B57">
        <v>100020</v>
      </c>
      <c r="C57" t="s">
        <v>1250</v>
      </c>
      <c r="D57">
        <v>2</v>
      </c>
      <c r="E57" t="s">
        <v>1492</v>
      </c>
      <c r="F57">
        <v>11</v>
      </c>
      <c r="G57">
        <v>1</v>
      </c>
      <c r="H57">
        <v>2</v>
      </c>
      <c r="I57" t="s">
        <v>778</v>
      </c>
      <c r="J57" t="s">
        <v>1297</v>
      </c>
      <c r="K57" t="s">
        <v>15</v>
      </c>
      <c r="L57" t="s">
        <v>1511</v>
      </c>
      <c r="M57" t="s">
        <v>1492</v>
      </c>
      <c r="N57" t="s">
        <v>1492</v>
      </c>
      <c r="O57" t="s">
        <v>1285</v>
      </c>
      <c r="P57" t="s">
        <v>1383</v>
      </c>
      <c r="Q57" t="s">
        <v>1285</v>
      </c>
      <c r="R57" t="s">
        <v>1383</v>
      </c>
      <c r="S57" t="s">
        <v>1285</v>
      </c>
      <c r="T57" t="s">
        <v>1383</v>
      </c>
      <c r="U57" t="s">
        <v>1285</v>
      </c>
      <c r="V57" t="s">
        <v>1383</v>
      </c>
      <c r="W57" t="s">
        <v>1285</v>
      </c>
      <c r="X57" t="s">
        <v>1372</v>
      </c>
      <c r="Y57" t="s">
        <v>1257</v>
      </c>
      <c r="Z57" t="s">
        <v>1257</v>
      </c>
      <c r="AA57" t="s">
        <v>1257</v>
      </c>
      <c r="AB57" t="s">
        <v>1257</v>
      </c>
      <c r="AC57" t="b">
        <v>0</v>
      </c>
      <c r="AD57" t="b">
        <v>0</v>
      </c>
      <c r="AE57" t="b">
        <v>0</v>
      </c>
      <c r="AF57" t="b">
        <v>0</v>
      </c>
      <c r="AG57" t="b">
        <v>0</v>
      </c>
      <c r="AH57" t="b">
        <v>0</v>
      </c>
      <c r="AI57" t="b">
        <v>0</v>
      </c>
      <c r="AJ57" t="b">
        <v>0</v>
      </c>
      <c r="AK57" t="b">
        <v>0</v>
      </c>
      <c r="AL57" t="b">
        <v>0</v>
      </c>
      <c r="AM57" t="b">
        <v>0</v>
      </c>
      <c r="AN57" t="b">
        <v>0</v>
      </c>
      <c r="AO57" t="b">
        <v>0</v>
      </c>
      <c r="AP57" t="b">
        <v>0</v>
      </c>
      <c r="AQ57" t="b">
        <v>0</v>
      </c>
      <c r="AR57" t="b">
        <v>0</v>
      </c>
      <c r="AS57" t="b">
        <v>0</v>
      </c>
      <c r="AT57" t="b">
        <v>0</v>
      </c>
      <c r="AU57" t="b">
        <v>0</v>
      </c>
      <c r="AV57" t="b">
        <v>0</v>
      </c>
      <c r="AW57" t="b">
        <v>0</v>
      </c>
      <c r="AX57" t="b">
        <v>0</v>
      </c>
      <c r="AY57" t="b">
        <v>0</v>
      </c>
      <c r="AZ57" t="b">
        <v>0</v>
      </c>
      <c r="BA57" t="b">
        <v>0</v>
      </c>
      <c r="BB57" t="b">
        <v>0</v>
      </c>
      <c r="BC57" t="b">
        <v>0</v>
      </c>
      <c r="BD57" t="b">
        <v>0</v>
      </c>
      <c r="BE57" t="b">
        <v>0</v>
      </c>
      <c r="BF57" t="b">
        <v>0</v>
      </c>
      <c r="BG57" t="b">
        <v>0</v>
      </c>
      <c r="BH57" t="b">
        <v>0</v>
      </c>
      <c r="BI57" t="b">
        <v>0</v>
      </c>
      <c r="BJ57" t="b">
        <v>0</v>
      </c>
      <c r="BK57" t="b">
        <v>0</v>
      </c>
      <c r="BL57" t="b">
        <v>0</v>
      </c>
      <c r="BM57" t="b">
        <v>0</v>
      </c>
      <c r="BN57" t="b">
        <v>0</v>
      </c>
      <c r="BO57" t="b">
        <v>0</v>
      </c>
      <c r="BP57" t="b">
        <v>0</v>
      </c>
      <c r="BQ57" t="b">
        <v>0</v>
      </c>
      <c r="BR57" t="b">
        <v>0</v>
      </c>
      <c r="BS57" t="b">
        <v>0</v>
      </c>
      <c r="BT57" t="b">
        <v>0</v>
      </c>
      <c r="BU57" t="b">
        <v>0</v>
      </c>
      <c r="BV57" t="b">
        <v>0</v>
      </c>
      <c r="BW57" t="b">
        <v>0</v>
      </c>
      <c r="BX57" t="b">
        <v>0</v>
      </c>
      <c r="BY57" t="b">
        <v>0</v>
      </c>
      <c r="BZ57" t="b">
        <v>0</v>
      </c>
      <c r="CA57" t="b">
        <v>0</v>
      </c>
      <c r="CB57" t="b">
        <v>0</v>
      </c>
      <c r="CC57" t="s">
        <v>1253</v>
      </c>
      <c r="CD57" t="s">
        <v>1492</v>
      </c>
      <c r="CE57" t="s">
        <v>1513</v>
      </c>
      <c r="CF57" t="s">
        <v>1495</v>
      </c>
      <c r="CG57" t="b">
        <v>0</v>
      </c>
      <c r="CH57">
        <v>0</v>
      </c>
      <c r="CI57" t="s">
        <v>1610</v>
      </c>
      <c r="CJ57" t="s">
        <v>1608</v>
      </c>
      <c r="CK57" t="s">
        <v>1251</v>
      </c>
      <c r="CL57" t="s">
        <v>1611</v>
      </c>
    </row>
    <row r="58" spans="1:90">
      <c r="A58">
        <v>499</v>
      </c>
      <c r="B58">
        <v>100021</v>
      </c>
      <c r="C58" t="s">
        <v>1250</v>
      </c>
      <c r="D58">
        <v>1</v>
      </c>
      <c r="E58" t="s">
        <v>1492</v>
      </c>
      <c r="F58">
        <v>8</v>
      </c>
      <c r="G58">
        <v>1</v>
      </c>
      <c r="H58">
        <v>2</v>
      </c>
      <c r="I58" t="s">
        <v>618</v>
      </c>
      <c r="J58" t="s">
        <v>1297</v>
      </c>
      <c r="K58" t="s">
        <v>16</v>
      </c>
      <c r="L58" t="s">
        <v>1492</v>
      </c>
      <c r="M58" t="s">
        <v>1492</v>
      </c>
      <c r="N58" t="s">
        <v>1492</v>
      </c>
      <c r="O58" t="s">
        <v>1285</v>
      </c>
      <c r="P58" t="s">
        <v>1383</v>
      </c>
      <c r="Q58" t="s">
        <v>1285</v>
      </c>
      <c r="R58" t="s">
        <v>1383</v>
      </c>
      <c r="S58" t="s">
        <v>1285</v>
      </c>
      <c r="T58" t="s">
        <v>1383</v>
      </c>
      <c r="U58" t="s">
        <v>1285</v>
      </c>
      <c r="V58" t="s">
        <v>1383</v>
      </c>
      <c r="W58" t="s">
        <v>1285</v>
      </c>
      <c r="X58" t="s">
        <v>1372</v>
      </c>
      <c r="Y58" t="s">
        <v>1257</v>
      </c>
      <c r="Z58" t="s">
        <v>1257</v>
      </c>
      <c r="AA58" t="s">
        <v>1257</v>
      </c>
      <c r="AB58" t="s">
        <v>1257</v>
      </c>
      <c r="AC58" t="b">
        <v>0</v>
      </c>
      <c r="AD58" t="b">
        <v>0</v>
      </c>
      <c r="AE58" t="b">
        <v>0</v>
      </c>
      <c r="AF58" t="b">
        <v>0</v>
      </c>
      <c r="AG58" t="b">
        <v>0</v>
      </c>
      <c r="AH58" t="b">
        <v>0</v>
      </c>
      <c r="AI58" t="b">
        <v>0</v>
      </c>
      <c r="AJ58" t="b">
        <v>1</v>
      </c>
      <c r="AK58" t="b">
        <v>1</v>
      </c>
      <c r="AL58" t="b">
        <v>1</v>
      </c>
      <c r="AM58" t="b">
        <v>1</v>
      </c>
      <c r="AN58" t="b">
        <v>1</v>
      </c>
      <c r="AO58" t="b">
        <v>1</v>
      </c>
      <c r="AP58" t="b">
        <v>1</v>
      </c>
      <c r="AQ58" t="b">
        <v>1</v>
      </c>
      <c r="AR58" t="b">
        <v>0</v>
      </c>
      <c r="AS58" t="b">
        <v>0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  <c r="AY58" t="b">
        <v>1</v>
      </c>
      <c r="AZ58" t="b">
        <v>0</v>
      </c>
      <c r="BA58" t="b">
        <v>0</v>
      </c>
      <c r="BB58" t="b">
        <v>0</v>
      </c>
      <c r="BC58" t="b">
        <v>0</v>
      </c>
      <c r="BD58" t="b">
        <v>0</v>
      </c>
      <c r="BE58" t="b">
        <v>0</v>
      </c>
      <c r="BF58" t="b">
        <v>0</v>
      </c>
      <c r="BG58" t="b">
        <v>0</v>
      </c>
      <c r="BH58" t="b">
        <v>0</v>
      </c>
      <c r="BI58" t="b">
        <v>0</v>
      </c>
      <c r="BJ58" t="b">
        <v>0</v>
      </c>
      <c r="BK58" t="b">
        <v>0</v>
      </c>
      <c r="BL58" t="b">
        <v>0</v>
      </c>
      <c r="BM58" t="b">
        <v>0</v>
      </c>
      <c r="BN58" t="b">
        <v>0</v>
      </c>
      <c r="BO58" t="b">
        <v>0</v>
      </c>
      <c r="BP58" t="b">
        <v>0</v>
      </c>
      <c r="BQ58" t="b">
        <v>0</v>
      </c>
      <c r="BR58" t="b">
        <v>0</v>
      </c>
      <c r="BS58" t="b">
        <v>0</v>
      </c>
      <c r="BT58" t="b">
        <v>0</v>
      </c>
      <c r="BU58" t="b">
        <v>0</v>
      </c>
      <c r="BV58" t="b">
        <v>0</v>
      </c>
      <c r="BW58" t="b">
        <v>0</v>
      </c>
      <c r="BX58" t="b">
        <v>0</v>
      </c>
      <c r="BY58" t="b">
        <v>0</v>
      </c>
      <c r="BZ58" t="b">
        <v>0</v>
      </c>
      <c r="CA58" t="b">
        <v>0</v>
      </c>
      <c r="CB58" t="b">
        <v>0</v>
      </c>
      <c r="CC58" t="s">
        <v>1253</v>
      </c>
      <c r="CD58" t="s">
        <v>1492</v>
      </c>
      <c r="CE58" t="s">
        <v>1513</v>
      </c>
      <c r="CF58" t="s">
        <v>1495</v>
      </c>
      <c r="CG58" t="b">
        <v>0</v>
      </c>
      <c r="CH58">
        <v>0</v>
      </c>
      <c r="CI58" t="s">
        <v>1596</v>
      </c>
      <c r="CJ58" t="s">
        <v>1612</v>
      </c>
      <c r="CK58" t="s">
        <v>1251</v>
      </c>
      <c r="CL58" t="s">
        <v>1613</v>
      </c>
    </row>
    <row r="59" spans="1:90">
      <c r="A59">
        <v>500</v>
      </c>
      <c r="B59">
        <v>100021</v>
      </c>
      <c r="C59" t="s">
        <v>1250</v>
      </c>
      <c r="D59">
        <v>2</v>
      </c>
      <c r="E59" t="s">
        <v>1492</v>
      </c>
      <c r="F59">
        <v>8</v>
      </c>
      <c r="G59">
        <v>1</v>
      </c>
      <c r="H59">
        <v>2</v>
      </c>
      <c r="I59" t="s">
        <v>618</v>
      </c>
      <c r="J59" t="s">
        <v>1297</v>
      </c>
      <c r="K59" t="s">
        <v>16</v>
      </c>
      <c r="L59" t="s">
        <v>1511</v>
      </c>
      <c r="M59" t="s">
        <v>1492</v>
      </c>
      <c r="N59" t="s">
        <v>1492</v>
      </c>
      <c r="O59" t="s">
        <v>1285</v>
      </c>
      <c r="P59" t="s">
        <v>1383</v>
      </c>
      <c r="Q59" t="s">
        <v>1285</v>
      </c>
      <c r="R59" t="s">
        <v>1383</v>
      </c>
      <c r="S59" t="s">
        <v>1285</v>
      </c>
      <c r="T59" t="s">
        <v>1383</v>
      </c>
      <c r="U59" t="s">
        <v>1285</v>
      </c>
      <c r="V59" t="s">
        <v>1383</v>
      </c>
      <c r="W59" t="s">
        <v>1285</v>
      </c>
      <c r="X59" t="s">
        <v>1372</v>
      </c>
      <c r="Y59" t="s">
        <v>1257</v>
      </c>
      <c r="Z59" t="s">
        <v>1257</v>
      </c>
      <c r="AA59" t="s">
        <v>1257</v>
      </c>
      <c r="AB59" t="s">
        <v>1257</v>
      </c>
      <c r="AC59" t="b">
        <v>0</v>
      </c>
      <c r="AD59" t="b">
        <v>0</v>
      </c>
      <c r="AE59" t="b">
        <v>0</v>
      </c>
      <c r="AF59" t="b">
        <v>0</v>
      </c>
      <c r="AG59" t="b">
        <v>0</v>
      </c>
      <c r="AH59" t="b">
        <v>0</v>
      </c>
      <c r="AI59" t="b">
        <v>0</v>
      </c>
      <c r="AJ59" t="b">
        <v>1</v>
      </c>
      <c r="AK59" t="b">
        <v>1</v>
      </c>
      <c r="AL59" t="b">
        <v>1</v>
      </c>
      <c r="AM59" t="b">
        <v>1</v>
      </c>
      <c r="AN59" t="b">
        <v>1</v>
      </c>
      <c r="AO59" t="b">
        <v>1</v>
      </c>
      <c r="AP59" t="b">
        <v>1</v>
      </c>
      <c r="AQ59" t="b">
        <v>1</v>
      </c>
      <c r="AR59" t="b">
        <v>0</v>
      </c>
      <c r="AS59" t="b">
        <v>0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  <c r="AY59" t="b">
        <v>1</v>
      </c>
      <c r="AZ59" t="b">
        <v>0</v>
      </c>
      <c r="BA59" t="b">
        <v>0</v>
      </c>
      <c r="BB59" t="b">
        <v>0</v>
      </c>
      <c r="BC59" t="b">
        <v>0</v>
      </c>
      <c r="BD59" t="b">
        <v>0</v>
      </c>
      <c r="BE59" t="b">
        <v>0</v>
      </c>
      <c r="BF59" t="b">
        <v>0</v>
      </c>
      <c r="BG59" t="b">
        <v>0</v>
      </c>
      <c r="BH59" t="b">
        <v>0</v>
      </c>
      <c r="BI59" t="b">
        <v>0</v>
      </c>
      <c r="BJ59" t="b">
        <v>0</v>
      </c>
      <c r="BK59" t="b">
        <v>0</v>
      </c>
      <c r="BL59" t="b">
        <v>0</v>
      </c>
      <c r="BM59" t="b">
        <v>0</v>
      </c>
      <c r="BN59" t="b">
        <v>0</v>
      </c>
      <c r="BO59" t="b">
        <v>0</v>
      </c>
      <c r="BP59" t="b">
        <v>0</v>
      </c>
      <c r="BQ59" t="b">
        <v>0</v>
      </c>
      <c r="BR59" t="b">
        <v>0</v>
      </c>
      <c r="BS59" t="b">
        <v>0</v>
      </c>
      <c r="BT59" t="b">
        <v>0</v>
      </c>
      <c r="BU59" t="b">
        <v>0</v>
      </c>
      <c r="BV59" t="b">
        <v>0</v>
      </c>
      <c r="BW59" t="b">
        <v>0</v>
      </c>
      <c r="BX59" t="b">
        <v>0</v>
      </c>
      <c r="BY59" t="b">
        <v>0</v>
      </c>
      <c r="BZ59" t="b">
        <v>0</v>
      </c>
      <c r="CA59" t="b">
        <v>0</v>
      </c>
      <c r="CB59" t="b">
        <v>0</v>
      </c>
      <c r="CC59" t="s">
        <v>1253</v>
      </c>
      <c r="CD59" t="s">
        <v>1492</v>
      </c>
      <c r="CE59" t="s">
        <v>1513</v>
      </c>
      <c r="CF59" t="s">
        <v>1495</v>
      </c>
      <c r="CG59" t="b">
        <v>0</v>
      </c>
      <c r="CH59">
        <v>0</v>
      </c>
      <c r="CI59" t="s">
        <v>1596</v>
      </c>
      <c r="CJ59" t="s">
        <v>1612</v>
      </c>
      <c r="CK59" t="s">
        <v>1251</v>
      </c>
      <c r="CL59" t="s">
        <v>1614</v>
      </c>
    </row>
    <row r="60" spans="1:90">
      <c r="A60">
        <v>501</v>
      </c>
      <c r="B60">
        <v>100022</v>
      </c>
      <c r="C60" t="s">
        <v>1250</v>
      </c>
      <c r="D60">
        <v>1</v>
      </c>
      <c r="E60" t="s">
        <v>1492</v>
      </c>
      <c r="F60">
        <v>8</v>
      </c>
      <c r="G60">
        <v>1</v>
      </c>
      <c r="H60">
        <v>2</v>
      </c>
      <c r="I60" t="s">
        <v>778</v>
      </c>
      <c r="J60" t="s">
        <v>1297</v>
      </c>
      <c r="K60" t="s">
        <v>15</v>
      </c>
      <c r="L60" t="s">
        <v>1511</v>
      </c>
      <c r="M60" t="s">
        <v>1492</v>
      </c>
      <c r="N60" t="s">
        <v>1492</v>
      </c>
      <c r="O60" t="s">
        <v>1285</v>
      </c>
      <c r="P60" t="s">
        <v>1383</v>
      </c>
      <c r="Q60" t="s">
        <v>1285</v>
      </c>
      <c r="R60" t="s">
        <v>1383</v>
      </c>
      <c r="S60" t="s">
        <v>1285</v>
      </c>
      <c r="T60" t="s">
        <v>1383</v>
      </c>
      <c r="U60" t="s">
        <v>1285</v>
      </c>
      <c r="V60" t="s">
        <v>1383</v>
      </c>
      <c r="W60" t="s">
        <v>1285</v>
      </c>
      <c r="X60" t="s">
        <v>1372</v>
      </c>
      <c r="Y60" t="s">
        <v>1257</v>
      </c>
      <c r="Z60" t="s">
        <v>1257</v>
      </c>
      <c r="AA60" t="s">
        <v>1257</v>
      </c>
      <c r="AB60" t="s">
        <v>1257</v>
      </c>
      <c r="AC60" t="b">
        <v>0</v>
      </c>
      <c r="AD60" t="b">
        <v>0</v>
      </c>
      <c r="AE60" t="b">
        <v>0</v>
      </c>
      <c r="AF60" t="b">
        <v>0</v>
      </c>
      <c r="AG60" t="b">
        <v>0</v>
      </c>
      <c r="AH60" t="b">
        <v>0</v>
      </c>
      <c r="AI60" t="b">
        <v>0</v>
      </c>
      <c r="AJ60" t="b">
        <v>0</v>
      </c>
      <c r="AK60" t="b">
        <v>0</v>
      </c>
      <c r="AL60" t="b">
        <v>0</v>
      </c>
      <c r="AM60" t="b">
        <v>0</v>
      </c>
      <c r="AN60" t="b">
        <v>0</v>
      </c>
      <c r="AO60" t="b">
        <v>0</v>
      </c>
      <c r="AP60" t="b">
        <v>0</v>
      </c>
      <c r="AQ60" t="b">
        <v>0</v>
      </c>
      <c r="AR60" t="b">
        <v>0</v>
      </c>
      <c r="AS60" t="b">
        <v>0</v>
      </c>
      <c r="AT60" t="b">
        <v>0</v>
      </c>
      <c r="AU60" t="b">
        <v>0</v>
      </c>
      <c r="AV60" t="b">
        <v>0</v>
      </c>
      <c r="AW60" t="b">
        <v>0</v>
      </c>
      <c r="AX60" t="b">
        <v>0</v>
      </c>
      <c r="AY60" t="b">
        <v>0</v>
      </c>
      <c r="AZ60" t="b">
        <v>0</v>
      </c>
      <c r="BA60" t="b">
        <v>0</v>
      </c>
      <c r="BB60" t="b">
        <v>0</v>
      </c>
      <c r="BC60" t="b">
        <v>0</v>
      </c>
      <c r="BD60" t="b">
        <v>0</v>
      </c>
      <c r="BE60" t="b">
        <v>0</v>
      </c>
      <c r="BF60" t="b">
        <v>0</v>
      </c>
      <c r="BG60" t="b">
        <v>0</v>
      </c>
      <c r="BH60" t="b">
        <v>0</v>
      </c>
      <c r="BI60" t="b">
        <v>0</v>
      </c>
      <c r="BJ60" t="b">
        <v>0</v>
      </c>
      <c r="BK60" t="b">
        <v>0</v>
      </c>
      <c r="BL60" t="b">
        <v>0</v>
      </c>
      <c r="BM60" t="b">
        <v>0</v>
      </c>
      <c r="BN60" t="b">
        <v>0</v>
      </c>
      <c r="BO60" t="b">
        <v>0</v>
      </c>
      <c r="BP60" t="b">
        <v>0</v>
      </c>
      <c r="BQ60" t="b">
        <v>0</v>
      </c>
      <c r="BR60" t="b">
        <v>0</v>
      </c>
      <c r="BS60" t="b">
        <v>0</v>
      </c>
      <c r="BT60" t="b">
        <v>0</v>
      </c>
      <c r="BU60" t="b">
        <v>0</v>
      </c>
      <c r="BV60" t="b">
        <v>0</v>
      </c>
      <c r="BW60" t="b">
        <v>0</v>
      </c>
      <c r="BX60" t="b">
        <v>0</v>
      </c>
      <c r="BY60" t="b">
        <v>0</v>
      </c>
      <c r="BZ60" t="b">
        <v>0</v>
      </c>
      <c r="CA60" t="b">
        <v>0</v>
      </c>
      <c r="CB60" t="b">
        <v>0</v>
      </c>
      <c r="CC60" t="s">
        <v>1253</v>
      </c>
      <c r="CD60" t="s">
        <v>1492</v>
      </c>
      <c r="CE60" t="s">
        <v>1518</v>
      </c>
      <c r="CF60" t="s">
        <v>1495</v>
      </c>
      <c r="CG60" t="b">
        <v>0</v>
      </c>
      <c r="CH60">
        <v>0</v>
      </c>
      <c r="CI60" t="s">
        <v>1615</v>
      </c>
      <c r="CJ60" t="s">
        <v>1616</v>
      </c>
      <c r="CK60" t="s">
        <v>1251</v>
      </c>
      <c r="CL60" t="s">
        <v>1617</v>
      </c>
    </row>
    <row r="61" spans="1:90">
      <c r="A61">
        <v>502</v>
      </c>
      <c r="B61">
        <v>100022</v>
      </c>
      <c r="C61" t="s">
        <v>1250</v>
      </c>
      <c r="D61">
        <v>2</v>
      </c>
      <c r="E61" t="s">
        <v>1492</v>
      </c>
      <c r="F61">
        <v>8</v>
      </c>
      <c r="G61">
        <v>1</v>
      </c>
      <c r="H61">
        <v>2</v>
      </c>
      <c r="I61" t="s">
        <v>778</v>
      </c>
      <c r="J61" t="s">
        <v>1297</v>
      </c>
      <c r="K61" t="s">
        <v>15</v>
      </c>
      <c r="L61" t="s">
        <v>1511</v>
      </c>
      <c r="M61" t="s">
        <v>1492</v>
      </c>
      <c r="N61" t="s">
        <v>1492</v>
      </c>
      <c r="O61" t="s">
        <v>1285</v>
      </c>
      <c r="P61" t="s">
        <v>1383</v>
      </c>
      <c r="Q61" t="s">
        <v>1285</v>
      </c>
      <c r="R61" t="s">
        <v>1383</v>
      </c>
      <c r="S61" t="s">
        <v>1285</v>
      </c>
      <c r="T61" t="s">
        <v>1383</v>
      </c>
      <c r="U61" t="s">
        <v>1285</v>
      </c>
      <c r="V61" t="s">
        <v>1383</v>
      </c>
      <c r="W61" t="s">
        <v>1285</v>
      </c>
      <c r="X61" t="s">
        <v>1372</v>
      </c>
      <c r="Y61" t="s">
        <v>1257</v>
      </c>
      <c r="Z61" t="s">
        <v>1257</v>
      </c>
      <c r="AA61" t="s">
        <v>1257</v>
      </c>
      <c r="AB61" t="s">
        <v>1257</v>
      </c>
      <c r="AC61" t="b">
        <v>0</v>
      </c>
      <c r="AD61" t="b">
        <v>0</v>
      </c>
      <c r="AE61" t="b">
        <v>0</v>
      </c>
      <c r="AF61" t="b">
        <v>0</v>
      </c>
      <c r="AG61" t="b">
        <v>0</v>
      </c>
      <c r="AH61" t="b">
        <v>0</v>
      </c>
      <c r="AI61" t="b">
        <v>0</v>
      </c>
      <c r="AJ61" t="b">
        <v>0</v>
      </c>
      <c r="AK61" t="b">
        <v>0</v>
      </c>
      <c r="AL61" t="b">
        <v>0</v>
      </c>
      <c r="AM61" t="b">
        <v>0</v>
      </c>
      <c r="AN61" t="b">
        <v>0</v>
      </c>
      <c r="AO61" t="b">
        <v>0</v>
      </c>
      <c r="AP61" t="b">
        <v>0</v>
      </c>
      <c r="AQ61" t="b">
        <v>0</v>
      </c>
      <c r="AR61" t="b">
        <v>0</v>
      </c>
      <c r="AS61" t="b">
        <v>0</v>
      </c>
      <c r="AT61" t="b">
        <v>0</v>
      </c>
      <c r="AU61" t="b">
        <v>0</v>
      </c>
      <c r="AV61" t="b">
        <v>0</v>
      </c>
      <c r="AW61" t="b">
        <v>0</v>
      </c>
      <c r="AX61" t="b">
        <v>0</v>
      </c>
      <c r="AY61" t="b">
        <v>0</v>
      </c>
      <c r="AZ61" t="b">
        <v>0</v>
      </c>
      <c r="BA61" t="b">
        <v>0</v>
      </c>
      <c r="BB61" t="b">
        <v>0</v>
      </c>
      <c r="BC61" t="b">
        <v>0</v>
      </c>
      <c r="BD61" t="b">
        <v>0</v>
      </c>
      <c r="BE61" t="b">
        <v>0</v>
      </c>
      <c r="BF61" t="b">
        <v>0</v>
      </c>
      <c r="BG61" t="b">
        <v>0</v>
      </c>
      <c r="BH61" t="b">
        <v>0</v>
      </c>
      <c r="BI61" t="b">
        <v>0</v>
      </c>
      <c r="BJ61" t="b">
        <v>0</v>
      </c>
      <c r="BK61" t="b">
        <v>0</v>
      </c>
      <c r="BL61" t="b">
        <v>0</v>
      </c>
      <c r="BM61" t="b">
        <v>0</v>
      </c>
      <c r="BN61" t="b">
        <v>0</v>
      </c>
      <c r="BO61" t="b">
        <v>0</v>
      </c>
      <c r="BP61" t="b">
        <v>0</v>
      </c>
      <c r="BQ61" t="b">
        <v>0</v>
      </c>
      <c r="BR61" t="b">
        <v>0</v>
      </c>
      <c r="BS61" t="b">
        <v>0</v>
      </c>
      <c r="BT61" t="b">
        <v>0</v>
      </c>
      <c r="BU61" t="b">
        <v>0</v>
      </c>
      <c r="BV61" t="b">
        <v>0</v>
      </c>
      <c r="BW61" t="b">
        <v>0</v>
      </c>
      <c r="BX61" t="b">
        <v>0</v>
      </c>
      <c r="BY61" t="b">
        <v>0</v>
      </c>
      <c r="BZ61" t="b">
        <v>0</v>
      </c>
      <c r="CA61" t="b">
        <v>0</v>
      </c>
      <c r="CB61" t="b">
        <v>0</v>
      </c>
      <c r="CC61" t="s">
        <v>1253</v>
      </c>
      <c r="CD61" t="s">
        <v>1492</v>
      </c>
      <c r="CE61" t="s">
        <v>1518</v>
      </c>
      <c r="CF61" t="s">
        <v>1495</v>
      </c>
      <c r="CG61" t="b">
        <v>0</v>
      </c>
      <c r="CH61">
        <v>0</v>
      </c>
      <c r="CI61" t="s">
        <v>1618</v>
      </c>
      <c r="CJ61" t="s">
        <v>1616</v>
      </c>
      <c r="CK61" t="s">
        <v>1251</v>
      </c>
      <c r="CL61" t="s">
        <v>1619</v>
      </c>
    </row>
    <row r="62" spans="1:90">
      <c r="A62">
        <v>503</v>
      </c>
      <c r="B62">
        <v>100023</v>
      </c>
      <c r="C62" t="s">
        <v>1250</v>
      </c>
      <c r="D62">
        <v>1</v>
      </c>
      <c r="E62" t="s">
        <v>1492</v>
      </c>
      <c r="F62">
        <v>12</v>
      </c>
      <c r="G62">
        <v>1</v>
      </c>
      <c r="H62">
        <v>2</v>
      </c>
      <c r="I62" t="s">
        <v>618</v>
      </c>
      <c r="J62" t="s">
        <v>1297</v>
      </c>
      <c r="K62" t="s">
        <v>16</v>
      </c>
      <c r="L62" t="s">
        <v>1492</v>
      </c>
      <c r="M62" t="s">
        <v>1492</v>
      </c>
      <c r="N62" t="s">
        <v>1492</v>
      </c>
      <c r="O62" t="s">
        <v>1285</v>
      </c>
      <c r="P62" t="s">
        <v>1383</v>
      </c>
      <c r="Q62" t="s">
        <v>1285</v>
      </c>
      <c r="R62" t="s">
        <v>1383</v>
      </c>
      <c r="S62" t="s">
        <v>1285</v>
      </c>
      <c r="T62" t="s">
        <v>1383</v>
      </c>
      <c r="U62" t="s">
        <v>1285</v>
      </c>
      <c r="V62" t="s">
        <v>1383</v>
      </c>
      <c r="W62" t="s">
        <v>1285</v>
      </c>
      <c r="X62" t="s">
        <v>1372</v>
      </c>
      <c r="Y62" t="s">
        <v>1257</v>
      </c>
      <c r="Z62" t="s">
        <v>1257</v>
      </c>
      <c r="AA62" t="s">
        <v>1257</v>
      </c>
      <c r="AB62" t="s">
        <v>1257</v>
      </c>
      <c r="AC62" t="b">
        <v>0</v>
      </c>
      <c r="AD62" t="b">
        <v>0</v>
      </c>
      <c r="AE62" t="b">
        <v>0</v>
      </c>
      <c r="AF62" t="b">
        <v>0</v>
      </c>
      <c r="AG62" t="b">
        <v>0</v>
      </c>
      <c r="AH62" t="b">
        <v>0</v>
      </c>
      <c r="AI62" t="b">
        <v>0</v>
      </c>
      <c r="AJ62" t="b">
        <v>0</v>
      </c>
      <c r="AK62" t="b">
        <v>0</v>
      </c>
      <c r="AL62" t="b">
        <v>0</v>
      </c>
      <c r="AM62" t="b">
        <v>0</v>
      </c>
      <c r="AN62" t="b">
        <v>0</v>
      </c>
      <c r="AO62" t="b">
        <v>0</v>
      </c>
      <c r="AP62" t="b">
        <v>0</v>
      </c>
      <c r="AQ62" t="b">
        <v>0</v>
      </c>
      <c r="AR62" t="b">
        <v>0</v>
      </c>
      <c r="AS62" t="b">
        <v>0</v>
      </c>
      <c r="AT62" t="b">
        <v>0</v>
      </c>
      <c r="AU62" t="b">
        <v>0</v>
      </c>
      <c r="AV62" t="b">
        <v>0</v>
      </c>
      <c r="AW62" t="b">
        <v>0</v>
      </c>
      <c r="AX62" t="b">
        <v>0</v>
      </c>
      <c r="AY62" t="b">
        <v>0</v>
      </c>
      <c r="AZ62" t="b">
        <v>0</v>
      </c>
      <c r="BA62" t="b">
        <v>0</v>
      </c>
      <c r="BB62" t="b">
        <v>0</v>
      </c>
      <c r="BC62" t="b">
        <v>0</v>
      </c>
      <c r="BD62" t="b">
        <v>0</v>
      </c>
      <c r="BE62" t="b">
        <v>0</v>
      </c>
      <c r="BF62" t="b">
        <v>1</v>
      </c>
      <c r="BG62" t="b">
        <v>1</v>
      </c>
      <c r="BH62" t="b">
        <v>1</v>
      </c>
      <c r="BI62" t="b">
        <v>1</v>
      </c>
      <c r="BJ62" t="b">
        <v>1</v>
      </c>
      <c r="BK62" t="b">
        <v>1</v>
      </c>
      <c r="BL62" t="b">
        <v>1</v>
      </c>
      <c r="BM62" t="b">
        <v>1</v>
      </c>
      <c r="BN62" t="b">
        <v>1</v>
      </c>
      <c r="BO62" t="b">
        <v>1</v>
      </c>
      <c r="BP62" t="b">
        <v>0</v>
      </c>
      <c r="BQ62" t="b">
        <v>0</v>
      </c>
      <c r="BR62" t="b">
        <v>1</v>
      </c>
      <c r="BS62" t="b">
        <v>1</v>
      </c>
      <c r="BT62" t="b">
        <v>1</v>
      </c>
      <c r="BU62" t="b">
        <v>1</v>
      </c>
      <c r="BV62" t="b">
        <v>0</v>
      </c>
      <c r="BW62" t="b">
        <v>0</v>
      </c>
      <c r="BX62" t="b">
        <v>0</v>
      </c>
      <c r="BY62" t="b">
        <v>0</v>
      </c>
      <c r="BZ62" t="b">
        <v>0</v>
      </c>
      <c r="CA62" t="b">
        <v>0</v>
      </c>
      <c r="CB62" t="b">
        <v>0</v>
      </c>
      <c r="CC62" t="s">
        <v>1253</v>
      </c>
      <c r="CD62" t="s">
        <v>1492</v>
      </c>
      <c r="CE62" t="s">
        <v>1518</v>
      </c>
      <c r="CF62" t="s">
        <v>1495</v>
      </c>
      <c r="CG62" t="b">
        <v>0</v>
      </c>
      <c r="CH62">
        <v>0</v>
      </c>
      <c r="CI62" t="s">
        <v>1596</v>
      </c>
      <c r="CJ62" t="s">
        <v>1620</v>
      </c>
      <c r="CK62" t="s">
        <v>1251</v>
      </c>
      <c r="CL62" t="s">
        <v>1621</v>
      </c>
    </row>
    <row r="63" spans="1:90">
      <c r="A63">
        <v>504</v>
      </c>
      <c r="B63">
        <v>100023</v>
      </c>
      <c r="C63" t="s">
        <v>1250</v>
      </c>
      <c r="D63">
        <v>2</v>
      </c>
      <c r="E63" t="s">
        <v>1492</v>
      </c>
      <c r="F63">
        <v>12</v>
      </c>
      <c r="G63">
        <v>1</v>
      </c>
      <c r="H63">
        <v>2</v>
      </c>
      <c r="I63" t="s">
        <v>618</v>
      </c>
      <c r="J63" t="s">
        <v>1297</v>
      </c>
      <c r="K63" t="s">
        <v>16</v>
      </c>
      <c r="L63" t="s">
        <v>1511</v>
      </c>
      <c r="M63" t="s">
        <v>1492</v>
      </c>
      <c r="N63" t="s">
        <v>1492</v>
      </c>
      <c r="O63" t="s">
        <v>1285</v>
      </c>
      <c r="P63" t="s">
        <v>1383</v>
      </c>
      <c r="Q63" t="s">
        <v>1285</v>
      </c>
      <c r="R63" t="s">
        <v>1383</v>
      </c>
      <c r="S63" t="s">
        <v>1285</v>
      </c>
      <c r="T63" t="s">
        <v>1383</v>
      </c>
      <c r="U63" t="s">
        <v>1285</v>
      </c>
      <c r="V63" t="s">
        <v>1383</v>
      </c>
      <c r="W63" t="s">
        <v>1285</v>
      </c>
      <c r="X63" t="s">
        <v>1372</v>
      </c>
      <c r="Y63" t="s">
        <v>1257</v>
      </c>
      <c r="Z63" t="s">
        <v>1257</v>
      </c>
      <c r="AA63" t="s">
        <v>1257</v>
      </c>
      <c r="AB63" t="s">
        <v>1257</v>
      </c>
      <c r="AC63" t="b">
        <v>0</v>
      </c>
      <c r="AD63" t="b">
        <v>0</v>
      </c>
      <c r="AE63" t="b">
        <v>0</v>
      </c>
      <c r="AF63" t="b">
        <v>0</v>
      </c>
      <c r="AG63" t="b">
        <v>0</v>
      </c>
      <c r="AH63" t="b">
        <v>0</v>
      </c>
      <c r="AI63" t="b">
        <v>0</v>
      </c>
      <c r="AJ63" t="b">
        <v>0</v>
      </c>
      <c r="AK63" t="b">
        <v>0</v>
      </c>
      <c r="AL63" t="b">
        <v>0</v>
      </c>
      <c r="AM63" t="b">
        <v>0</v>
      </c>
      <c r="AN63" t="b">
        <v>0</v>
      </c>
      <c r="AO63" t="b">
        <v>0</v>
      </c>
      <c r="AP63" t="b">
        <v>0</v>
      </c>
      <c r="AQ63" t="b">
        <v>0</v>
      </c>
      <c r="AR63" t="b">
        <v>0</v>
      </c>
      <c r="AS63" t="b">
        <v>0</v>
      </c>
      <c r="AT63" t="b">
        <v>0</v>
      </c>
      <c r="AU63" t="b">
        <v>0</v>
      </c>
      <c r="AV63" t="b">
        <v>0</v>
      </c>
      <c r="AW63" t="b">
        <v>0</v>
      </c>
      <c r="AX63" t="b">
        <v>0</v>
      </c>
      <c r="AY63" t="b">
        <v>0</v>
      </c>
      <c r="AZ63" t="b">
        <v>0</v>
      </c>
      <c r="BA63" t="b">
        <v>0</v>
      </c>
      <c r="BB63" t="b">
        <v>0</v>
      </c>
      <c r="BC63" t="b">
        <v>0</v>
      </c>
      <c r="BD63" t="b">
        <v>0</v>
      </c>
      <c r="BE63" t="b">
        <v>0</v>
      </c>
      <c r="BF63" t="b">
        <v>1</v>
      </c>
      <c r="BG63" t="b">
        <v>1</v>
      </c>
      <c r="BH63" t="b">
        <v>1</v>
      </c>
      <c r="BI63" t="b">
        <v>1</v>
      </c>
      <c r="BJ63" t="b">
        <v>1</v>
      </c>
      <c r="BK63" t="b">
        <v>1</v>
      </c>
      <c r="BL63" t="b">
        <v>1</v>
      </c>
      <c r="BM63" t="b">
        <v>1</v>
      </c>
      <c r="BN63" t="b">
        <v>1</v>
      </c>
      <c r="BO63" t="b">
        <v>1</v>
      </c>
      <c r="BP63" t="b">
        <v>0</v>
      </c>
      <c r="BQ63" t="b">
        <v>0</v>
      </c>
      <c r="BR63" t="b">
        <v>1</v>
      </c>
      <c r="BS63" t="b">
        <v>1</v>
      </c>
      <c r="BT63" t="b">
        <v>1</v>
      </c>
      <c r="BU63" t="b">
        <v>1</v>
      </c>
      <c r="BV63" t="b">
        <v>0</v>
      </c>
      <c r="BW63" t="b">
        <v>0</v>
      </c>
      <c r="BX63" t="b">
        <v>0</v>
      </c>
      <c r="BY63" t="b">
        <v>0</v>
      </c>
      <c r="BZ63" t="b">
        <v>0</v>
      </c>
      <c r="CA63" t="b">
        <v>0</v>
      </c>
      <c r="CB63" t="b">
        <v>0</v>
      </c>
      <c r="CC63" t="s">
        <v>1253</v>
      </c>
      <c r="CD63" t="s">
        <v>1492</v>
      </c>
      <c r="CE63" t="s">
        <v>1518</v>
      </c>
      <c r="CF63" t="s">
        <v>1495</v>
      </c>
      <c r="CG63" t="b">
        <v>0</v>
      </c>
      <c r="CH63">
        <v>0</v>
      </c>
      <c r="CI63" t="s">
        <v>1596</v>
      </c>
      <c r="CJ63" t="s">
        <v>1620</v>
      </c>
      <c r="CK63" t="s">
        <v>1251</v>
      </c>
      <c r="CL63" t="s">
        <v>1622</v>
      </c>
    </row>
    <row r="64" spans="1:90">
      <c r="A64">
        <v>507</v>
      </c>
      <c r="B64">
        <v>100025</v>
      </c>
      <c r="C64" t="s">
        <v>1250</v>
      </c>
      <c r="D64">
        <v>1</v>
      </c>
      <c r="E64" t="s">
        <v>1492</v>
      </c>
      <c r="F64">
        <v>10</v>
      </c>
      <c r="G64">
        <v>1</v>
      </c>
      <c r="H64">
        <v>2</v>
      </c>
      <c r="I64" t="s">
        <v>844</v>
      </c>
      <c r="J64" t="s">
        <v>1297</v>
      </c>
      <c r="K64" t="s">
        <v>15</v>
      </c>
      <c r="L64" t="s">
        <v>1511</v>
      </c>
      <c r="M64" t="s">
        <v>1492</v>
      </c>
      <c r="N64" t="s">
        <v>1492</v>
      </c>
      <c r="O64" t="s">
        <v>1285</v>
      </c>
      <c r="P64" t="s">
        <v>1383</v>
      </c>
      <c r="Q64" t="s">
        <v>1285</v>
      </c>
      <c r="R64" t="s">
        <v>1383</v>
      </c>
      <c r="S64" t="s">
        <v>1285</v>
      </c>
      <c r="T64" t="s">
        <v>1383</v>
      </c>
      <c r="U64" t="s">
        <v>1285</v>
      </c>
      <c r="V64" t="s">
        <v>1383</v>
      </c>
      <c r="W64" t="s">
        <v>1285</v>
      </c>
      <c r="X64" t="s">
        <v>1372</v>
      </c>
      <c r="Y64" t="s">
        <v>1257</v>
      </c>
      <c r="Z64" t="s">
        <v>1257</v>
      </c>
      <c r="AA64" t="s">
        <v>1257</v>
      </c>
      <c r="AB64" t="s">
        <v>1257</v>
      </c>
      <c r="AC64" t="b">
        <v>0</v>
      </c>
      <c r="AD64" t="b">
        <v>0</v>
      </c>
      <c r="AE64" t="b">
        <v>0</v>
      </c>
      <c r="AF64" t="b">
        <v>0</v>
      </c>
      <c r="AG64" t="b">
        <v>0</v>
      </c>
      <c r="AH64" t="b">
        <v>0</v>
      </c>
      <c r="AI64" t="b">
        <v>0</v>
      </c>
      <c r="AJ64" t="b">
        <v>0</v>
      </c>
      <c r="AK64" t="b">
        <v>0</v>
      </c>
      <c r="AL64" t="b">
        <v>0</v>
      </c>
      <c r="AM64" t="b">
        <v>0</v>
      </c>
      <c r="AN64" t="b">
        <v>0</v>
      </c>
      <c r="AO64" t="b">
        <v>0</v>
      </c>
      <c r="AP64" t="b">
        <v>0</v>
      </c>
      <c r="AQ64" t="b">
        <v>0</v>
      </c>
      <c r="AR64" t="b">
        <v>0</v>
      </c>
      <c r="AS64" t="b">
        <v>0</v>
      </c>
      <c r="AT64" t="b">
        <v>0</v>
      </c>
      <c r="AU64" t="b">
        <v>0</v>
      </c>
      <c r="AV64" t="b">
        <v>0</v>
      </c>
      <c r="AW64" t="b">
        <v>0</v>
      </c>
      <c r="AX64" t="b">
        <v>0</v>
      </c>
      <c r="AY64" t="b">
        <v>0</v>
      </c>
      <c r="AZ64" t="b">
        <v>0</v>
      </c>
      <c r="BA64" t="b">
        <v>0</v>
      </c>
      <c r="BB64" t="b">
        <v>0</v>
      </c>
      <c r="BC64" t="b">
        <v>0</v>
      </c>
      <c r="BD64" t="b">
        <v>0</v>
      </c>
      <c r="BE64" t="b">
        <v>0</v>
      </c>
      <c r="BF64" t="b">
        <v>0</v>
      </c>
      <c r="BG64" t="b">
        <v>0</v>
      </c>
      <c r="BH64" t="b">
        <v>0</v>
      </c>
      <c r="BI64" t="b">
        <v>0</v>
      </c>
      <c r="BJ64" t="b">
        <v>0</v>
      </c>
      <c r="BK64" t="b">
        <v>0</v>
      </c>
      <c r="BL64" t="b">
        <v>0</v>
      </c>
      <c r="BM64" t="b">
        <v>0</v>
      </c>
      <c r="BN64" t="b">
        <v>0</v>
      </c>
      <c r="BO64" t="b">
        <v>0</v>
      </c>
      <c r="BP64" t="b">
        <v>0</v>
      </c>
      <c r="BQ64" t="b">
        <v>0</v>
      </c>
      <c r="BR64" t="b">
        <v>0</v>
      </c>
      <c r="BS64" t="b">
        <v>0</v>
      </c>
      <c r="BT64" t="b">
        <v>0</v>
      </c>
      <c r="BU64" t="b">
        <v>0</v>
      </c>
      <c r="BV64" t="b">
        <v>0</v>
      </c>
      <c r="BW64" t="b">
        <v>0</v>
      </c>
      <c r="BX64" t="b">
        <v>0</v>
      </c>
      <c r="BY64" t="b">
        <v>0</v>
      </c>
      <c r="BZ64" t="b">
        <v>0</v>
      </c>
      <c r="CA64" t="b">
        <v>0</v>
      </c>
      <c r="CB64" t="b">
        <v>0</v>
      </c>
      <c r="CC64" t="s">
        <v>1253</v>
      </c>
      <c r="CD64" t="s">
        <v>1492</v>
      </c>
      <c r="CE64" t="s">
        <v>1518</v>
      </c>
      <c r="CF64" t="s">
        <v>1495</v>
      </c>
      <c r="CG64" t="b">
        <v>0</v>
      </c>
      <c r="CH64">
        <v>0</v>
      </c>
      <c r="CI64" t="s">
        <v>1623</v>
      </c>
      <c r="CJ64" t="s">
        <v>1624</v>
      </c>
      <c r="CK64" t="s">
        <v>1251</v>
      </c>
      <c r="CL64" t="s">
        <v>1625</v>
      </c>
    </row>
    <row r="65" spans="1:90">
      <c r="A65">
        <v>508</v>
      </c>
      <c r="B65">
        <v>100025</v>
      </c>
      <c r="C65" t="s">
        <v>1250</v>
      </c>
      <c r="D65">
        <v>2</v>
      </c>
      <c r="E65" t="s">
        <v>1492</v>
      </c>
      <c r="F65">
        <v>10</v>
      </c>
      <c r="G65">
        <v>1</v>
      </c>
      <c r="H65">
        <v>2</v>
      </c>
      <c r="I65" t="s">
        <v>844</v>
      </c>
      <c r="J65" t="s">
        <v>1297</v>
      </c>
      <c r="K65" t="s">
        <v>15</v>
      </c>
      <c r="L65" t="s">
        <v>1511</v>
      </c>
      <c r="M65" t="s">
        <v>1492</v>
      </c>
      <c r="N65" t="s">
        <v>1492</v>
      </c>
      <c r="O65" t="s">
        <v>1285</v>
      </c>
      <c r="P65" t="s">
        <v>1383</v>
      </c>
      <c r="Q65" t="s">
        <v>1285</v>
      </c>
      <c r="R65" t="s">
        <v>1383</v>
      </c>
      <c r="S65" t="s">
        <v>1285</v>
      </c>
      <c r="T65" t="s">
        <v>1383</v>
      </c>
      <c r="U65" t="s">
        <v>1285</v>
      </c>
      <c r="V65" t="s">
        <v>1383</v>
      </c>
      <c r="W65" t="s">
        <v>1285</v>
      </c>
      <c r="X65" t="s">
        <v>1372</v>
      </c>
      <c r="Y65" t="s">
        <v>1257</v>
      </c>
      <c r="Z65" t="s">
        <v>1257</v>
      </c>
      <c r="AA65" t="s">
        <v>1257</v>
      </c>
      <c r="AB65" t="s">
        <v>1257</v>
      </c>
      <c r="AC65" t="b">
        <v>0</v>
      </c>
      <c r="AD65" t="b">
        <v>0</v>
      </c>
      <c r="AE65" t="b">
        <v>0</v>
      </c>
      <c r="AF65" t="b">
        <v>0</v>
      </c>
      <c r="AG65" t="b">
        <v>0</v>
      </c>
      <c r="AH65" t="b">
        <v>0</v>
      </c>
      <c r="AI65" t="b">
        <v>0</v>
      </c>
      <c r="AJ65" t="b">
        <v>0</v>
      </c>
      <c r="AK65" t="b">
        <v>0</v>
      </c>
      <c r="AL65" t="b">
        <v>0</v>
      </c>
      <c r="AM65" t="b">
        <v>0</v>
      </c>
      <c r="AN65" t="b">
        <v>0</v>
      </c>
      <c r="AO65" t="b">
        <v>0</v>
      </c>
      <c r="AP65" t="b">
        <v>0</v>
      </c>
      <c r="AQ65" t="b">
        <v>0</v>
      </c>
      <c r="AR65" t="b">
        <v>0</v>
      </c>
      <c r="AS65" t="b">
        <v>0</v>
      </c>
      <c r="AT65" t="b">
        <v>0</v>
      </c>
      <c r="AU65" t="b">
        <v>0</v>
      </c>
      <c r="AV65" t="b">
        <v>0</v>
      </c>
      <c r="AW65" t="b">
        <v>0</v>
      </c>
      <c r="AX65" t="b">
        <v>0</v>
      </c>
      <c r="AY65" t="b">
        <v>0</v>
      </c>
      <c r="AZ65" t="b">
        <v>0</v>
      </c>
      <c r="BA65" t="b">
        <v>0</v>
      </c>
      <c r="BB65" t="b">
        <v>0</v>
      </c>
      <c r="BC65" t="b">
        <v>0</v>
      </c>
      <c r="BD65" t="b">
        <v>0</v>
      </c>
      <c r="BE65" t="b">
        <v>0</v>
      </c>
      <c r="BF65" t="b">
        <v>0</v>
      </c>
      <c r="BG65" t="b">
        <v>0</v>
      </c>
      <c r="BH65" t="b">
        <v>0</v>
      </c>
      <c r="BI65" t="b">
        <v>0</v>
      </c>
      <c r="BJ65" t="b">
        <v>0</v>
      </c>
      <c r="BK65" t="b">
        <v>0</v>
      </c>
      <c r="BL65" t="b">
        <v>0</v>
      </c>
      <c r="BM65" t="b">
        <v>0</v>
      </c>
      <c r="BN65" t="b">
        <v>0</v>
      </c>
      <c r="BO65" t="b">
        <v>0</v>
      </c>
      <c r="BP65" t="b">
        <v>0</v>
      </c>
      <c r="BQ65" t="b">
        <v>0</v>
      </c>
      <c r="BR65" t="b">
        <v>0</v>
      </c>
      <c r="BS65" t="b">
        <v>0</v>
      </c>
      <c r="BT65" t="b">
        <v>0</v>
      </c>
      <c r="BU65" t="b">
        <v>0</v>
      </c>
      <c r="BV65" t="b">
        <v>0</v>
      </c>
      <c r="BW65" t="b">
        <v>0</v>
      </c>
      <c r="BX65" t="b">
        <v>0</v>
      </c>
      <c r="BY65" t="b">
        <v>0</v>
      </c>
      <c r="BZ65" t="b">
        <v>0</v>
      </c>
      <c r="CA65" t="b">
        <v>0</v>
      </c>
      <c r="CB65" t="b">
        <v>0</v>
      </c>
      <c r="CC65" t="s">
        <v>1253</v>
      </c>
      <c r="CD65" t="s">
        <v>1492</v>
      </c>
      <c r="CE65" t="s">
        <v>1518</v>
      </c>
      <c r="CF65" t="s">
        <v>1495</v>
      </c>
      <c r="CG65" t="b">
        <v>0</v>
      </c>
      <c r="CH65">
        <v>0</v>
      </c>
      <c r="CI65" t="s">
        <v>1623</v>
      </c>
      <c r="CJ65" t="s">
        <v>1624</v>
      </c>
      <c r="CK65" t="s">
        <v>1251</v>
      </c>
      <c r="CL65" t="s">
        <v>1626</v>
      </c>
    </row>
    <row r="66" spans="1:90">
      <c r="A66">
        <v>509</v>
      </c>
      <c r="B66">
        <v>100026</v>
      </c>
      <c r="C66" t="s">
        <v>1250</v>
      </c>
      <c r="D66">
        <v>1</v>
      </c>
      <c r="E66" t="s">
        <v>1492</v>
      </c>
      <c r="F66">
        <v>12</v>
      </c>
      <c r="G66">
        <v>1</v>
      </c>
      <c r="H66">
        <v>2</v>
      </c>
      <c r="I66" t="s">
        <v>1492</v>
      </c>
      <c r="J66" t="s">
        <v>1297</v>
      </c>
      <c r="K66" t="s">
        <v>16</v>
      </c>
      <c r="L66" t="s">
        <v>1492</v>
      </c>
      <c r="M66" t="s">
        <v>1492</v>
      </c>
      <c r="N66" t="s">
        <v>1492</v>
      </c>
      <c r="O66" t="s">
        <v>1285</v>
      </c>
      <c r="P66" t="s">
        <v>1383</v>
      </c>
      <c r="Q66" t="s">
        <v>1285</v>
      </c>
      <c r="R66" t="s">
        <v>1383</v>
      </c>
      <c r="S66" t="s">
        <v>1285</v>
      </c>
      <c r="T66" t="s">
        <v>1383</v>
      </c>
      <c r="U66" t="s">
        <v>1285</v>
      </c>
      <c r="V66" t="s">
        <v>1383</v>
      </c>
      <c r="W66" t="s">
        <v>1285</v>
      </c>
      <c r="X66" t="s">
        <v>1372</v>
      </c>
      <c r="Y66" t="s">
        <v>1257</v>
      </c>
      <c r="Z66" t="s">
        <v>1257</v>
      </c>
      <c r="AA66" t="s">
        <v>1257</v>
      </c>
      <c r="AB66" t="s">
        <v>1257</v>
      </c>
      <c r="AC66" t="b">
        <v>0</v>
      </c>
      <c r="AD66" t="b">
        <v>0</v>
      </c>
      <c r="AE66" t="b">
        <v>0</v>
      </c>
      <c r="AF66" t="b">
        <v>0</v>
      </c>
      <c r="AG66" t="b">
        <v>0</v>
      </c>
      <c r="AH66" t="b">
        <v>0</v>
      </c>
      <c r="AI66" t="b">
        <v>0</v>
      </c>
      <c r="AJ66" t="b">
        <v>0</v>
      </c>
      <c r="AK66" t="b">
        <v>0</v>
      </c>
      <c r="AL66" t="b">
        <v>0</v>
      </c>
      <c r="AM66" t="b">
        <v>0</v>
      </c>
      <c r="AN66" t="b">
        <v>0</v>
      </c>
      <c r="AO66" t="b">
        <v>0</v>
      </c>
      <c r="AP66" t="b">
        <v>0</v>
      </c>
      <c r="AQ66" t="b">
        <v>0</v>
      </c>
      <c r="AR66" t="b">
        <v>0</v>
      </c>
      <c r="AS66" t="b">
        <v>0</v>
      </c>
      <c r="AT66" t="b">
        <v>0</v>
      </c>
      <c r="AU66" t="b">
        <v>0</v>
      </c>
      <c r="AV66" t="b">
        <v>0</v>
      </c>
      <c r="AW66" t="b">
        <v>0</v>
      </c>
      <c r="AX66" t="b">
        <v>0</v>
      </c>
      <c r="AY66" t="b">
        <v>0</v>
      </c>
      <c r="AZ66" t="b">
        <v>0</v>
      </c>
      <c r="BA66" t="b">
        <v>0</v>
      </c>
      <c r="BB66" t="b">
        <v>0</v>
      </c>
      <c r="BC66" t="b">
        <v>0</v>
      </c>
      <c r="BD66" t="b">
        <v>0</v>
      </c>
      <c r="BE66" t="b">
        <v>0</v>
      </c>
      <c r="BF66" t="b">
        <v>0</v>
      </c>
      <c r="BG66" t="b">
        <v>0</v>
      </c>
      <c r="BH66" t="b">
        <v>0</v>
      </c>
      <c r="BI66" t="b">
        <v>0</v>
      </c>
      <c r="BJ66" t="b">
        <v>0</v>
      </c>
      <c r="BK66" t="b">
        <v>0</v>
      </c>
      <c r="BL66" t="b">
        <v>0</v>
      </c>
      <c r="BM66" t="b">
        <v>0</v>
      </c>
      <c r="BN66" t="b">
        <v>0</v>
      </c>
      <c r="BO66" t="b">
        <v>0</v>
      </c>
      <c r="BP66" t="b">
        <v>0</v>
      </c>
      <c r="BQ66" t="b">
        <v>0</v>
      </c>
      <c r="BR66" t="b">
        <v>0</v>
      </c>
      <c r="BS66" t="b">
        <v>0</v>
      </c>
      <c r="BT66" t="b">
        <v>0</v>
      </c>
      <c r="BU66" t="b">
        <v>0</v>
      </c>
      <c r="BV66" t="b">
        <v>0</v>
      </c>
      <c r="BW66" t="b">
        <v>0</v>
      </c>
      <c r="BX66" t="b">
        <v>0</v>
      </c>
      <c r="BY66" t="b">
        <v>0</v>
      </c>
      <c r="BZ66" t="b">
        <v>0</v>
      </c>
      <c r="CA66" t="b">
        <v>0</v>
      </c>
      <c r="CB66" t="b">
        <v>0</v>
      </c>
      <c r="CC66" t="s">
        <v>1253</v>
      </c>
      <c r="CD66" t="s">
        <v>1492</v>
      </c>
      <c r="CE66" t="s">
        <v>1518</v>
      </c>
      <c r="CF66" t="s">
        <v>1495</v>
      </c>
      <c r="CG66" t="b">
        <v>0</v>
      </c>
      <c r="CH66">
        <v>0</v>
      </c>
      <c r="CI66" t="s">
        <v>1596</v>
      </c>
      <c r="CJ66" t="s">
        <v>1627</v>
      </c>
      <c r="CK66" t="s">
        <v>1251</v>
      </c>
      <c r="CL66" t="s">
        <v>1628</v>
      </c>
    </row>
    <row r="67" spans="1:90">
      <c r="A67">
        <v>510</v>
      </c>
      <c r="B67">
        <v>100026</v>
      </c>
      <c r="C67" t="s">
        <v>1250</v>
      </c>
      <c r="D67">
        <v>2</v>
      </c>
      <c r="E67" t="s">
        <v>1492</v>
      </c>
      <c r="F67">
        <v>12</v>
      </c>
      <c r="G67">
        <v>1</v>
      </c>
      <c r="H67">
        <v>2</v>
      </c>
      <c r="I67" t="s">
        <v>1492</v>
      </c>
      <c r="J67" t="s">
        <v>1297</v>
      </c>
      <c r="K67" t="s">
        <v>16</v>
      </c>
      <c r="L67" t="s">
        <v>1511</v>
      </c>
      <c r="M67" t="s">
        <v>1492</v>
      </c>
      <c r="N67" t="s">
        <v>1492</v>
      </c>
      <c r="O67" t="s">
        <v>1285</v>
      </c>
      <c r="P67" t="s">
        <v>1383</v>
      </c>
      <c r="Q67" t="s">
        <v>1285</v>
      </c>
      <c r="R67" t="s">
        <v>1383</v>
      </c>
      <c r="S67" t="s">
        <v>1285</v>
      </c>
      <c r="T67" t="s">
        <v>1383</v>
      </c>
      <c r="U67" t="s">
        <v>1285</v>
      </c>
      <c r="V67" t="s">
        <v>1383</v>
      </c>
      <c r="W67" t="s">
        <v>1285</v>
      </c>
      <c r="X67" t="s">
        <v>1372</v>
      </c>
      <c r="Y67" t="s">
        <v>1257</v>
      </c>
      <c r="Z67" t="s">
        <v>1257</v>
      </c>
      <c r="AA67" t="s">
        <v>1257</v>
      </c>
      <c r="AB67" t="s">
        <v>1257</v>
      </c>
      <c r="AC67" t="b">
        <v>0</v>
      </c>
      <c r="AD67" t="b">
        <v>0</v>
      </c>
      <c r="AE67" t="b">
        <v>0</v>
      </c>
      <c r="AF67" t="b">
        <v>0</v>
      </c>
      <c r="AG67" t="b">
        <v>0</v>
      </c>
      <c r="AH67" t="b">
        <v>0</v>
      </c>
      <c r="AI67" t="b">
        <v>0</v>
      </c>
      <c r="AJ67" t="b">
        <v>0</v>
      </c>
      <c r="AK67" t="b">
        <v>0</v>
      </c>
      <c r="AL67" t="b">
        <v>0</v>
      </c>
      <c r="AM67" t="b">
        <v>0</v>
      </c>
      <c r="AN67" t="b">
        <v>0</v>
      </c>
      <c r="AO67" t="b">
        <v>0</v>
      </c>
      <c r="AP67" t="b">
        <v>0</v>
      </c>
      <c r="AQ67" t="b">
        <v>0</v>
      </c>
      <c r="AR67" t="b">
        <v>0</v>
      </c>
      <c r="AS67" t="b">
        <v>0</v>
      </c>
      <c r="AT67" t="b">
        <v>0</v>
      </c>
      <c r="AU67" t="b">
        <v>0</v>
      </c>
      <c r="AV67" t="b">
        <v>0</v>
      </c>
      <c r="AW67" t="b">
        <v>0</v>
      </c>
      <c r="AX67" t="b">
        <v>0</v>
      </c>
      <c r="AY67" t="b">
        <v>0</v>
      </c>
      <c r="AZ67" t="b">
        <v>0</v>
      </c>
      <c r="BA67" t="b">
        <v>0</v>
      </c>
      <c r="BB67" t="b">
        <v>0</v>
      </c>
      <c r="BC67" t="b">
        <v>0</v>
      </c>
      <c r="BD67" t="b">
        <v>0</v>
      </c>
      <c r="BE67" t="b">
        <v>0</v>
      </c>
      <c r="BF67" t="b">
        <v>0</v>
      </c>
      <c r="BG67" t="b">
        <v>0</v>
      </c>
      <c r="BH67" t="b">
        <v>0</v>
      </c>
      <c r="BI67" t="b">
        <v>0</v>
      </c>
      <c r="BJ67" t="b">
        <v>0</v>
      </c>
      <c r="BK67" t="b">
        <v>0</v>
      </c>
      <c r="BL67" t="b">
        <v>0</v>
      </c>
      <c r="BM67" t="b">
        <v>0</v>
      </c>
      <c r="BN67" t="b">
        <v>0</v>
      </c>
      <c r="BO67" t="b">
        <v>0</v>
      </c>
      <c r="BP67" t="b">
        <v>0</v>
      </c>
      <c r="BQ67" t="b">
        <v>0</v>
      </c>
      <c r="BR67" t="b">
        <v>0</v>
      </c>
      <c r="BS67" t="b">
        <v>0</v>
      </c>
      <c r="BT67" t="b">
        <v>0</v>
      </c>
      <c r="BU67" t="b">
        <v>0</v>
      </c>
      <c r="BV67" t="b">
        <v>0</v>
      </c>
      <c r="BW67" t="b">
        <v>0</v>
      </c>
      <c r="BX67" t="b">
        <v>0</v>
      </c>
      <c r="BY67" t="b">
        <v>0</v>
      </c>
      <c r="BZ67" t="b">
        <v>0</v>
      </c>
      <c r="CA67" t="b">
        <v>0</v>
      </c>
      <c r="CB67" t="b">
        <v>0</v>
      </c>
      <c r="CC67" t="s">
        <v>1253</v>
      </c>
      <c r="CD67" t="s">
        <v>1492</v>
      </c>
      <c r="CE67" t="s">
        <v>1518</v>
      </c>
      <c r="CF67" t="s">
        <v>1495</v>
      </c>
      <c r="CG67" t="b">
        <v>0</v>
      </c>
      <c r="CH67">
        <v>0</v>
      </c>
      <c r="CI67" t="s">
        <v>1629</v>
      </c>
      <c r="CJ67" t="s">
        <v>1627</v>
      </c>
      <c r="CK67" t="s">
        <v>1251</v>
      </c>
      <c r="CL67" t="s">
        <v>1630</v>
      </c>
    </row>
    <row r="68" spans="1:90">
      <c r="A68">
        <v>535</v>
      </c>
      <c r="B68">
        <v>100042</v>
      </c>
      <c r="C68" t="s">
        <v>1250</v>
      </c>
      <c r="D68">
        <v>1</v>
      </c>
      <c r="E68" t="s">
        <v>1492</v>
      </c>
      <c r="F68">
        <v>40</v>
      </c>
      <c r="G68">
        <v>1</v>
      </c>
      <c r="H68">
        <v>2</v>
      </c>
      <c r="I68" t="s">
        <v>812</v>
      </c>
      <c r="J68" t="s">
        <v>1254</v>
      </c>
      <c r="K68" t="s">
        <v>15</v>
      </c>
      <c r="L68" t="s">
        <v>1493</v>
      </c>
      <c r="M68" t="s">
        <v>1492</v>
      </c>
      <c r="N68" t="s">
        <v>1492</v>
      </c>
      <c r="O68" t="s">
        <v>1302</v>
      </c>
      <c r="P68" t="s">
        <v>1379</v>
      </c>
      <c r="Q68" t="s">
        <v>1302</v>
      </c>
      <c r="R68" t="s">
        <v>1379</v>
      </c>
      <c r="S68" t="s">
        <v>1302</v>
      </c>
      <c r="T68" t="s">
        <v>1379</v>
      </c>
      <c r="U68" t="s">
        <v>1302</v>
      </c>
      <c r="V68" t="s">
        <v>1379</v>
      </c>
      <c r="W68" t="s">
        <v>1302</v>
      </c>
      <c r="X68" t="s">
        <v>1355</v>
      </c>
      <c r="Y68" t="s">
        <v>1257</v>
      </c>
      <c r="Z68" t="s">
        <v>1257</v>
      </c>
      <c r="AA68" t="s">
        <v>1257</v>
      </c>
      <c r="AB68" t="s">
        <v>1257</v>
      </c>
      <c r="AC68" t="b">
        <v>0</v>
      </c>
      <c r="AD68" t="b">
        <v>0</v>
      </c>
      <c r="AE68" t="b">
        <v>0</v>
      </c>
      <c r="AF68" t="b">
        <v>0</v>
      </c>
      <c r="AG68" t="b">
        <v>0</v>
      </c>
      <c r="AH68" t="b">
        <v>0</v>
      </c>
      <c r="AI68" t="b">
        <v>0</v>
      </c>
      <c r="AJ68" t="b">
        <v>0</v>
      </c>
      <c r="AK68" t="b">
        <v>0</v>
      </c>
      <c r="AL68" t="b">
        <v>0</v>
      </c>
      <c r="AM68" t="b">
        <v>0</v>
      </c>
      <c r="AN68" t="b">
        <v>0</v>
      </c>
      <c r="AO68" t="b">
        <v>0</v>
      </c>
      <c r="AP68" t="b">
        <v>0</v>
      </c>
      <c r="AQ68" t="b">
        <v>0</v>
      </c>
      <c r="AR68" t="b">
        <v>0</v>
      </c>
      <c r="AS68" t="b">
        <v>0</v>
      </c>
      <c r="AT68" t="b">
        <v>0</v>
      </c>
      <c r="AU68" t="b">
        <v>0</v>
      </c>
      <c r="AV68" t="b">
        <v>0</v>
      </c>
      <c r="AW68" t="b">
        <v>0</v>
      </c>
      <c r="AX68" t="b">
        <v>0</v>
      </c>
      <c r="AY68" t="b">
        <v>0</v>
      </c>
      <c r="AZ68" t="b">
        <v>0</v>
      </c>
      <c r="BA68" t="b">
        <v>0</v>
      </c>
      <c r="BB68" t="b">
        <v>0</v>
      </c>
      <c r="BC68" t="b">
        <v>0</v>
      </c>
      <c r="BD68" t="b">
        <v>0</v>
      </c>
      <c r="BE68" t="b">
        <v>0</v>
      </c>
      <c r="BF68" t="b">
        <v>0</v>
      </c>
      <c r="BG68" t="b">
        <v>0</v>
      </c>
      <c r="BH68" t="b">
        <v>0</v>
      </c>
      <c r="BI68" t="b">
        <v>0</v>
      </c>
      <c r="BJ68" t="b">
        <v>0</v>
      </c>
      <c r="BK68" t="b">
        <v>0</v>
      </c>
      <c r="BL68" t="b">
        <v>0</v>
      </c>
      <c r="BM68" t="b">
        <v>0</v>
      </c>
      <c r="BN68" t="b">
        <v>0</v>
      </c>
      <c r="BO68" t="b">
        <v>0</v>
      </c>
      <c r="BP68" t="b">
        <v>0</v>
      </c>
      <c r="BQ68" t="b">
        <v>0</v>
      </c>
      <c r="BR68" t="b">
        <v>0</v>
      </c>
      <c r="BS68" t="b">
        <v>0</v>
      </c>
      <c r="BT68" t="b">
        <v>0</v>
      </c>
      <c r="BU68" t="b">
        <v>0</v>
      </c>
      <c r="BV68" t="b">
        <v>0</v>
      </c>
      <c r="BW68" t="b">
        <v>0</v>
      </c>
      <c r="BX68" t="b">
        <v>0</v>
      </c>
      <c r="BY68" t="b">
        <v>0</v>
      </c>
      <c r="BZ68" t="b">
        <v>0</v>
      </c>
      <c r="CA68" t="b">
        <v>0</v>
      </c>
      <c r="CB68" t="b">
        <v>0</v>
      </c>
      <c r="CC68" t="s">
        <v>1253</v>
      </c>
      <c r="CD68" t="s">
        <v>1492</v>
      </c>
      <c r="CE68" t="s">
        <v>1513</v>
      </c>
      <c r="CF68" t="s">
        <v>1495</v>
      </c>
      <c r="CG68" t="b">
        <v>0</v>
      </c>
      <c r="CH68">
        <v>0</v>
      </c>
      <c r="CI68" t="s">
        <v>1631</v>
      </c>
      <c r="CJ68" t="s">
        <v>1632</v>
      </c>
      <c r="CK68" t="s">
        <v>1251</v>
      </c>
      <c r="CL68" t="s">
        <v>1633</v>
      </c>
    </row>
    <row r="69" spans="1:90">
      <c r="A69">
        <v>536</v>
      </c>
      <c r="B69">
        <v>100042</v>
      </c>
      <c r="C69" t="s">
        <v>1250</v>
      </c>
      <c r="D69">
        <v>2</v>
      </c>
      <c r="E69" t="s">
        <v>1492</v>
      </c>
      <c r="F69">
        <v>40</v>
      </c>
      <c r="G69">
        <v>1</v>
      </c>
      <c r="H69">
        <v>2</v>
      </c>
      <c r="I69" t="s">
        <v>812</v>
      </c>
      <c r="J69" t="s">
        <v>1254</v>
      </c>
      <c r="K69" t="s">
        <v>15</v>
      </c>
      <c r="L69" t="s">
        <v>1493</v>
      </c>
      <c r="M69" t="s">
        <v>1492</v>
      </c>
      <c r="N69" t="s">
        <v>1492</v>
      </c>
      <c r="O69" t="s">
        <v>1302</v>
      </c>
      <c r="P69" t="s">
        <v>1379</v>
      </c>
      <c r="Q69" t="s">
        <v>1302</v>
      </c>
      <c r="R69" t="s">
        <v>1379</v>
      </c>
      <c r="S69" t="s">
        <v>1302</v>
      </c>
      <c r="T69" t="s">
        <v>1379</v>
      </c>
      <c r="U69" t="s">
        <v>1302</v>
      </c>
      <c r="V69" t="s">
        <v>1379</v>
      </c>
      <c r="W69" t="s">
        <v>1302</v>
      </c>
      <c r="X69" t="s">
        <v>1355</v>
      </c>
      <c r="Y69" t="s">
        <v>1257</v>
      </c>
      <c r="Z69" t="s">
        <v>1257</v>
      </c>
      <c r="AA69" t="s">
        <v>1257</v>
      </c>
      <c r="AB69" t="s">
        <v>1257</v>
      </c>
      <c r="AC69" t="b">
        <v>0</v>
      </c>
      <c r="AD69" t="b">
        <v>0</v>
      </c>
      <c r="AE69" t="b">
        <v>0</v>
      </c>
      <c r="AF69" t="b">
        <v>0</v>
      </c>
      <c r="AG69" t="b">
        <v>0</v>
      </c>
      <c r="AH69" t="b">
        <v>0</v>
      </c>
      <c r="AI69" t="b">
        <v>0</v>
      </c>
      <c r="AJ69" t="b">
        <v>0</v>
      </c>
      <c r="AK69" t="b">
        <v>0</v>
      </c>
      <c r="AL69" t="b">
        <v>0</v>
      </c>
      <c r="AM69" t="b">
        <v>0</v>
      </c>
      <c r="AN69" t="b">
        <v>0</v>
      </c>
      <c r="AO69" t="b">
        <v>0</v>
      </c>
      <c r="AP69" t="b">
        <v>0</v>
      </c>
      <c r="AQ69" t="b">
        <v>0</v>
      </c>
      <c r="AR69" t="b">
        <v>0</v>
      </c>
      <c r="AS69" t="b">
        <v>0</v>
      </c>
      <c r="AT69" t="b">
        <v>0</v>
      </c>
      <c r="AU69" t="b">
        <v>0</v>
      </c>
      <c r="AV69" t="b">
        <v>0</v>
      </c>
      <c r="AW69" t="b">
        <v>0</v>
      </c>
      <c r="AX69" t="b">
        <v>0</v>
      </c>
      <c r="AY69" t="b">
        <v>0</v>
      </c>
      <c r="AZ69" t="b">
        <v>0</v>
      </c>
      <c r="BA69" t="b">
        <v>0</v>
      </c>
      <c r="BB69" t="b">
        <v>0</v>
      </c>
      <c r="BC69" t="b">
        <v>0</v>
      </c>
      <c r="BD69" t="b">
        <v>0</v>
      </c>
      <c r="BE69" t="b">
        <v>0</v>
      </c>
      <c r="BF69" t="b">
        <v>0</v>
      </c>
      <c r="BG69" t="b">
        <v>0</v>
      </c>
      <c r="BH69" t="b">
        <v>0</v>
      </c>
      <c r="BI69" t="b">
        <v>0</v>
      </c>
      <c r="BJ69" t="b">
        <v>0</v>
      </c>
      <c r="BK69" t="b">
        <v>0</v>
      </c>
      <c r="BL69" t="b">
        <v>0</v>
      </c>
      <c r="BM69" t="b">
        <v>0</v>
      </c>
      <c r="BN69" t="b">
        <v>0</v>
      </c>
      <c r="BO69" t="b">
        <v>0</v>
      </c>
      <c r="BP69" t="b">
        <v>0</v>
      </c>
      <c r="BQ69" t="b">
        <v>0</v>
      </c>
      <c r="BR69" t="b">
        <v>0</v>
      </c>
      <c r="BS69" t="b">
        <v>0</v>
      </c>
      <c r="BT69" t="b">
        <v>0</v>
      </c>
      <c r="BU69" t="b">
        <v>0</v>
      </c>
      <c r="BV69" t="b">
        <v>0</v>
      </c>
      <c r="BW69" t="b">
        <v>0</v>
      </c>
      <c r="BX69" t="b">
        <v>0</v>
      </c>
      <c r="BY69" t="b">
        <v>0</v>
      </c>
      <c r="BZ69" t="b">
        <v>0</v>
      </c>
      <c r="CA69" t="b">
        <v>0</v>
      </c>
      <c r="CB69" t="b">
        <v>0</v>
      </c>
      <c r="CC69" t="s">
        <v>1253</v>
      </c>
      <c r="CD69" t="s">
        <v>1492</v>
      </c>
      <c r="CE69" t="s">
        <v>1513</v>
      </c>
      <c r="CF69" t="s">
        <v>1495</v>
      </c>
      <c r="CG69" t="b">
        <v>0</v>
      </c>
      <c r="CH69">
        <v>0</v>
      </c>
      <c r="CI69" t="s">
        <v>1634</v>
      </c>
      <c r="CJ69" t="s">
        <v>1632</v>
      </c>
      <c r="CK69" t="s">
        <v>1251</v>
      </c>
      <c r="CL69" t="s">
        <v>1635</v>
      </c>
    </row>
    <row r="70" spans="1:90">
      <c r="A70">
        <v>537</v>
      </c>
      <c r="B70">
        <v>100059</v>
      </c>
      <c r="C70" t="s">
        <v>1250</v>
      </c>
      <c r="D70">
        <v>1</v>
      </c>
      <c r="E70" t="s">
        <v>1492</v>
      </c>
      <c r="F70">
        <v>15</v>
      </c>
      <c r="G70">
        <v>1</v>
      </c>
      <c r="H70">
        <v>2</v>
      </c>
      <c r="I70" t="s">
        <v>812</v>
      </c>
      <c r="J70" t="s">
        <v>1254</v>
      </c>
      <c r="K70" t="s">
        <v>15</v>
      </c>
      <c r="L70" t="s">
        <v>1493</v>
      </c>
      <c r="M70" t="s">
        <v>1492</v>
      </c>
      <c r="N70" t="s">
        <v>1492</v>
      </c>
      <c r="O70" t="s">
        <v>1285</v>
      </c>
      <c r="P70" t="s">
        <v>1383</v>
      </c>
      <c r="Q70" t="s">
        <v>1285</v>
      </c>
      <c r="R70" t="s">
        <v>1383</v>
      </c>
      <c r="S70" t="s">
        <v>1285</v>
      </c>
      <c r="T70" t="s">
        <v>1383</v>
      </c>
      <c r="U70" t="s">
        <v>1285</v>
      </c>
      <c r="V70" t="s">
        <v>1383</v>
      </c>
      <c r="W70" t="s">
        <v>1285</v>
      </c>
      <c r="X70" t="s">
        <v>1372</v>
      </c>
      <c r="Y70" t="s">
        <v>1257</v>
      </c>
      <c r="Z70" t="s">
        <v>1257</v>
      </c>
      <c r="AA70" t="s">
        <v>1257</v>
      </c>
      <c r="AB70" t="s">
        <v>1257</v>
      </c>
      <c r="AC70" t="b">
        <v>0</v>
      </c>
      <c r="AD70" t="b">
        <v>0</v>
      </c>
      <c r="AE70" t="b">
        <v>0</v>
      </c>
      <c r="AF70" t="b">
        <v>0</v>
      </c>
      <c r="AG70" t="b">
        <v>0</v>
      </c>
      <c r="AH70" t="b">
        <v>0</v>
      </c>
      <c r="AI70" t="b">
        <v>0</v>
      </c>
      <c r="AJ70" t="b">
        <v>0</v>
      </c>
      <c r="AK70" t="b">
        <v>0</v>
      </c>
      <c r="AL70" t="b">
        <v>0</v>
      </c>
      <c r="AM70" t="b">
        <v>0</v>
      </c>
      <c r="AN70" t="b">
        <v>0</v>
      </c>
      <c r="AO70" t="b">
        <v>0</v>
      </c>
      <c r="AP70" t="b">
        <v>0</v>
      </c>
      <c r="AQ70" t="b">
        <v>0</v>
      </c>
      <c r="AR70" t="b">
        <v>0</v>
      </c>
      <c r="AS70" t="b">
        <v>0</v>
      </c>
      <c r="AT70" t="b">
        <v>0</v>
      </c>
      <c r="AU70" t="b">
        <v>0</v>
      </c>
      <c r="AV70" t="b">
        <v>0</v>
      </c>
      <c r="AW70" t="b">
        <v>0</v>
      </c>
      <c r="AX70" t="b">
        <v>0</v>
      </c>
      <c r="AY70" t="b">
        <v>0</v>
      </c>
      <c r="AZ70" t="b">
        <v>0</v>
      </c>
      <c r="BA70" t="b">
        <v>0</v>
      </c>
      <c r="BB70" t="b">
        <v>0</v>
      </c>
      <c r="BC70" t="b">
        <v>0</v>
      </c>
      <c r="BD70" t="b">
        <v>0</v>
      </c>
      <c r="BE70" t="b">
        <v>0</v>
      </c>
      <c r="BF70" t="b">
        <v>0</v>
      </c>
      <c r="BG70" t="b">
        <v>0</v>
      </c>
      <c r="BH70" t="b">
        <v>0</v>
      </c>
      <c r="BI70" t="b">
        <v>0</v>
      </c>
      <c r="BJ70" t="b">
        <v>0</v>
      </c>
      <c r="BK70" t="b">
        <v>0</v>
      </c>
      <c r="BL70" t="b">
        <v>0</v>
      </c>
      <c r="BM70" t="b">
        <v>0</v>
      </c>
      <c r="BN70" t="b">
        <v>0</v>
      </c>
      <c r="BO70" t="b">
        <v>0</v>
      </c>
      <c r="BP70" t="b">
        <v>0</v>
      </c>
      <c r="BQ70" t="b">
        <v>0</v>
      </c>
      <c r="BR70" t="b">
        <v>0</v>
      </c>
      <c r="BS70" t="b">
        <v>0</v>
      </c>
      <c r="BT70" t="b">
        <v>0</v>
      </c>
      <c r="BU70" t="b">
        <v>0</v>
      </c>
      <c r="BV70" t="b">
        <v>0</v>
      </c>
      <c r="BW70" t="b">
        <v>0</v>
      </c>
      <c r="BX70" t="b">
        <v>0</v>
      </c>
      <c r="BY70" t="b">
        <v>0</v>
      </c>
      <c r="BZ70" t="b">
        <v>0</v>
      </c>
      <c r="CA70" t="b">
        <v>0</v>
      </c>
      <c r="CB70" t="b">
        <v>0</v>
      </c>
      <c r="CC70" t="s">
        <v>1253</v>
      </c>
      <c r="CD70" t="s">
        <v>1492</v>
      </c>
      <c r="CE70" t="s">
        <v>1518</v>
      </c>
      <c r="CF70" t="s">
        <v>1495</v>
      </c>
      <c r="CG70" t="b">
        <v>0</v>
      </c>
      <c r="CH70">
        <v>0</v>
      </c>
      <c r="CI70" t="s">
        <v>1634</v>
      </c>
      <c r="CJ70" t="s">
        <v>1636</v>
      </c>
      <c r="CK70" t="s">
        <v>1251</v>
      </c>
      <c r="CL70" t="s">
        <v>1637</v>
      </c>
    </row>
    <row r="71" spans="1:90">
      <c r="A71">
        <v>538</v>
      </c>
      <c r="B71">
        <v>100059</v>
      </c>
      <c r="C71" t="s">
        <v>1250</v>
      </c>
      <c r="D71">
        <v>2</v>
      </c>
      <c r="E71" t="s">
        <v>1492</v>
      </c>
      <c r="F71">
        <v>15</v>
      </c>
      <c r="G71">
        <v>1</v>
      </c>
      <c r="H71">
        <v>2</v>
      </c>
      <c r="I71" t="s">
        <v>812</v>
      </c>
      <c r="J71" t="s">
        <v>1254</v>
      </c>
      <c r="K71" t="s">
        <v>15</v>
      </c>
      <c r="L71" t="s">
        <v>1493</v>
      </c>
      <c r="M71" t="s">
        <v>1492</v>
      </c>
      <c r="N71" t="s">
        <v>1492</v>
      </c>
      <c r="O71" t="s">
        <v>1285</v>
      </c>
      <c r="P71" t="s">
        <v>1383</v>
      </c>
      <c r="Q71" t="s">
        <v>1285</v>
      </c>
      <c r="R71" t="s">
        <v>1383</v>
      </c>
      <c r="S71" t="s">
        <v>1285</v>
      </c>
      <c r="T71" t="s">
        <v>1383</v>
      </c>
      <c r="U71" t="s">
        <v>1285</v>
      </c>
      <c r="V71" t="s">
        <v>1383</v>
      </c>
      <c r="W71" t="s">
        <v>1285</v>
      </c>
      <c r="X71" t="s">
        <v>1372</v>
      </c>
      <c r="Y71" t="s">
        <v>1257</v>
      </c>
      <c r="Z71" t="s">
        <v>1257</v>
      </c>
      <c r="AA71" t="s">
        <v>1257</v>
      </c>
      <c r="AB71" t="s">
        <v>1257</v>
      </c>
      <c r="AC71" t="b">
        <v>0</v>
      </c>
      <c r="AD71" t="b">
        <v>0</v>
      </c>
      <c r="AE71" t="b">
        <v>0</v>
      </c>
      <c r="AF71" t="b">
        <v>0</v>
      </c>
      <c r="AG71" t="b">
        <v>0</v>
      </c>
      <c r="AH71" t="b">
        <v>0</v>
      </c>
      <c r="AI71" t="b">
        <v>0</v>
      </c>
      <c r="AJ71" t="b">
        <v>0</v>
      </c>
      <c r="AK71" t="b">
        <v>0</v>
      </c>
      <c r="AL71" t="b">
        <v>0</v>
      </c>
      <c r="AM71" t="b">
        <v>0</v>
      </c>
      <c r="AN71" t="b">
        <v>0</v>
      </c>
      <c r="AO71" t="b">
        <v>0</v>
      </c>
      <c r="AP71" t="b">
        <v>0</v>
      </c>
      <c r="AQ71" t="b">
        <v>0</v>
      </c>
      <c r="AR71" t="b">
        <v>0</v>
      </c>
      <c r="AS71" t="b">
        <v>0</v>
      </c>
      <c r="AT71" t="b">
        <v>0</v>
      </c>
      <c r="AU71" t="b">
        <v>0</v>
      </c>
      <c r="AV71" t="b">
        <v>0</v>
      </c>
      <c r="AW71" t="b">
        <v>0</v>
      </c>
      <c r="AX71" t="b">
        <v>0</v>
      </c>
      <c r="AY71" t="b">
        <v>0</v>
      </c>
      <c r="AZ71" t="b">
        <v>0</v>
      </c>
      <c r="BA71" t="b">
        <v>0</v>
      </c>
      <c r="BB71" t="b">
        <v>0</v>
      </c>
      <c r="BC71" t="b">
        <v>0</v>
      </c>
      <c r="BD71" t="b">
        <v>0</v>
      </c>
      <c r="BE71" t="b">
        <v>0</v>
      </c>
      <c r="BF71" t="b">
        <v>0</v>
      </c>
      <c r="BG71" t="b">
        <v>0</v>
      </c>
      <c r="BH71" t="b">
        <v>0</v>
      </c>
      <c r="BI71" t="b">
        <v>0</v>
      </c>
      <c r="BJ71" t="b">
        <v>0</v>
      </c>
      <c r="BK71" t="b">
        <v>0</v>
      </c>
      <c r="BL71" t="b">
        <v>0</v>
      </c>
      <c r="BM71" t="b">
        <v>0</v>
      </c>
      <c r="BN71" t="b">
        <v>0</v>
      </c>
      <c r="BO71" t="b">
        <v>0</v>
      </c>
      <c r="BP71" t="b">
        <v>0</v>
      </c>
      <c r="BQ71" t="b">
        <v>0</v>
      </c>
      <c r="BR71" t="b">
        <v>0</v>
      </c>
      <c r="BS71" t="b">
        <v>0</v>
      </c>
      <c r="BT71" t="b">
        <v>0</v>
      </c>
      <c r="BU71" t="b">
        <v>0</v>
      </c>
      <c r="BV71" t="b">
        <v>0</v>
      </c>
      <c r="BW71" t="b">
        <v>0</v>
      </c>
      <c r="BX71" t="b">
        <v>0</v>
      </c>
      <c r="BY71" t="b">
        <v>0</v>
      </c>
      <c r="BZ71" t="b">
        <v>0</v>
      </c>
      <c r="CA71" t="b">
        <v>0</v>
      </c>
      <c r="CB71" t="b">
        <v>0</v>
      </c>
      <c r="CC71" t="s">
        <v>1253</v>
      </c>
      <c r="CD71" t="s">
        <v>1492</v>
      </c>
      <c r="CE71" t="s">
        <v>1518</v>
      </c>
      <c r="CF71" t="s">
        <v>1495</v>
      </c>
      <c r="CG71" t="b">
        <v>0</v>
      </c>
      <c r="CH71">
        <v>0</v>
      </c>
      <c r="CI71" t="s">
        <v>1634</v>
      </c>
      <c r="CJ71" t="s">
        <v>1636</v>
      </c>
      <c r="CK71" t="s">
        <v>1251</v>
      </c>
      <c r="CL71" t="s">
        <v>1638</v>
      </c>
    </row>
    <row r="72" spans="1:90">
      <c r="A72">
        <v>539</v>
      </c>
      <c r="B72">
        <v>100046</v>
      </c>
      <c r="C72" t="s">
        <v>1250</v>
      </c>
      <c r="D72">
        <v>1</v>
      </c>
      <c r="E72" t="s">
        <v>1492</v>
      </c>
      <c r="F72">
        <v>5</v>
      </c>
      <c r="G72">
        <v>1</v>
      </c>
      <c r="H72">
        <v>2</v>
      </c>
      <c r="I72" t="s">
        <v>580</v>
      </c>
      <c r="J72" t="s">
        <v>1254</v>
      </c>
      <c r="K72" t="s">
        <v>16</v>
      </c>
      <c r="L72" t="s">
        <v>1492</v>
      </c>
      <c r="M72" t="s">
        <v>1492</v>
      </c>
      <c r="N72" t="s">
        <v>1492</v>
      </c>
      <c r="O72" t="s">
        <v>1302</v>
      </c>
      <c r="P72" t="s">
        <v>1379</v>
      </c>
      <c r="Q72" t="s">
        <v>1302</v>
      </c>
      <c r="R72" t="s">
        <v>1379</v>
      </c>
      <c r="S72" t="s">
        <v>1302</v>
      </c>
      <c r="T72" t="s">
        <v>1379</v>
      </c>
      <c r="U72" t="s">
        <v>1302</v>
      </c>
      <c r="V72" t="s">
        <v>1379</v>
      </c>
      <c r="W72" t="s">
        <v>1302</v>
      </c>
      <c r="X72" t="s">
        <v>1372</v>
      </c>
      <c r="Y72" t="s">
        <v>1257</v>
      </c>
      <c r="Z72" t="s">
        <v>1257</v>
      </c>
      <c r="AA72" t="s">
        <v>1257</v>
      </c>
      <c r="AB72" t="s">
        <v>1257</v>
      </c>
      <c r="AC72" t="b">
        <v>0</v>
      </c>
      <c r="AD72" t="b">
        <v>0</v>
      </c>
      <c r="AE72" t="b">
        <v>0</v>
      </c>
      <c r="AF72" t="b">
        <v>0</v>
      </c>
      <c r="AG72" t="b">
        <v>0</v>
      </c>
      <c r="AH72" t="b">
        <v>0</v>
      </c>
      <c r="AI72" t="b">
        <v>0</v>
      </c>
      <c r="AJ72" t="b">
        <v>1</v>
      </c>
      <c r="AK72" t="b">
        <v>1</v>
      </c>
      <c r="AL72" t="b">
        <v>1</v>
      </c>
      <c r="AM72" t="b">
        <v>1</v>
      </c>
      <c r="AN72" t="b">
        <v>1</v>
      </c>
      <c r="AO72" t="b">
        <v>1</v>
      </c>
      <c r="AP72" t="b">
        <v>1</v>
      </c>
      <c r="AQ72" t="b">
        <v>1</v>
      </c>
      <c r="AR72" t="b">
        <v>0</v>
      </c>
      <c r="AS72" t="b">
        <v>0</v>
      </c>
      <c r="AT72" t="b">
        <v>1</v>
      </c>
      <c r="AU72" t="b">
        <v>1</v>
      </c>
      <c r="AV72" t="b">
        <v>1</v>
      </c>
      <c r="AW72" t="b">
        <v>1</v>
      </c>
      <c r="AX72" t="b">
        <v>1</v>
      </c>
      <c r="AY72" t="b">
        <v>1</v>
      </c>
      <c r="AZ72" t="b">
        <v>0</v>
      </c>
      <c r="BA72" t="b">
        <v>0</v>
      </c>
      <c r="BB72" t="b">
        <v>0</v>
      </c>
      <c r="BC72" t="b">
        <v>0</v>
      </c>
      <c r="BD72" t="b">
        <v>0</v>
      </c>
      <c r="BE72" t="b">
        <v>0</v>
      </c>
      <c r="BF72" t="b">
        <v>0</v>
      </c>
      <c r="BG72" t="b">
        <v>0</v>
      </c>
      <c r="BH72" t="b">
        <v>0</v>
      </c>
      <c r="BI72" t="b">
        <v>0</v>
      </c>
      <c r="BJ72" t="b">
        <v>0</v>
      </c>
      <c r="BK72" t="b">
        <v>0</v>
      </c>
      <c r="BL72" t="b">
        <v>0</v>
      </c>
      <c r="BM72" t="b">
        <v>0</v>
      </c>
      <c r="BN72" t="b">
        <v>0</v>
      </c>
      <c r="BO72" t="b">
        <v>0</v>
      </c>
      <c r="BP72" t="b">
        <v>0</v>
      </c>
      <c r="BQ72" t="b">
        <v>0</v>
      </c>
      <c r="BR72" t="b">
        <v>0</v>
      </c>
      <c r="BS72" t="b">
        <v>0</v>
      </c>
      <c r="BT72" t="b">
        <v>0</v>
      </c>
      <c r="BU72" t="b">
        <v>0</v>
      </c>
      <c r="BV72" t="b">
        <v>0</v>
      </c>
      <c r="BW72" t="b">
        <v>0</v>
      </c>
      <c r="BX72" t="b">
        <v>0</v>
      </c>
      <c r="BY72" t="b">
        <v>0</v>
      </c>
      <c r="BZ72" t="b">
        <v>0</v>
      </c>
      <c r="CA72" t="b">
        <v>0</v>
      </c>
      <c r="CB72" t="b">
        <v>0</v>
      </c>
      <c r="CC72" t="s">
        <v>1253</v>
      </c>
      <c r="CD72" t="s">
        <v>1492</v>
      </c>
      <c r="CE72" t="s">
        <v>1513</v>
      </c>
      <c r="CF72" t="s">
        <v>1495</v>
      </c>
      <c r="CG72" t="b">
        <v>0</v>
      </c>
      <c r="CH72">
        <v>0</v>
      </c>
      <c r="CI72" t="s">
        <v>1639</v>
      </c>
      <c r="CJ72" t="s">
        <v>1640</v>
      </c>
      <c r="CK72" t="s">
        <v>1251</v>
      </c>
      <c r="CL72" t="s">
        <v>1641</v>
      </c>
    </row>
    <row r="73" spans="1:90">
      <c r="A73">
        <v>540</v>
      </c>
      <c r="B73">
        <v>100046</v>
      </c>
      <c r="C73" t="s">
        <v>1250</v>
      </c>
      <c r="D73">
        <v>2</v>
      </c>
      <c r="E73" t="s">
        <v>1492</v>
      </c>
      <c r="F73">
        <v>5</v>
      </c>
      <c r="G73">
        <v>1</v>
      </c>
      <c r="H73">
        <v>2</v>
      </c>
      <c r="I73" t="s">
        <v>580</v>
      </c>
      <c r="J73" t="s">
        <v>1254</v>
      </c>
      <c r="K73" t="s">
        <v>16</v>
      </c>
      <c r="L73" t="s">
        <v>1492</v>
      </c>
      <c r="M73" t="s">
        <v>1492</v>
      </c>
      <c r="N73" t="s">
        <v>1492</v>
      </c>
      <c r="O73" t="s">
        <v>1302</v>
      </c>
      <c r="P73" t="s">
        <v>1379</v>
      </c>
      <c r="Q73" t="s">
        <v>1302</v>
      </c>
      <c r="R73" t="s">
        <v>1379</v>
      </c>
      <c r="S73" t="s">
        <v>1302</v>
      </c>
      <c r="T73" t="s">
        <v>1379</v>
      </c>
      <c r="U73" t="s">
        <v>1302</v>
      </c>
      <c r="V73" t="s">
        <v>1379</v>
      </c>
      <c r="W73" t="s">
        <v>1302</v>
      </c>
      <c r="X73" t="s">
        <v>1372</v>
      </c>
      <c r="Y73" t="s">
        <v>1257</v>
      </c>
      <c r="Z73" t="s">
        <v>1257</v>
      </c>
      <c r="AA73" t="s">
        <v>1257</v>
      </c>
      <c r="AB73" t="s">
        <v>1257</v>
      </c>
      <c r="AC73" t="b">
        <v>0</v>
      </c>
      <c r="AD73" t="b">
        <v>0</v>
      </c>
      <c r="AE73" t="b">
        <v>0</v>
      </c>
      <c r="AF73" t="b">
        <v>0</v>
      </c>
      <c r="AG73" t="b">
        <v>0</v>
      </c>
      <c r="AH73" t="b">
        <v>0</v>
      </c>
      <c r="AI73" t="b">
        <v>0</v>
      </c>
      <c r="AJ73" t="b">
        <v>1</v>
      </c>
      <c r="AK73" t="b">
        <v>1</v>
      </c>
      <c r="AL73" t="b">
        <v>1</v>
      </c>
      <c r="AM73" t="b">
        <v>1</v>
      </c>
      <c r="AN73" t="b">
        <v>1</v>
      </c>
      <c r="AO73" t="b">
        <v>1</v>
      </c>
      <c r="AP73" t="b">
        <v>1</v>
      </c>
      <c r="AQ73" t="b">
        <v>1</v>
      </c>
      <c r="AR73" t="b">
        <v>0</v>
      </c>
      <c r="AS73" t="b">
        <v>0</v>
      </c>
      <c r="AT73" t="b">
        <v>1</v>
      </c>
      <c r="AU73" t="b">
        <v>1</v>
      </c>
      <c r="AV73" t="b">
        <v>1</v>
      </c>
      <c r="AW73" t="b">
        <v>1</v>
      </c>
      <c r="AX73" t="b">
        <v>1</v>
      </c>
      <c r="AY73" t="b">
        <v>1</v>
      </c>
      <c r="AZ73" t="b">
        <v>0</v>
      </c>
      <c r="BA73" t="b">
        <v>0</v>
      </c>
      <c r="BB73" t="b">
        <v>0</v>
      </c>
      <c r="BC73" t="b">
        <v>0</v>
      </c>
      <c r="BD73" t="b">
        <v>0</v>
      </c>
      <c r="BE73" t="b">
        <v>0</v>
      </c>
      <c r="BF73" t="b">
        <v>0</v>
      </c>
      <c r="BG73" t="b">
        <v>0</v>
      </c>
      <c r="BH73" t="b">
        <v>0</v>
      </c>
      <c r="BI73" t="b">
        <v>0</v>
      </c>
      <c r="BJ73" t="b">
        <v>0</v>
      </c>
      <c r="BK73" t="b">
        <v>0</v>
      </c>
      <c r="BL73" t="b">
        <v>0</v>
      </c>
      <c r="BM73" t="b">
        <v>0</v>
      </c>
      <c r="BN73" t="b">
        <v>0</v>
      </c>
      <c r="BO73" t="b">
        <v>0</v>
      </c>
      <c r="BP73" t="b">
        <v>0</v>
      </c>
      <c r="BQ73" t="b">
        <v>0</v>
      </c>
      <c r="BR73" t="b">
        <v>0</v>
      </c>
      <c r="BS73" t="b">
        <v>0</v>
      </c>
      <c r="BT73" t="b">
        <v>0</v>
      </c>
      <c r="BU73" t="b">
        <v>0</v>
      </c>
      <c r="BV73" t="b">
        <v>0</v>
      </c>
      <c r="BW73" t="b">
        <v>0</v>
      </c>
      <c r="BX73" t="b">
        <v>0</v>
      </c>
      <c r="BY73" t="b">
        <v>0</v>
      </c>
      <c r="BZ73" t="b">
        <v>0</v>
      </c>
      <c r="CA73" t="b">
        <v>0</v>
      </c>
      <c r="CB73" t="b">
        <v>0</v>
      </c>
      <c r="CC73" t="s">
        <v>1253</v>
      </c>
      <c r="CD73" t="s">
        <v>1492</v>
      </c>
      <c r="CE73" t="s">
        <v>1513</v>
      </c>
      <c r="CF73" t="s">
        <v>1495</v>
      </c>
      <c r="CG73" t="b">
        <v>0</v>
      </c>
      <c r="CH73">
        <v>0</v>
      </c>
      <c r="CI73" t="s">
        <v>1642</v>
      </c>
      <c r="CJ73" t="s">
        <v>1640</v>
      </c>
      <c r="CK73" t="s">
        <v>1251</v>
      </c>
      <c r="CL73" t="s">
        <v>1643</v>
      </c>
    </row>
    <row r="74" spans="1:90">
      <c r="A74">
        <v>541</v>
      </c>
      <c r="B74">
        <v>100043</v>
      </c>
      <c r="C74" t="s">
        <v>1250</v>
      </c>
      <c r="D74">
        <v>1</v>
      </c>
      <c r="E74" t="s">
        <v>1492</v>
      </c>
      <c r="F74">
        <v>5</v>
      </c>
      <c r="G74">
        <v>1</v>
      </c>
      <c r="H74">
        <v>2</v>
      </c>
      <c r="I74" t="s">
        <v>389</v>
      </c>
      <c r="J74" t="s">
        <v>1297</v>
      </c>
      <c r="K74" t="s">
        <v>15</v>
      </c>
      <c r="L74" t="s">
        <v>1511</v>
      </c>
      <c r="M74" t="s">
        <v>1576</v>
      </c>
      <c r="N74" t="s">
        <v>1492</v>
      </c>
      <c r="O74" t="s">
        <v>1302</v>
      </c>
      <c r="P74" t="s">
        <v>1379</v>
      </c>
      <c r="Q74" t="s">
        <v>1302</v>
      </c>
      <c r="R74" t="s">
        <v>1379</v>
      </c>
      <c r="S74" t="s">
        <v>1302</v>
      </c>
      <c r="T74" t="s">
        <v>1379</v>
      </c>
      <c r="U74" t="s">
        <v>1302</v>
      </c>
      <c r="V74" t="s">
        <v>1379</v>
      </c>
      <c r="W74" t="s">
        <v>1302</v>
      </c>
      <c r="X74" t="s">
        <v>1372</v>
      </c>
      <c r="Y74" t="s">
        <v>1257</v>
      </c>
      <c r="Z74" t="s">
        <v>1257</v>
      </c>
      <c r="AA74" t="s">
        <v>1257</v>
      </c>
      <c r="AB74" t="s">
        <v>1257</v>
      </c>
      <c r="AC74" t="b">
        <v>0</v>
      </c>
      <c r="AD74" t="b">
        <v>0</v>
      </c>
      <c r="AE74" t="b">
        <v>0</v>
      </c>
      <c r="AF74" t="b">
        <v>0</v>
      </c>
      <c r="AG74" t="b">
        <v>0</v>
      </c>
      <c r="AH74" t="b">
        <v>0</v>
      </c>
      <c r="AI74" t="b">
        <v>0</v>
      </c>
      <c r="AJ74" t="b">
        <v>0</v>
      </c>
      <c r="AK74" t="b">
        <v>0</v>
      </c>
      <c r="AL74" t="b">
        <v>0</v>
      </c>
      <c r="AM74" t="b">
        <v>0</v>
      </c>
      <c r="AN74" t="b">
        <v>0</v>
      </c>
      <c r="AO74" t="b">
        <v>0</v>
      </c>
      <c r="AP74" t="b">
        <v>0</v>
      </c>
      <c r="AQ74" t="b">
        <v>0</v>
      </c>
      <c r="AR74" t="b">
        <v>0</v>
      </c>
      <c r="AS74" t="b">
        <v>0</v>
      </c>
      <c r="AT74" t="b">
        <v>0</v>
      </c>
      <c r="AU74" t="b">
        <v>0</v>
      </c>
      <c r="AV74" t="b">
        <v>0</v>
      </c>
      <c r="AW74" t="b">
        <v>0</v>
      </c>
      <c r="AX74" t="b">
        <v>0</v>
      </c>
      <c r="AY74" t="b">
        <v>0</v>
      </c>
      <c r="AZ74" t="b">
        <v>0</v>
      </c>
      <c r="BA74" t="b">
        <v>0</v>
      </c>
      <c r="BB74" t="b">
        <v>0</v>
      </c>
      <c r="BC74" t="b">
        <v>0</v>
      </c>
      <c r="BD74" t="b">
        <v>0</v>
      </c>
      <c r="BE74" t="b">
        <v>0</v>
      </c>
      <c r="BF74" t="b">
        <v>0</v>
      </c>
      <c r="BG74" t="b">
        <v>0</v>
      </c>
      <c r="BH74" t="b">
        <v>0</v>
      </c>
      <c r="BI74" t="b">
        <v>0</v>
      </c>
      <c r="BJ74" t="b">
        <v>0</v>
      </c>
      <c r="BK74" t="b">
        <v>0</v>
      </c>
      <c r="BL74" t="b">
        <v>0</v>
      </c>
      <c r="BM74" t="b">
        <v>0</v>
      </c>
      <c r="BN74" t="b">
        <v>0</v>
      </c>
      <c r="BO74" t="b">
        <v>0</v>
      </c>
      <c r="BP74" t="b">
        <v>0</v>
      </c>
      <c r="BQ74" t="b">
        <v>0</v>
      </c>
      <c r="BR74" t="b">
        <v>0</v>
      </c>
      <c r="BS74" t="b">
        <v>0</v>
      </c>
      <c r="BT74" t="b">
        <v>0</v>
      </c>
      <c r="BU74" t="b">
        <v>0</v>
      </c>
      <c r="BV74" t="b">
        <v>0</v>
      </c>
      <c r="BW74" t="b">
        <v>0</v>
      </c>
      <c r="BX74" t="b">
        <v>0</v>
      </c>
      <c r="BY74" t="b">
        <v>0</v>
      </c>
      <c r="BZ74" t="b">
        <v>0</v>
      </c>
      <c r="CA74" t="b">
        <v>0</v>
      </c>
      <c r="CB74" t="b">
        <v>0</v>
      </c>
      <c r="CC74" t="s">
        <v>1253</v>
      </c>
      <c r="CD74" t="s">
        <v>1492</v>
      </c>
      <c r="CE74" t="s">
        <v>1518</v>
      </c>
      <c r="CF74" t="s">
        <v>1495</v>
      </c>
      <c r="CG74" t="b">
        <v>1</v>
      </c>
      <c r="CH74">
        <v>0</v>
      </c>
      <c r="CI74" t="s">
        <v>1644</v>
      </c>
      <c r="CJ74" t="s">
        <v>1645</v>
      </c>
      <c r="CK74" t="s">
        <v>1251</v>
      </c>
      <c r="CL74" t="s">
        <v>1646</v>
      </c>
    </row>
    <row r="75" spans="1:90">
      <c r="A75">
        <v>542</v>
      </c>
      <c r="B75">
        <v>100043</v>
      </c>
      <c r="C75" t="s">
        <v>1250</v>
      </c>
      <c r="D75">
        <v>2</v>
      </c>
      <c r="E75" t="s">
        <v>1492</v>
      </c>
      <c r="F75">
        <v>5</v>
      </c>
      <c r="G75">
        <v>1</v>
      </c>
      <c r="H75">
        <v>2</v>
      </c>
      <c r="I75" t="s">
        <v>389</v>
      </c>
      <c r="J75" t="s">
        <v>1297</v>
      </c>
      <c r="K75" t="s">
        <v>15</v>
      </c>
      <c r="L75" t="s">
        <v>1511</v>
      </c>
      <c r="M75" t="s">
        <v>1576</v>
      </c>
      <c r="N75" t="s">
        <v>1492</v>
      </c>
      <c r="O75" t="s">
        <v>1302</v>
      </c>
      <c r="P75" t="s">
        <v>1379</v>
      </c>
      <c r="Q75" t="s">
        <v>1302</v>
      </c>
      <c r="R75" t="s">
        <v>1379</v>
      </c>
      <c r="S75" t="s">
        <v>1302</v>
      </c>
      <c r="T75" t="s">
        <v>1379</v>
      </c>
      <c r="U75" t="s">
        <v>1302</v>
      </c>
      <c r="V75" t="s">
        <v>1379</v>
      </c>
      <c r="W75" t="s">
        <v>1302</v>
      </c>
      <c r="X75" t="s">
        <v>1372</v>
      </c>
      <c r="Y75" t="s">
        <v>1257</v>
      </c>
      <c r="Z75" t="s">
        <v>1257</v>
      </c>
      <c r="AA75" t="s">
        <v>1257</v>
      </c>
      <c r="AB75" t="s">
        <v>1257</v>
      </c>
      <c r="AC75" t="b">
        <v>0</v>
      </c>
      <c r="AD75" t="b">
        <v>0</v>
      </c>
      <c r="AE75" t="b">
        <v>0</v>
      </c>
      <c r="AF75" t="b">
        <v>0</v>
      </c>
      <c r="AG75" t="b">
        <v>0</v>
      </c>
      <c r="AH75" t="b">
        <v>0</v>
      </c>
      <c r="AI75" t="b">
        <v>0</v>
      </c>
      <c r="AJ75" t="b">
        <v>0</v>
      </c>
      <c r="AK75" t="b">
        <v>0</v>
      </c>
      <c r="AL75" t="b">
        <v>0</v>
      </c>
      <c r="AM75" t="b">
        <v>0</v>
      </c>
      <c r="AN75" t="b">
        <v>0</v>
      </c>
      <c r="AO75" t="b">
        <v>0</v>
      </c>
      <c r="AP75" t="b">
        <v>0</v>
      </c>
      <c r="AQ75" t="b">
        <v>0</v>
      </c>
      <c r="AR75" t="b">
        <v>0</v>
      </c>
      <c r="AS75" t="b">
        <v>0</v>
      </c>
      <c r="AT75" t="b">
        <v>0</v>
      </c>
      <c r="AU75" t="b">
        <v>0</v>
      </c>
      <c r="AV75" t="b">
        <v>0</v>
      </c>
      <c r="AW75" t="b">
        <v>0</v>
      </c>
      <c r="AX75" t="b">
        <v>0</v>
      </c>
      <c r="AY75" t="b">
        <v>0</v>
      </c>
      <c r="AZ75" t="b">
        <v>0</v>
      </c>
      <c r="BA75" t="b">
        <v>0</v>
      </c>
      <c r="BB75" t="b">
        <v>0</v>
      </c>
      <c r="BC75" t="b">
        <v>0</v>
      </c>
      <c r="BD75" t="b">
        <v>0</v>
      </c>
      <c r="BE75" t="b">
        <v>0</v>
      </c>
      <c r="BF75" t="b">
        <v>0</v>
      </c>
      <c r="BG75" t="b">
        <v>0</v>
      </c>
      <c r="BH75" t="b">
        <v>0</v>
      </c>
      <c r="BI75" t="b">
        <v>0</v>
      </c>
      <c r="BJ75" t="b">
        <v>0</v>
      </c>
      <c r="BK75" t="b">
        <v>0</v>
      </c>
      <c r="BL75" t="b">
        <v>0</v>
      </c>
      <c r="BM75" t="b">
        <v>0</v>
      </c>
      <c r="BN75" t="b">
        <v>0</v>
      </c>
      <c r="BO75" t="b">
        <v>0</v>
      </c>
      <c r="BP75" t="b">
        <v>0</v>
      </c>
      <c r="BQ75" t="b">
        <v>0</v>
      </c>
      <c r="BR75" t="b">
        <v>0</v>
      </c>
      <c r="BS75" t="b">
        <v>0</v>
      </c>
      <c r="BT75" t="b">
        <v>0</v>
      </c>
      <c r="BU75" t="b">
        <v>0</v>
      </c>
      <c r="BV75" t="b">
        <v>0</v>
      </c>
      <c r="BW75" t="b">
        <v>0</v>
      </c>
      <c r="BX75" t="b">
        <v>0</v>
      </c>
      <c r="BY75" t="b">
        <v>0</v>
      </c>
      <c r="BZ75" t="b">
        <v>0</v>
      </c>
      <c r="CA75" t="b">
        <v>0</v>
      </c>
      <c r="CB75" t="b">
        <v>0</v>
      </c>
      <c r="CC75" t="s">
        <v>1253</v>
      </c>
      <c r="CD75" t="s">
        <v>1492</v>
      </c>
      <c r="CE75" t="s">
        <v>1518</v>
      </c>
      <c r="CF75" t="s">
        <v>1495</v>
      </c>
      <c r="CG75" t="b">
        <v>1</v>
      </c>
      <c r="CH75">
        <v>0</v>
      </c>
      <c r="CI75" t="s">
        <v>1644</v>
      </c>
      <c r="CJ75" t="s">
        <v>1645</v>
      </c>
      <c r="CK75" t="s">
        <v>1251</v>
      </c>
      <c r="CL75" t="s">
        <v>1647</v>
      </c>
    </row>
    <row r="76" spans="1:90">
      <c r="A76">
        <v>513</v>
      </c>
      <c r="B76">
        <v>100028</v>
      </c>
      <c r="C76" t="s">
        <v>1250</v>
      </c>
      <c r="D76">
        <v>1</v>
      </c>
      <c r="E76" t="s">
        <v>1492</v>
      </c>
      <c r="F76">
        <v>5</v>
      </c>
      <c r="G76">
        <v>1</v>
      </c>
      <c r="H76">
        <v>2</v>
      </c>
      <c r="I76" t="s">
        <v>1492</v>
      </c>
      <c r="J76" t="s">
        <v>1297</v>
      </c>
      <c r="K76" t="s">
        <v>16</v>
      </c>
      <c r="L76" t="s">
        <v>1492</v>
      </c>
      <c r="M76" t="s">
        <v>1576</v>
      </c>
      <c r="N76" t="s">
        <v>1492</v>
      </c>
      <c r="O76" t="s">
        <v>1302</v>
      </c>
      <c r="P76" t="s">
        <v>1379</v>
      </c>
      <c r="Q76" t="s">
        <v>1302</v>
      </c>
      <c r="R76" t="s">
        <v>1379</v>
      </c>
      <c r="S76" t="s">
        <v>1302</v>
      </c>
      <c r="T76" t="s">
        <v>1379</v>
      </c>
      <c r="U76" t="s">
        <v>1302</v>
      </c>
      <c r="V76" t="s">
        <v>1379</v>
      </c>
      <c r="W76" t="s">
        <v>1302</v>
      </c>
      <c r="X76" t="s">
        <v>1372</v>
      </c>
      <c r="Y76" t="s">
        <v>1257</v>
      </c>
      <c r="Z76" t="s">
        <v>1257</v>
      </c>
      <c r="AA76" t="s">
        <v>1257</v>
      </c>
      <c r="AB76" t="s">
        <v>1257</v>
      </c>
      <c r="AC76" t="b">
        <v>0</v>
      </c>
      <c r="AD76" t="b">
        <v>0</v>
      </c>
      <c r="AE76" t="b">
        <v>0</v>
      </c>
      <c r="AF76" t="b">
        <v>0</v>
      </c>
      <c r="AG76" t="b">
        <v>0</v>
      </c>
      <c r="AH76" t="b">
        <v>0</v>
      </c>
      <c r="AI76" t="b">
        <v>0</v>
      </c>
      <c r="AJ76" t="b">
        <v>0</v>
      </c>
      <c r="AK76" t="b">
        <v>0</v>
      </c>
      <c r="AL76" t="b">
        <v>0</v>
      </c>
      <c r="AM76" t="b">
        <v>0</v>
      </c>
      <c r="AN76" t="b">
        <v>0</v>
      </c>
      <c r="AO76" t="b">
        <v>0</v>
      </c>
      <c r="AP76" t="b">
        <v>0</v>
      </c>
      <c r="AQ76" t="b">
        <v>0</v>
      </c>
      <c r="AR76" t="b">
        <v>0</v>
      </c>
      <c r="AS76" t="b">
        <v>0</v>
      </c>
      <c r="AT76" t="b">
        <v>0</v>
      </c>
      <c r="AU76" t="b">
        <v>0</v>
      </c>
      <c r="AV76" t="b">
        <v>0</v>
      </c>
      <c r="AW76" t="b">
        <v>0</v>
      </c>
      <c r="AX76" t="b">
        <v>0</v>
      </c>
      <c r="AY76" t="b">
        <v>0</v>
      </c>
      <c r="AZ76" t="b">
        <v>0</v>
      </c>
      <c r="BA76" t="b">
        <v>0</v>
      </c>
      <c r="BB76" t="b">
        <v>0</v>
      </c>
      <c r="BC76" t="b">
        <v>0</v>
      </c>
      <c r="BD76" t="b">
        <v>0</v>
      </c>
      <c r="BE76" t="b">
        <v>0</v>
      </c>
      <c r="BF76" t="b">
        <v>0</v>
      </c>
      <c r="BG76" t="b">
        <v>0</v>
      </c>
      <c r="BH76" t="b">
        <v>0</v>
      </c>
      <c r="BI76" t="b">
        <v>0</v>
      </c>
      <c r="BJ76" t="b">
        <v>0</v>
      </c>
      <c r="BK76" t="b">
        <v>0</v>
      </c>
      <c r="BL76" t="b">
        <v>0</v>
      </c>
      <c r="BM76" t="b">
        <v>0</v>
      </c>
      <c r="BN76" t="b">
        <v>0</v>
      </c>
      <c r="BO76" t="b">
        <v>0</v>
      </c>
      <c r="BP76" t="b">
        <v>0</v>
      </c>
      <c r="BQ76" t="b">
        <v>0</v>
      </c>
      <c r="BR76" t="b">
        <v>0</v>
      </c>
      <c r="BS76" t="b">
        <v>0</v>
      </c>
      <c r="BT76" t="b">
        <v>0</v>
      </c>
      <c r="BU76" t="b">
        <v>0</v>
      </c>
      <c r="BV76" t="b">
        <v>0</v>
      </c>
      <c r="BW76" t="b">
        <v>0</v>
      </c>
      <c r="BX76" t="b">
        <v>0</v>
      </c>
      <c r="BY76" t="b">
        <v>0</v>
      </c>
      <c r="BZ76" t="b">
        <v>0</v>
      </c>
      <c r="CA76" t="b">
        <v>0</v>
      </c>
      <c r="CB76" t="b">
        <v>0</v>
      </c>
      <c r="CC76" t="s">
        <v>1253</v>
      </c>
      <c r="CD76" t="s">
        <v>1492</v>
      </c>
      <c r="CE76" t="s">
        <v>1518</v>
      </c>
      <c r="CF76" t="s">
        <v>1495</v>
      </c>
      <c r="CG76" t="b">
        <v>1</v>
      </c>
      <c r="CH76">
        <v>0</v>
      </c>
      <c r="CI76" t="s">
        <v>1648</v>
      </c>
      <c r="CJ76" t="s">
        <v>1649</v>
      </c>
      <c r="CK76" t="s">
        <v>1251</v>
      </c>
      <c r="CL76" t="s">
        <v>1650</v>
      </c>
    </row>
    <row r="77" spans="1:90">
      <c r="A77">
        <v>514</v>
      </c>
      <c r="B77">
        <v>100028</v>
      </c>
      <c r="C77" t="s">
        <v>1250</v>
      </c>
      <c r="D77">
        <v>2</v>
      </c>
      <c r="E77" t="s">
        <v>1492</v>
      </c>
      <c r="F77">
        <v>5</v>
      </c>
      <c r="G77">
        <v>1</v>
      </c>
      <c r="H77">
        <v>2</v>
      </c>
      <c r="I77" t="s">
        <v>1492</v>
      </c>
      <c r="J77" t="s">
        <v>1297</v>
      </c>
      <c r="K77" t="s">
        <v>16</v>
      </c>
      <c r="L77" t="s">
        <v>1511</v>
      </c>
      <c r="M77" t="s">
        <v>1576</v>
      </c>
      <c r="N77" t="s">
        <v>1492</v>
      </c>
      <c r="O77" t="s">
        <v>1302</v>
      </c>
      <c r="P77" t="s">
        <v>1379</v>
      </c>
      <c r="Q77" t="s">
        <v>1302</v>
      </c>
      <c r="R77" t="s">
        <v>1379</v>
      </c>
      <c r="S77" t="s">
        <v>1302</v>
      </c>
      <c r="T77" t="s">
        <v>1379</v>
      </c>
      <c r="U77" t="s">
        <v>1302</v>
      </c>
      <c r="V77" t="s">
        <v>1379</v>
      </c>
      <c r="W77" t="s">
        <v>1285</v>
      </c>
      <c r="X77" t="s">
        <v>1372</v>
      </c>
      <c r="Y77" t="s">
        <v>1257</v>
      </c>
      <c r="Z77" t="s">
        <v>1257</v>
      </c>
      <c r="AA77" t="s">
        <v>1257</v>
      </c>
      <c r="AB77" t="s">
        <v>1257</v>
      </c>
      <c r="AC77" t="b">
        <v>0</v>
      </c>
      <c r="AD77" t="b">
        <v>0</v>
      </c>
      <c r="AE77" t="b">
        <v>0</v>
      </c>
      <c r="AF77" t="b">
        <v>0</v>
      </c>
      <c r="AG77" t="b">
        <v>0</v>
      </c>
      <c r="AH77" t="b">
        <v>0</v>
      </c>
      <c r="AI77" t="b">
        <v>0</v>
      </c>
      <c r="AJ77" t="b">
        <v>0</v>
      </c>
      <c r="AK77" t="b">
        <v>0</v>
      </c>
      <c r="AL77" t="b">
        <v>0</v>
      </c>
      <c r="AM77" t="b">
        <v>0</v>
      </c>
      <c r="AN77" t="b">
        <v>0</v>
      </c>
      <c r="AO77" t="b">
        <v>0</v>
      </c>
      <c r="AP77" t="b">
        <v>0</v>
      </c>
      <c r="AQ77" t="b">
        <v>0</v>
      </c>
      <c r="AR77" t="b">
        <v>0</v>
      </c>
      <c r="AS77" t="b">
        <v>0</v>
      </c>
      <c r="AT77" t="b">
        <v>0</v>
      </c>
      <c r="AU77" t="b">
        <v>0</v>
      </c>
      <c r="AV77" t="b">
        <v>0</v>
      </c>
      <c r="AW77" t="b">
        <v>0</v>
      </c>
      <c r="AX77" t="b">
        <v>0</v>
      </c>
      <c r="AY77" t="b">
        <v>0</v>
      </c>
      <c r="AZ77" t="b">
        <v>0</v>
      </c>
      <c r="BA77" t="b">
        <v>0</v>
      </c>
      <c r="BB77" t="b">
        <v>0</v>
      </c>
      <c r="BC77" t="b">
        <v>0</v>
      </c>
      <c r="BD77" t="b">
        <v>0</v>
      </c>
      <c r="BE77" t="b">
        <v>0</v>
      </c>
      <c r="BF77" t="b">
        <v>0</v>
      </c>
      <c r="BG77" t="b">
        <v>0</v>
      </c>
      <c r="BH77" t="b">
        <v>0</v>
      </c>
      <c r="BI77" t="b">
        <v>0</v>
      </c>
      <c r="BJ77" t="b">
        <v>0</v>
      </c>
      <c r="BK77" t="b">
        <v>0</v>
      </c>
      <c r="BL77" t="b">
        <v>0</v>
      </c>
      <c r="BM77" t="b">
        <v>0</v>
      </c>
      <c r="BN77" t="b">
        <v>0</v>
      </c>
      <c r="BO77" t="b">
        <v>0</v>
      </c>
      <c r="BP77" t="b">
        <v>0</v>
      </c>
      <c r="BQ77" t="b">
        <v>0</v>
      </c>
      <c r="BR77" t="b">
        <v>0</v>
      </c>
      <c r="BS77" t="b">
        <v>0</v>
      </c>
      <c r="BT77" t="b">
        <v>0</v>
      </c>
      <c r="BU77" t="b">
        <v>0</v>
      </c>
      <c r="BV77" t="b">
        <v>0</v>
      </c>
      <c r="BW77" t="b">
        <v>0</v>
      </c>
      <c r="BX77" t="b">
        <v>0</v>
      </c>
      <c r="BY77" t="b">
        <v>0</v>
      </c>
      <c r="BZ77" t="b">
        <v>0</v>
      </c>
      <c r="CA77" t="b">
        <v>0</v>
      </c>
      <c r="CB77" t="b">
        <v>0</v>
      </c>
      <c r="CC77" t="s">
        <v>1253</v>
      </c>
      <c r="CD77" t="s">
        <v>1492</v>
      </c>
      <c r="CE77" t="s">
        <v>1518</v>
      </c>
      <c r="CF77" t="s">
        <v>1495</v>
      </c>
      <c r="CG77" t="b">
        <v>1</v>
      </c>
      <c r="CH77">
        <v>0</v>
      </c>
      <c r="CI77" t="s">
        <v>1651</v>
      </c>
      <c r="CJ77" t="s">
        <v>1649</v>
      </c>
      <c r="CK77" t="s">
        <v>1251</v>
      </c>
      <c r="CL77" t="s">
        <v>1652</v>
      </c>
    </row>
    <row r="78" spans="1:90">
      <c r="A78">
        <v>543</v>
      </c>
      <c r="B78">
        <v>100044</v>
      </c>
      <c r="C78" t="s">
        <v>1250</v>
      </c>
      <c r="D78">
        <v>1</v>
      </c>
      <c r="E78" t="s">
        <v>1492</v>
      </c>
      <c r="F78">
        <v>22</v>
      </c>
      <c r="G78">
        <v>1</v>
      </c>
      <c r="H78">
        <v>2</v>
      </c>
      <c r="I78" t="s">
        <v>928</v>
      </c>
      <c r="J78" t="s">
        <v>1297</v>
      </c>
      <c r="K78" t="s">
        <v>15</v>
      </c>
      <c r="L78" t="s">
        <v>1511</v>
      </c>
      <c r="M78" t="s">
        <v>1492</v>
      </c>
      <c r="N78" t="s">
        <v>1492</v>
      </c>
      <c r="O78" t="s">
        <v>1285</v>
      </c>
      <c r="P78" t="s">
        <v>1379</v>
      </c>
      <c r="Q78" t="s">
        <v>1285</v>
      </c>
      <c r="R78" t="s">
        <v>1379</v>
      </c>
      <c r="S78" t="s">
        <v>1285</v>
      </c>
      <c r="T78" t="s">
        <v>1379</v>
      </c>
      <c r="U78" t="s">
        <v>1285</v>
      </c>
      <c r="V78" t="s">
        <v>1379</v>
      </c>
      <c r="W78" t="s">
        <v>1285</v>
      </c>
      <c r="X78" t="s">
        <v>1372</v>
      </c>
      <c r="Y78" t="s">
        <v>1257</v>
      </c>
      <c r="Z78" t="s">
        <v>1257</v>
      </c>
      <c r="AA78" t="s">
        <v>1257</v>
      </c>
      <c r="AB78" t="s">
        <v>1257</v>
      </c>
      <c r="AC78" t="b">
        <v>0</v>
      </c>
      <c r="AD78" t="b">
        <v>0</v>
      </c>
      <c r="AE78" t="b">
        <v>0</v>
      </c>
      <c r="AF78" t="b">
        <v>0</v>
      </c>
      <c r="AG78" t="b">
        <v>0</v>
      </c>
      <c r="AH78" t="b">
        <v>0</v>
      </c>
      <c r="AI78" t="b">
        <v>0</v>
      </c>
      <c r="AJ78" t="b">
        <v>0</v>
      </c>
      <c r="AK78" t="b">
        <v>0</v>
      </c>
      <c r="AL78" t="b">
        <v>0</v>
      </c>
      <c r="AM78" t="b">
        <v>0</v>
      </c>
      <c r="AN78" t="b">
        <v>0</v>
      </c>
      <c r="AO78" t="b">
        <v>0</v>
      </c>
      <c r="AP78" t="b">
        <v>0</v>
      </c>
      <c r="AQ78" t="b">
        <v>0</v>
      </c>
      <c r="AR78" t="b">
        <v>0</v>
      </c>
      <c r="AS78" t="b">
        <v>0</v>
      </c>
      <c r="AT78" t="b">
        <v>0</v>
      </c>
      <c r="AU78" t="b">
        <v>0</v>
      </c>
      <c r="AV78" t="b">
        <v>0</v>
      </c>
      <c r="AW78" t="b">
        <v>0</v>
      </c>
      <c r="AX78" t="b">
        <v>0</v>
      </c>
      <c r="AY78" t="b">
        <v>0</v>
      </c>
      <c r="AZ78" t="b">
        <v>0</v>
      </c>
      <c r="BA78" t="b">
        <v>0</v>
      </c>
      <c r="BB78" t="b">
        <v>0</v>
      </c>
      <c r="BC78" t="b">
        <v>0</v>
      </c>
      <c r="BD78" t="b">
        <v>0</v>
      </c>
      <c r="BE78" t="b">
        <v>0</v>
      </c>
      <c r="BF78" t="b">
        <v>1</v>
      </c>
      <c r="BG78" t="b">
        <v>1</v>
      </c>
      <c r="BH78" t="b">
        <v>1</v>
      </c>
      <c r="BI78" t="b">
        <v>1</v>
      </c>
      <c r="BJ78" t="b">
        <v>1</v>
      </c>
      <c r="BK78" t="b">
        <v>1</v>
      </c>
      <c r="BL78" t="b">
        <v>1</v>
      </c>
      <c r="BM78" t="b">
        <v>1</v>
      </c>
      <c r="BN78" t="b">
        <v>0</v>
      </c>
      <c r="BO78" t="b">
        <v>0</v>
      </c>
      <c r="BP78" t="b">
        <v>0</v>
      </c>
      <c r="BQ78" t="b">
        <v>0</v>
      </c>
      <c r="BR78" t="b">
        <v>0</v>
      </c>
      <c r="BS78" t="b">
        <v>0</v>
      </c>
      <c r="BT78" t="b">
        <v>1</v>
      </c>
      <c r="BU78" t="b">
        <v>1</v>
      </c>
      <c r="BV78" t="b">
        <v>0</v>
      </c>
      <c r="BW78" t="b">
        <v>0</v>
      </c>
      <c r="BX78" t="b">
        <v>0</v>
      </c>
      <c r="BY78" t="b">
        <v>0</v>
      </c>
      <c r="BZ78" t="b">
        <v>0</v>
      </c>
      <c r="CA78" t="b">
        <v>0</v>
      </c>
      <c r="CB78" t="b">
        <v>0</v>
      </c>
      <c r="CC78" t="s">
        <v>1253</v>
      </c>
      <c r="CD78" t="s">
        <v>1492</v>
      </c>
      <c r="CE78" t="s">
        <v>1495</v>
      </c>
      <c r="CF78" t="s">
        <v>1495</v>
      </c>
      <c r="CG78" t="b">
        <v>0</v>
      </c>
      <c r="CH78">
        <v>0</v>
      </c>
      <c r="CI78" t="s">
        <v>1634</v>
      </c>
      <c r="CJ78" t="s">
        <v>1653</v>
      </c>
      <c r="CK78" t="s">
        <v>1251</v>
      </c>
      <c r="CL78" t="s">
        <v>1654</v>
      </c>
    </row>
    <row r="79" spans="1:90">
      <c r="A79">
        <v>544</v>
      </c>
      <c r="B79">
        <v>100044</v>
      </c>
      <c r="C79" t="s">
        <v>1250</v>
      </c>
      <c r="D79">
        <v>2</v>
      </c>
      <c r="E79" t="s">
        <v>1492</v>
      </c>
      <c r="F79">
        <v>22</v>
      </c>
      <c r="G79">
        <v>1</v>
      </c>
      <c r="H79">
        <v>2</v>
      </c>
      <c r="I79" t="s">
        <v>928</v>
      </c>
      <c r="J79" t="s">
        <v>1297</v>
      </c>
      <c r="K79" t="s">
        <v>15</v>
      </c>
      <c r="L79" t="s">
        <v>1511</v>
      </c>
      <c r="M79" t="s">
        <v>1492</v>
      </c>
      <c r="N79" t="s">
        <v>1492</v>
      </c>
      <c r="O79" t="s">
        <v>1285</v>
      </c>
      <c r="P79" t="s">
        <v>1379</v>
      </c>
      <c r="Q79" t="s">
        <v>1285</v>
      </c>
      <c r="R79" t="s">
        <v>1379</v>
      </c>
      <c r="S79" t="s">
        <v>1285</v>
      </c>
      <c r="T79" t="s">
        <v>1379</v>
      </c>
      <c r="U79" t="s">
        <v>1285</v>
      </c>
      <c r="V79" t="s">
        <v>1379</v>
      </c>
      <c r="W79" t="s">
        <v>1285</v>
      </c>
      <c r="X79" t="s">
        <v>1372</v>
      </c>
      <c r="Y79" t="s">
        <v>1257</v>
      </c>
      <c r="Z79" t="s">
        <v>1257</v>
      </c>
      <c r="AA79" t="s">
        <v>1257</v>
      </c>
      <c r="AB79" t="s">
        <v>1257</v>
      </c>
      <c r="AC79" t="b">
        <v>0</v>
      </c>
      <c r="AD79" t="b">
        <v>0</v>
      </c>
      <c r="AE79" t="b">
        <v>0</v>
      </c>
      <c r="AF79" t="b">
        <v>0</v>
      </c>
      <c r="AG79" t="b">
        <v>0</v>
      </c>
      <c r="AH79" t="b">
        <v>0</v>
      </c>
      <c r="AI79" t="b">
        <v>0</v>
      </c>
      <c r="AJ79" t="b">
        <v>0</v>
      </c>
      <c r="AK79" t="b">
        <v>0</v>
      </c>
      <c r="AL79" t="b">
        <v>0</v>
      </c>
      <c r="AM79" t="b">
        <v>0</v>
      </c>
      <c r="AN79" t="b">
        <v>0</v>
      </c>
      <c r="AO79" t="b">
        <v>0</v>
      </c>
      <c r="AP79" t="b">
        <v>0</v>
      </c>
      <c r="AQ79" t="b">
        <v>0</v>
      </c>
      <c r="AR79" t="b">
        <v>0</v>
      </c>
      <c r="AS79" t="b">
        <v>0</v>
      </c>
      <c r="AT79" t="b">
        <v>0</v>
      </c>
      <c r="AU79" t="b">
        <v>0</v>
      </c>
      <c r="AV79" t="b">
        <v>0</v>
      </c>
      <c r="AW79" t="b">
        <v>0</v>
      </c>
      <c r="AX79" t="b">
        <v>0</v>
      </c>
      <c r="AY79" t="b">
        <v>0</v>
      </c>
      <c r="AZ79" t="b">
        <v>0</v>
      </c>
      <c r="BA79" t="b">
        <v>0</v>
      </c>
      <c r="BB79" t="b">
        <v>0</v>
      </c>
      <c r="BC79" t="b">
        <v>0</v>
      </c>
      <c r="BD79" t="b">
        <v>0</v>
      </c>
      <c r="BE79" t="b">
        <v>0</v>
      </c>
      <c r="BF79" t="b">
        <v>1</v>
      </c>
      <c r="BG79" t="b">
        <v>1</v>
      </c>
      <c r="BH79" t="b">
        <v>1</v>
      </c>
      <c r="BI79" t="b">
        <v>1</v>
      </c>
      <c r="BJ79" t="b">
        <v>1</v>
      </c>
      <c r="BK79" t="b">
        <v>1</v>
      </c>
      <c r="BL79" t="b">
        <v>1</v>
      </c>
      <c r="BM79" t="b">
        <v>1</v>
      </c>
      <c r="BN79" t="b">
        <v>0</v>
      </c>
      <c r="BO79" t="b">
        <v>0</v>
      </c>
      <c r="BP79" t="b">
        <v>0</v>
      </c>
      <c r="BQ79" t="b">
        <v>0</v>
      </c>
      <c r="BR79" t="b">
        <v>0</v>
      </c>
      <c r="BS79" t="b">
        <v>0</v>
      </c>
      <c r="BT79" t="b">
        <v>1</v>
      </c>
      <c r="BU79" t="b">
        <v>1</v>
      </c>
      <c r="BV79" t="b">
        <v>0</v>
      </c>
      <c r="BW79" t="b">
        <v>0</v>
      </c>
      <c r="BX79" t="b">
        <v>0</v>
      </c>
      <c r="BY79" t="b">
        <v>0</v>
      </c>
      <c r="BZ79" t="b">
        <v>0</v>
      </c>
      <c r="CA79" t="b">
        <v>0</v>
      </c>
      <c r="CB79" t="b">
        <v>0</v>
      </c>
      <c r="CC79" t="s">
        <v>1253</v>
      </c>
      <c r="CD79" t="s">
        <v>1492</v>
      </c>
      <c r="CE79" t="s">
        <v>1495</v>
      </c>
      <c r="CF79" t="s">
        <v>1495</v>
      </c>
      <c r="CG79" t="b">
        <v>0</v>
      </c>
      <c r="CH79">
        <v>0</v>
      </c>
      <c r="CI79" t="s">
        <v>1634</v>
      </c>
      <c r="CJ79" t="s">
        <v>1653</v>
      </c>
      <c r="CK79" t="s">
        <v>1251</v>
      </c>
      <c r="CL79" t="s">
        <v>1655</v>
      </c>
    </row>
    <row r="80" spans="1:90">
      <c r="A80">
        <v>545</v>
      </c>
      <c r="B80">
        <v>100044</v>
      </c>
      <c r="C80" t="s">
        <v>1320</v>
      </c>
      <c r="D80">
        <v>1</v>
      </c>
      <c r="E80" t="s">
        <v>1492</v>
      </c>
      <c r="F80">
        <v>22</v>
      </c>
      <c r="G80">
        <v>1</v>
      </c>
      <c r="H80">
        <v>2</v>
      </c>
      <c r="I80" t="s">
        <v>928</v>
      </c>
      <c r="J80" t="s">
        <v>1254</v>
      </c>
      <c r="K80" t="s">
        <v>15</v>
      </c>
      <c r="L80" t="s">
        <v>1511</v>
      </c>
      <c r="M80" t="s">
        <v>1492</v>
      </c>
      <c r="N80" t="s">
        <v>1492</v>
      </c>
      <c r="O80" t="s">
        <v>1285</v>
      </c>
      <c r="P80" t="s">
        <v>1379</v>
      </c>
      <c r="Q80" t="s">
        <v>1285</v>
      </c>
      <c r="R80" t="s">
        <v>1379</v>
      </c>
      <c r="S80" t="s">
        <v>1285</v>
      </c>
      <c r="T80" t="s">
        <v>1379</v>
      </c>
      <c r="U80" t="s">
        <v>1285</v>
      </c>
      <c r="V80" t="s">
        <v>1379</v>
      </c>
      <c r="W80" t="s">
        <v>1285</v>
      </c>
      <c r="X80" t="s">
        <v>1372</v>
      </c>
      <c r="Y80" t="s">
        <v>1257</v>
      </c>
      <c r="Z80" t="s">
        <v>1257</v>
      </c>
      <c r="AA80" t="s">
        <v>1257</v>
      </c>
      <c r="AB80" t="s">
        <v>1257</v>
      </c>
      <c r="AC80" t="b">
        <v>0</v>
      </c>
      <c r="AD80" t="b">
        <v>0</v>
      </c>
      <c r="AE80" t="b">
        <v>0</v>
      </c>
      <c r="AF80" t="b">
        <v>0</v>
      </c>
      <c r="AG80" t="b">
        <v>0</v>
      </c>
      <c r="AH80" t="b">
        <v>0</v>
      </c>
      <c r="AI80" t="b">
        <v>0</v>
      </c>
      <c r="AJ80" t="b">
        <v>0</v>
      </c>
      <c r="AK80" t="b">
        <v>0</v>
      </c>
      <c r="AL80" t="b">
        <v>0</v>
      </c>
      <c r="AM80" t="b">
        <v>0</v>
      </c>
      <c r="AN80" t="b">
        <v>0</v>
      </c>
      <c r="AO80" t="b">
        <v>0</v>
      </c>
      <c r="AP80" t="b">
        <v>0</v>
      </c>
      <c r="AQ80" t="b">
        <v>0</v>
      </c>
      <c r="AR80" t="b">
        <v>0</v>
      </c>
      <c r="AS80" t="b">
        <v>0</v>
      </c>
      <c r="AT80" t="b">
        <v>0</v>
      </c>
      <c r="AU80" t="b">
        <v>0</v>
      </c>
      <c r="AV80" t="b">
        <v>0</v>
      </c>
      <c r="AW80" t="b">
        <v>0</v>
      </c>
      <c r="AX80" t="b">
        <v>0</v>
      </c>
      <c r="AY80" t="b">
        <v>0</v>
      </c>
      <c r="AZ80" t="b">
        <v>0</v>
      </c>
      <c r="BA80" t="b">
        <v>0</v>
      </c>
      <c r="BB80" t="b">
        <v>0</v>
      </c>
      <c r="BC80" t="b">
        <v>0</v>
      </c>
      <c r="BD80" t="b">
        <v>0</v>
      </c>
      <c r="BE80" t="b">
        <v>0</v>
      </c>
      <c r="BF80" t="b">
        <v>0</v>
      </c>
      <c r="BG80" t="b">
        <v>0</v>
      </c>
      <c r="BH80" t="b">
        <v>0</v>
      </c>
      <c r="BI80" t="b">
        <v>0</v>
      </c>
      <c r="BJ80" t="b">
        <v>0</v>
      </c>
      <c r="BK80" t="b">
        <v>0</v>
      </c>
      <c r="BL80" t="b">
        <v>0</v>
      </c>
      <c r="BM80" t="b">
        <v>0</v>
      </c>
      <c r="BN80" t="b">
        <v>1</v>
      </c>
      <c r="BO80" t="b">
        <v>1</v>
      </c>
      <c r="BP80" t="b">
        <v>0</v>
      </c>
      <c r="BQ80" t="b">
        <v>0</v>
      </c>
      <c r="BR80" t="b">
        <v>1</v>
      </c>
      <c r="BS80" t="b">
        <v>1</v>
      </c>
      <c r="BT80" t="b">
        <v>0</v>
      </c>
      <c r="BU80" t="b">
        <v>0</v>
      </c>
      <c r="BV80" t="b">
        <v>0</v>
      </c>
      <c r="BW80" t="b">
        <v>0</v>
      </c>
      <c r="BX80" t="b">
        <v>0</v>
      </c>
      <c r="BY80" t="b">
        <v>0</v>
      </c>
      <c r="BZ80" t="b">
        <v>0</v>
      </c>
      <c r="CA80" t="b">
        <v>0</v>
      </c>
      <c r="CB80" t="b">
        <v>0</v>
      </c>
      <c r="CC80" t="s">
        <v>1253</v>
      </c>
      <c r="CD80" t="s">
        <v>1492</v>
      </c>
      <c r="CE80" t="s">
        <v>1495</v>
      </c>
      <c r="CF80" t="s">
        <v>1495</v>
      </c>
      <c r="CG80" t="b">
        <v>0</v>
      </c>
      <c r="CH80">
        <v>0</v>
      </c>
      <c r="CI80" t="s">
        <v>1656</v>
      </c>
      <c r="CJ80" t="s">
        <v>1653</v>
      </c>
      <c r="CK80" t="s">
        <v>1321</v>
      </c>
      <c r="CL80" t="s">
        <v>1657</v>
      </c>
    </row>
    <row r="81" spans="1:90">
      <c r="A81">
        <v>546</v>
      </c>
      <c r="B81">
        <v>100044</v>
      </c>
      <c r="C81" t="s">
        <v>1320</v>
      </c>
      <c r="D81">
        <v>2</v>
      </c>
      <c r="E81" t="s">
        <v>1492</v>
      </c>
      <c r="F81">
        <v>22</v>
      </c>
      <c r="G81">
        <v>1</v>
      </c>
      <c r="H81">
        <v>2</v>
      </c>
      <c r="I81" t="s">
        <v>928</v>
      </c>
      <c r="J81" t="s">
        <v>1254</v>
      </c>
      <c r="K81" t="s">
        <v>15</v>
      </c>
      <c r="L81" t="s">
        <v>1511</v>
      </c>
      <c r="M81" t="s">
        <v>1492</v>
      </c>
      <c r="N81" t="s">
        <v>1492</v>
      </c>
      <c r="O81" t="s">
        <v>1285</v>
      </c>
      <c r="P81" t="s">
        <v>1379</v>
      </c>
      <c r="Q81" t="s">
        <v>1285</v>
      </c>
      <c r="R81" t="s">
        <v>1379</v>
      </c>
      <c r="S81" t="s">
        <v>1285</v>
      </c>
      <c r="T81" t="s">
        <v>1379</v>
      </c>
      <c r="U81" t="s">
        <v>1285</v>
      </c>
      <c r="V81" t="s">
        <v>1379</v>
      </c>
      <c r="W81" t="s">
        <v>1285</v>
      </c>
      <c r="X81" t="s">
        <v>1372</v>
      </c>
      <c r="Y81" t="s">
        <v>1257</v>
      </c>
      <c r="Z81" t="s">
        <v>1257</v>
      </c>
      <c r="AA81" t="s">
        <v>1257</v>
      </c>
      <c r="AB81" t="s">
        <v>1257</v>
      </c>
      <c r="AC81" t="b">
        <v>0</v>
      </c>
      <c r="AD81" t="b">
        <v>0</v>
      </c>
      <c r="AE81" t="b">
        <v>0</v>
      </c>
      <c r="AF81" t="b">
        <v>0</v>
      </c>
      <c r="AG81" t="b">
        <v>0</v>
      </c>
      <c r="AH81" t="b">
        <v>0</v>
      </c>
      <c r="AI81" t="b">
        <v>0</v>
      </c>
      <c r="AJ81" t="b">
        <v>0</v>
      </c>
      <c r="AK81" t="b">
        <v>0</v>
      </c>
      <c r="AL81" t="b">
        <v>0</v>
      </c>
      <c r="AM81" t="b">
        <v>0</v>
      </c>
      <c r="AN81" t="b">
        <v>0</v>
      </c>
      <c r="AO81" t="b">
        <v>0</v>
      </c>
      <c r="AP81" t="b">
        <v>0</v>
      </c>
      <c r="AQ81" t="b">
        <v>0</v>
      </c>
      <c r="AR81" t="b">
        <v>0</v>
      </c>
      <c r="AS81" t="b">
        <v>0</v>
      </c>
      <c r="AT81" t="b">
        <v>0</v>
      </c>
      <c r="AU81" t="b">
        <v>0</v>
      </c>
      <c r="AV81" t="b">
        <v>0</v>
      </c>
      <c r="AW81" t="b">
        <v>0</v>
      </c>
      <c r="AX81" t="b">
        <v>0</v>
      </c>
      <c r="AY81" t="b">
        <v>0</v>
      </c>
      <c r="AZ81" t="b">
        <v>0</v>
      </c>
      <c r="BA81" t="b">
        <v>0</v>
      </c>
      <c r="BB81" t="b">
        <v>0</v>
      </c>
      <c r="BC81" t="b">
        <v>0</v>
      </c>
      <c r="BD81" t="b">
        <v>0</v>
      </c>
      <c r="BE81" t="b">
        <v>0</v>
      </c>
      <c r="BF81" t="b">
        <v>0</v>
      </c>
      <c r="BG81" t="b">
        <v>0</v>
      </c>
      <c r="BH81" t="b">
        <v>0</v>
      </c>
      <c r="BI81" t="b">
        <v>0</v>
      </c>
      <c r="BJ81" t="b">
        <v>0</v>
      </c>
      <c r="BK81" t="b">
        <v>0</v>
      </c>
      <c r="BL81" t="b">
        <v>0</v>
      </c>
      <c r="BM81" t="b">
        <v>0</v>
      </c>
      <c r="BN81" t="b">
        <v>1</v>
      </c>
      <c r="BO81" t="b">
        <v>1</v>
      </c>
      <c r="BP81" t="b">
        <v>0</v>
      </c>
      <c r="BQ81" t="b">
        <v>0</v>
      </c>
      <c r="BR81" t="b">
        <v>1</v>
      </c>
      <c r="BS81" t="b">
        <v>1</v>
      </c>
      <c r="BT81" t="b">
        <v>0</v>
      </c>
      <c r="BU81" t="b">
        <v>0</v>
      </c>
      <c r="BV81" t="b">
        <v>0</v>
      </c>
      <c r="BW81" t="b">
        <v>0</v>
      </c>
      <c r="BX81" t="b">
        <v>0</v>
      </c>
      <c r="BY81" t="b">
        <v>0</v>
      </c>
      <c r="BZ81" t="b">
        <v>0</v>
      </c>
      <c r="CA81" t="b">
        <v>0</v>
      </c>
      <c r="CB81" t="b">
        <v>0</v>
      </c>
      <c r="CC81" t="s">
        <v>1253</v>
      </c>
      <c r="CD81" t="s">
        <v>1492</v>
      </c>
      <c r="CE81" t="s">
        <v>1495</v>
      </c>
      <c r="CF81" t="s">
        <v>1495</v>
      </c>
      <c r="CG81" t="b">
        <v>0</v>
      </c>
      <c r="CH81">
        <v>0</v>
      </c>
      <c r="CI81" t="s">
        <v>1656</v>
      </c>
      <c r="CJ81" t="s">
        <v>1653</v>
      </c>
      <c r="CK81" t="s">
        <v>1321</v>
      </c>
      <c r="CL81" t="s">
        <v>1658</v>
      </c>
    </row>
    <row r="82" spans="1:90">
      <c r="A82">
        <v>517</v>
      </c>
      <c r="B82">
        <v>100030</v>
      </c>
      <c r="C82" t="s">
        <v>1250</v>
      </c>
      <c r="D82">
        <v>1</v>
      </c>
      <c r="E82" t="s">
        <v>1492</v>
      </c>
      <c r="F82">
        <v>10</v>
      </c>
      <c r="G82">
        <v>1</v>
      </c>
      <c r="H82">
        <v>2</v>
      </c>
      <c r="I82" t="s">
        <v>580</v>
      </c>
      <c r="J82" t="s">
        <v>1297</v>
      </c>
      <c r="K82" t="s">
        <v>16</v>
      </c>
      <c r="L82" t="s">
        <v>1492</v>
      </c>
      <c r="M82" t="s">
        <v>1492</v>
      </c>
      <c r="N82" t="s">
        <v>1492</v>
      </c>
      <c r="O82" t="s">
        <v>1302</v>
      </c>
      <c r="P82" t="s">
        <v>1379</v>
      </c>
      <c r="Q82" t="s">
        <v>1302</v>
      </c>
      <c r="R82" t="s">
        <v>1379</v>
      </c>
      <c r="S82" t="s">
        <v>1302</v>
      </c>
      <c r="T82" t="s">
        <v>1379</v>
      </c>
      <c r="U82" t="s">
        <v>1302</v>
      </c>
      <c r="V82" t="s">
        <v>1379</v>
      </c>
      <c r="W82" t="s">
        <v>1302</v>
      </c>
      <c r="X82" t="s">
        <v>1372</v>
      </c>
      <c r="Y82" t="s">
        <v>1257</v>
      </c>
      <c r="Z82" t="s">
        <v>1257</v>
      </c>
      <c r="AA82" t="s">
        <v>1257</v>
      </c>
      <c r="AB82" t="s">
        <v>1257</v>
      </c>
      <c r="AC82" t="b">
        <v>0</v>
      </c>
      <c r="AD82" t="b">
        <v>0</v>
      </c>
      <c r="AE82" t="b">
        <v>0</v>
      </c>
      <c r="AF82" t="b">
        <v>0</v>
      </c>
      <c r="AG82" t="b">
        <v>0</v>
      </c>
      <c r="AH82" t="b">
        <v>0</v>
      </c>
      <c r="AI82" t="b">
        <v>0</v>
      </c>
      <c r="AJ82" t="b">
        <v>0</v>
      </c>
      <c r="AK82" t="b">
        <v>0</v>
      </c>
      <c r="AL82" t="b">
        <v>0</v>
      </c>
      <c r="AM82" t="b">
        <v>0</v>
      </c>
      <c r="AN82" t="b">
        <v>0</v>
      </c>
      <c r="AO82" t="b">
        <v>0</v>
      </c>
      <c r="AP82" t="b">
        <v>0</v>
      </c>
      <c r="AQ82" t="b">
        <v>0</v>
      </c>
      <c r="AR82" t="b">
        <v>0</v>
      </c>
      <c r="AS82" t="b">
        <v>0</v>
      </c>
      <c r="AT82" t="b">
        <v>0</v>
      </c>
      <c r="AU82" t="b">
        <v>0</v>
      </c>
      <c r="AV82" t="b">
        <v>0</v>
      </c>
      <c r="AW82" t="b">
        <v>0</v>
      </c>
      <c r="AX82" t="b">
        <v>0</v>
      </c>
      <c r="AY82" t="b">
        <v>0</v>
      </c>
      <c r="AZ82" t="b">
        <v>0</v>
      </c>
      <c r="BA82" t="b">
        <v>0</v>
      </c>
      <c r="BB82" t="b">
        <v>0</v>
      </c>
      <c r="BC82" t="b">
        <v>0</v>
      </c>
      <c r="BD82" t="b">
        <v>0</v>
      </c>
      <c r="BE82" t="b">
        <v>0</v>
      </c>
      <c r="BF82" t="b">
        <v>1</v>
      </c>
      <c r="BG82" t="b">
        <v>1</v>
      </c>
      <c r="BH82" t="b">
        <v>1</v>
      </c>
      <c r="BI82" t="b">
        <v>1</v>
      </c>
      <c r="BJ82" t="b">
        <v>1</v>
      </c>
      <c r="BK82" t="b">
        <v>1</v>
      </c>
      <c r="BL82" t="b">
        <v>1</v>
      </c>
      <c r="BM82" t="b">
        <v>1</v>
      </c>
      <c r="BN82" t="b">
        <v>0</v>
      </c>
      <c r="BO82" t="b">
        <v>0</v>
      </c>
      <c r="BP82" t="b">
        <v>0</v>
      </c>
      <c r="BQ82" t="b">
        <v>0</v>
      </c>
      <c r="BR82" t="b">
        <v>0</v>
      </c>
      <c r="BS82" t="b">
        <v>0</v>
      </c>
      <c r="BT82" t="b">
        <v>1</v>
      </c>
      <c r="BU82" t="b">
        <v>1</v>
      </c>
      <c r="BV82" t="b">
        <v>0</v>
      </c>
      <c r="BW82" t="b">
        <v>0</v>
      </c>
      <c r="BX82" t="b">
        <v>0</v>
      </c>
      <c r="BY82" t="b">
        <v>0</v>
      </c>
      <c r="BZ82" t="b">
        <v>0</v>
      </c>
      <c r="CA82" t="b">
        <v>0</v>
      </c>
      <c r="CB82" t="b">
        <v>0</v>
      </c>
      <c r="CC82" t="s">
        <v>1253</v>
      </c>
      <c r="CD82" t="s">
        <v>1492</v>
      </c>
      <c r="CE82" t="s">
        <v>1495</v>
      </c>
      <c r="CF82" t="s">
        <v>1495</v>
      </c>
      <c r="CG82" t="b">
        <v>0</v>
      </c>
      <c r="CH82">
        <v>0</v>
      </c>
      <c r="CI82" t="s">
        <v>1659</v>
      </c>
      <c r="CJ82" t="s">
        <v>1660</v>
      </c>
      <c r="CK82" t="s">
        <v>1251</v>
      </c>
      <c r="CL82" t="s">
        <v>1661</v>
      </c>
    </row>
    <row r="83" spans="1:90">
      <c r="A83">
        <v>518</v>
      </c>
      <c r="B83">
        <v>100030</v>
      </c>
      <c r="C83" t="s">
        <v>1250</v>
      </c>
      <c r="D83">
        <v>2</v>
      </c>
      <c r="E83" t="s">
        <v>1492</v>
      </c>
      <c r="F83">
        <v>10</v>
      </c>
      <c r="G83">
        <v>1</v>
      </c>
      <c r="H83">
        <v>2</v>
      </c>
      <c r="I83" t="s">
        <v>580</v>
      </c>
      <c r="J83" t="s">
        <v>1297</v>
      </c>
      <c r="K83" t="s">
        <v>16</v>
      </c>
      <c r="L83" t="s">
        <v>1511</v>
      </c>
      <c r="M83" t="s">
        <v>1492</v>
      </c>
      <c r="N83" t="s">
        <v>1492</v>
      </c>
      <c r="O83" t="s">
        <v>1302</v>
      </c>
      <c r="P83" t="s">
        <v>1379</v>
      </c>
      <c r="Q83" t="s">
        <v>1302</v>
      </c>
      <c r="R83" t="s">
        <v>1379</v>
      </c>
      <c r="S83" t="s">
        <v>1302</v>
      </c>
      <c r="T83" t="s">
        <v>1379</v>
      </c>
      <c r="U83" t="s">
        <v>1302</v>
      </c>
      <c r="V83" t="s">
        <v>1379</v>
      </c>
      <c r="W83" t="s">
        <v>1302</v>
      </c>
      <c r="X83" t="s">
        <v>1372</v>
      </c>
      <c r="Y83" t="s">
        <v>1257</v>
      </c>
      <c r="Z83" t="s">
        <v>1257</v>
      </c>
      <c r="AA83" t="s">
        <v>1257</v>
      </c>
      <c r="AB83" t="s">
        <v>1257</v>
      </c>
      <c r="AC83" t="b">
        <v>0</v>
      </c>
      <c r="AD83" t="b">
        <v>0</v>
      </c>
      <c r="AE83" t="b">
        <v>0</v>
      </c>
      <c r="AF83" t="b">
        <v>0</v>
      </c>
      <c r="AG83" t="b">
        <v>0</v>
      </c>
      <c r="AH83" t="b">
        <v>0</v>
      </c>
      <c r="AI83" t="b">
        <v>0</v>
      </c>
      <c r="AJ83" t="b">
        <v>0</v>
      </c>
      <c r="AK83" t="b">
        <v>0</v>
      </c>
      <c r="AL83" t="b">
        <v>0</v>
      </c>
      <c r="AM83" t="b">
        <v>0</v>
      </c>
      <c r="AN83" t="b">
        <v>0</v>
      </c>
      <c r="AO83" t="b">
        <v>0</v>
      </c>
      <c r="AP83" t="b">
        <v>0</v>
      </c>
      <c r="AQ83" t="b">
        <v>0</v>
      </c>
      <c r="AR83" t="b">
        <v>0</v>
      </c>
      <c r="AS83" t="b">
        <v>0</v>
      </c>
      <c r="AT83" t="b">
        <v>0</v>
      </c>
      <c r="AU83" t="b">
        <v>0</v>
      </c>
      <c r="AV83" t="b">
        <v>0</v>
      </c>
      <c r="AW83" t="b">
        <v>0</v>
      </c>
      <c r="AX83" t="b">
        <v>0</v>
      </c>
      <c r="AY83" t="b">
        <v>0</v>
      </c>
      <c r="AZ83" t="b">
        <v>0</v>
      </c>
      <c r="BA83" t="b">
        <v>0</v>
      </c>
      <c r="BB83" t="b">
        <v>0</v>
      </c>
      <c r="BC83" t="b">
        <v>0</v>
      </c>
      <c r="BD83" t="b">
        <v>0</v>
      </c>
      <c r="BE83" t="b">
        <v>0</v>
      </c>
      <c r="BF83" t="b">
        <v>1</v>
      </c>
      <c r="BG83" t="b">
        <v>1</v>
      </c>
      <c r="BH83" t="b">
        <v>1</v>
      </c>
      <c r="BI83" t="b">
        <v>1</v>
      </c>
      <c r="BJ83" t="b">
        <v>1</v>
      </c>
      <c r="BK83" t="b">
        <v>1</v>
      </c>
      <c r="BL83" t="b">
        <v>1</v>
      </c>
      <c r="BM83" t="b">
        <v>1</v>
      </c>
      <c r="BN83" t="b">
        <v>0</v>
      </c>
      <c r="BO83" t="b">
        <v>0</v>
      </c>
      <c r="BP83" t="b">
        <v>0</v>
      </c>
      <c r="BQ83" t="b">
        <v>0</v>
      </c>
      <c r="BR83" t="b">
        <v>0</v>
      </c>
      <c r="BS83" t="b">
        <v>0</v>
      </c>
      <c r="BT83" t="b">
        <v>1</v>
      </c>
      <c r="BU83" t="b">
        <v>1</v>
      </c>
      <c r="BV83" t="b">
        <v>0</v>
      </c>
      <c r="BW83" t="b">
        <v>0</v>
      </c>
      <c r="BX83" t="b">
        <v>0</v>
      </c>
      <c r="BY83" t="b">
        <v>0</v>
      </c>
      <c r="BZ83" t="b">
        <v>0</v>
      </c>
      <c r="CA83" t="b">
        <v>0</v>
      </c>
      <c r="CB83" t="b">
        <v>0</v>
      </c>
      <c r="CC83" t="s">
        <v>1253</v>
      </c>
      <c r="CD83" t="s">
        <v>1492</v>
      </c>
      <c r="CE83" t="s">
        <v>1495</v>
      </c>
      <c r="CF83" t="s">
        <v>1495</v>
      </c>
      <c r="CG83" t="b">
        <v>0</v>
      </c>
      <c r="CH83">
        <v>0</v>
      </c>
      <c r="CI83" t="s">
        <v>1662</v>
      </c>
      <c r="CJ83" t="s">
        <v>1660</v>
      </c>
      <c r="CK83" t="s">
        <v>1251</v>
      </c>
      <c r="CL83" t="s">
        <v>1663</v>
      </c>
    </row>
    <row r="84" spans="1:90">
      <c r="A84">
        <v>547</v>
      </c>
      <c r="B84">
        <v>100030</v>
      </c>
      <c r="C84" t="s">
        <v>1320</v>
      </c>
      <c r="D84">
        <v>1</v>
      </c>
      <c r="E84" t="s">
        <v>1492</v>
      </c>
      <c r="F84">
        <v>10</v>
      </c>
      <c r="G84">
        <v>1</v>
      </c>
      <c r="H84">
        <v>2</v>
      </c>
      <c r="I84" t="s">
        <v>580</v>
      </c>
      <c r="J84" t="s">
        <v>1254</v>
      </c>
      <c r="K84" t="s">
        <v>16</v>
      </c>
      <c r="L84" t="s">
        <v>1492</v>
      </c>
      <c r="M84" t="s">
        <v>1492</v>
      </c>
      <c r="N84" t="s">
        <v>1492</v>
      </c>
      <c r="O84" t="s">
        <v>1302</v>
      </c>
      <c r="P84" t="s">
        <v>1379</v>
      </c>
      <c r="Q84" t="s">
        <v>1302</v>
      </c>
      <c r="R84" t="s">
        <v>1379</v>
      </c>
      <c r="S84" t="s">
        <v>1302</v>
      </c>
      <c r="T84" t="s">
        <v>1379</v>
      </c>
      <c r="U84" t="s">
        <v>1302</v>
      </c>
      <c r="V84" t="s">
        <v>1379</v>
      </c>
      <c r="W84" t="s">
        <v>1302</v>
      </c>
      <c r="X84" t="s">
        <v>1372</v>
      </c>
      <c r="Y84" t="s">
        <v>1257</v>
      </c>
      <c r="Z84" t="s">
        <v>1257</v>
      </c>
      <c r="AA84" t="s">
        <v>1257</v>
      </c>
      <c r="AB84" t="s">
        <v>1257</v>
      </c>
      <c r="AC84" t="b">
        <v>0</v>
      </c>
      <c r="AD84" t="b">
        <v>0</v>
      </c>
      <c r="AE84" t="b">
        <v>0</v>
      </c>
      <c r="AF84" t="b">
        <v>0</v>
      </c>
      <c r="AG84" t="b">
        <v>0</v>
      </c>
      <c r="AH84" t="b">
        <v>0</v>
      </c>
      <c r="AI84" t="b">
        <v>0</v>
      </c>
      <c r="AJ84" t="b">
        <v>0</v>
      </c>
      <c r="AK84" t="b">
        <v>0</v>
      </c>
      <c r="AL84" t="b">
        <v>0</v>
      </c>
      <c r="AM84" t="b">
        <v>0</v>
      </c>
      <c r="AN84" t="b">
        <v>0</v>
      </c>
      <c r="AO84" t="b">
        <v>0</v>
      </c>
      <c r="AP84" t="b">
        <v>0</v>
      </c>
      <c r="AQ84" t="b">
        <v>0</v>
      </c>
      <c r="AR84" t="b">
        <v>0</v>
      </c>
      <c r="AS84" t="b">
        <v>0</v>
      </c>
      <c r="AT84" t="b">
        <v>0</v>
      </c>
      <c r="AU84" t="b">
        <v>0</v>
      </c>
      <c r="AV84" t="b">
        <v>0</v>
      </c>
      <c r="AW84" t="b">
        <v>0</v>
      </c>
      <c r="AX84" t="b">
        <v>0</v>
      </c>
      <c r="AY84" t="b">
        <v>0</v>
      </c>
      <c r="AZ84" t="b">
        <v>0</v>
      </c>
      <c r="BA84" t="b">
        <v>0</v>
      </c>
      <c r="BB84" t="b">
        <v>0</v>
      </c>
      <c r="BC84" t="b">
        <v>0</v>
      </c>
      <c r="BD84" t="b">
        <v>0</v>
      </c>
      <c r="BE84" t="b">
        <v>0</v>
      </c>
      <c r="BF84" t="b">
        <v>0</v>
      </c>
      <c r="BG84" t="b">
        <v>0</v>
      </c>
      <c r="BH84" t="b">
        <v>0</v>
      </c>
      <c r="BI84" t="b">
        <v>0</v>
      </c>
      <c r="BJ84" t="b">
        <v>0</v>
      </c>
      <c r="BK84" t="b">
        <v>0</v>
      </c>
      <c r="BL84" t="b">
        <v>0</v>
      </c>
      <c r="BM84" t="b">
        <v>0</v>
      </c>
      <c r="BN84" t="b">
        <v>1</v>
      </c>
      <c r="BO84" t="b">
        <v>1</v>
      </c>
      <c r="BP84" t="b">
        <v>0</v>
      </c>
      <c r="BQ84" t="b">
        <v>0</v>
      </c>
      <c r="BR84" t="b">
        <v>1</v>
      </c>
      <c r="BS84" t="b">
        <v>1</v>
      </c>
      <c r="BT84" t="b">
        <v>0</v>
      </c>
      <c r="BU84" t="b">
        <v>0</v>
      </c>
      <c r="BV84" t="b">
        <v>0</v>
      </c>
      <c r="BW84" t="b">
        <v>0</v>
      </c>
      <c r="BX84" t="b">
        <v>0</v>
      </c>
      <c r="BY84" t="b">
        <v>0</v>
      </c>
      <c r="BZ84" t="b">
        <v>0</v>
      </c>
      <c r="CA84" t="b">
        <v>0</v>
      </c>
      <c r="CB84" t="b">
        <v>0</v>
      </c>
      <c r="CC84" t="s">
        <v>1253</v>
      </c>
      <c r="CD84" t="s">
        <v>1492</v>
      </c>
      <c r="CE84" t="s">
        <v>1495</v>
      </c>
      <c r="CF84" t="s">
        <v>1495</v>
      </c>
      <c r="CG84" t="b">
        <v>0</v>
      </c>
      <c r="CH84">
        <v>0</v>
      </c>
      <c r="CI84" t="s">
        <v>1656</v>
      </c>
      <c r="CJ84" t="s">
        <v>1660</v>
      </c>
      <c r="CK84" t="s">
        <v>1321</v>
      </c>
      <c r="CL84" t="s">
        <v>1664</v>
      </c>
    </row>
    <row r="85" spans="1:90">
      <c r="A85">
        <v>548</v>
      </c>
      <c r="B85">
        <v>100030</v>
      </c>
      <c r="C85" t="s">
        <v>1320</v>
      </c>
      <c r="D85">
        <v>2</v>
      </c>
      <c r="E85" t="s">
        <v>1492</v>
      </c>
      <c r="F85">
        <v>10</v>
      </c>
      <c r="G85">
        <v>1</v>
      </c>
      <c r="H85">
        <v>2</v>
      </c>
      <c r="I85" t="s">
        <v>580</v>
      </c>
      <c r="J85" t="s">
        <v>1254</v>
      </c>
      <c r="K85" t="s">
        <v>16</v>
      </c>
      <c r="L85" t="s">
        <v>1492</v>
      </c>
      <c r="M85" t="s">
        <v>1492</v>
      </c>
      <c r="N85" t="s">
        <v>1492</v>
      </c>
      <c r="O85" t="s">
        <v>1302</v>
      </c>
      <c r="P85" t="s">
        <v>1379</v>
      </c>
      <c r="Q85" t="s">
        <v>1302</v>
      </c>
      <c r="R85" t="s">
        <v>1379</v>
      </c>
      <c r="S85" t="s">
        <v>1302</v>
      </c>
      <c r="T85" t="s">
        <v>1379</v>
      </c>
      <c r="U85" t="s">
        <v>1302</v>
      </c>
      <c r="V85" t="s">
        <v>1379</v>
      </c>
      <c r="W85" t="s">
        <v>1302</v>
      </c>
      <c r="X85" t="s">
        <v>1372</v>
      </c>
      <c r="Y85" t="s">
        <v>1257</v>
      </c>
      <c r="Z85" t="s">
        <v>1257</v>
      </c>
      <c r="AA85" t="s">
        <v>1257</v>
      </c>
      <c r="AB85" t="s">
        <v>1257</v>
      </c>
      <c r="AC85" t="b">
        <v>0</v>
      </c>
      <c r="AD85" t="b">
        <v>0</v>
      </c>
      <c r="AE85" t="b">
        <v>0</v>
      </c>
      <c r="AF85" t="b">
        <v>0</v>
      </c>
      <c r="AG85" t="b">
        <v>0</v>
      </c>
      <c r="AH85" t="b">
        <v>0</v>
      </c>
      <c r="AI85" t="b">
        <v>0</v>
      </c>
      <c r="AJ85" t="b">
        <v>0</v>
      </c>
      <c r="AK85" t="b">
        <v>0</v>
      </c>
      <c r="AL85" t="b">
        <v>0</v>
      </c>
      <c r="AM85" t="b">
        <v>0</v>
      </c>
      <c r="AN85" t="b">
        <v>0</v>
      </c>
      <c r="AO85" t="b">
        <v>0</v>
      </c>
      <c r="AP85" t="b">
        <v>0</v>
      </c>
      <c r="AQ85" t="b">
        <v>0</v>
      </c>
      <c r="AR85" t="b">
        <v>0</v>
      </c>
      <c r="AS85" t="b">
        <v>0</v>
      </c>
      <c r="AT85" t="b">
        <v>0</v>
      </c>
      <c r="AU85" t="b">
        <v>0</v>
      </c>
      <c r="AV85" t="b">
        <v>0</v>
      </c>
      <c r="AW85" t="b">
        <v>0</v>
      </c>
      <c r="AX85" t="b">
        <v>0</v>
      </c>
      <c r="AY85" t="b">
        <v>0</v>
      </c>
      <c r="AZ85" t="b">
        <v>0</v>
      </c>
      <c r="BA85" t="b">
        <v>0</v>
      </c>
      <c r="BB85" t="b">
        <v>0</v>
      </c>
      <c r="BC85" t="b">
        <v>0</v>
      </c>
      <c r="BD85" t="b">
        <v>0</v>
      </c>
      <c r="BE85" t="b">
        <v>0</v>
      </c>
      <c r="BF85" t="b">
        <v>0</v>
      </c>
      <c r="BG85" t="b">
        <v>0</v>
      </c>
      <c r="BH85" t="b">
        <v>0</v>
      </c>
      <c r="BI85" t="b">
        <v>0</v>
      </c>
      <c r="BJ85" t="b">
        <v>0</v>
      </c>
      <c r="BK85" t="b">
        <v>0</v>
      </c>
      <c r="BL85" t="b">
        <v>0</v>
      </c>
      <c r="BM85" t="b">
        <v>0</v>
      </c>
      <c r="BN85" t="b">
        <v>1</v>
      </c>
      <c r="BO85" t="b">
        <v>1</v>
      </c>
      <c r="BP85" t="b">
        <v>0</v>
      </c>
      <c r="BQ85" t="b">
        <v>0</v>
      </c>
      <c r="BR85" t="b">
        <v>1</v>
      </c>
      <c r="BS85" t="b">
        <v>1</v>
      </c>
      <c r="BT85" t="b">
        <v>0</v>
      </c>
      <c r="BU85" t="b">
        <v>0</v>
      </c>
      <c r="BV85" t="b">
        <v>0</v>
      </c>
      <c r="BW85" t="b">
        <v>0</v>
      </c>
      <c r="BX85" t="b">
        <v>0</v>
      </c>
      <c r="BY85" t="b">
        <v>0</v>
      </c>
      <c r="BZ85" t="b">
        <v>0</v>
      </c>
      <c r="CA85" t="b">
        <v>0</v>
      </c>
      <c r="CB85" t="b">
        <v>0</v>
      </c>
      <c r="CC85" t="s">
        <v>1253</v>
      </c>
      <c r="CD85" t="s">
        <v>1492</v>
      </c>
      <c r="CE85" t="s">
        <v>1495</v>
      </c>
      <c r="CF85" t="s">
        <v>1495</v>
      </c>
      <c r="CG85" t="b">
        <v>0</v>
      </c>
      <c r="CH85">
        <v>0</v>
      </c>
      <c r="CI85" t="s">
        <v>1656</v>
      </c>
      <c r="CJ85" t="s">
        <v>1660</v>
      </c>
      <c r="CK85" t="s">
        <v>1321</v>
      </c>
      <c r="CL85" t="s">
        <v>1665</v>
      </c>
    </row>
    <row r="86" spans="1:90">
      <c r="A86">
        <v>549</v>
      </c>
      <c r="B86">
        <v>100045</v>
      </c>
      <c r="C86" t="s">
        <v>1250</v>
      </c>
      <c r="D86">
        <v>1</v>
      </c>
      <c r="E86" t="s">
        <v>1492</v>
      </c>
      <c r="F86">
        <v>5</v>
      </c>
      <c r="G86">
        <v>1</v>
      </c>
      <c r="H86">
        <v>3</v>
      </c>
      <c r="I86" t="s">
        <v>1492</v>
      </c>
      <c r="J86" t="s">
        <v>1254</v>
      </c>
      <c r="K86" t="s">
        <v>15</v>
      </c>
      <c r="L86" t="s">
        <v>1511</v>
      </c>
      <c r="M86" t="s">
        <v>1492</v>
      </c>
      <c r="N86" t="s">
        <v>1492</v>
      </c>
      <c r="O86" t="s">
        <v>1302</v>
      </c>
      <c r="P86" t="s">
        <v>1379</v>
      </c>
      <c r="Q86" t="s">
        <v>1302</v>
      </c>
      <c r="R86" t="s">
        <v>1379</v>
      </c>
      <c r="S86" t="s">
        <v>1302</v>
      </c>
      <c r="T86" t="s">
        <v>1379</v>
      </c>
      <c r="U86" t="s">
        <v>1302</v>
      </c>
      <c r="V86" t="s">
        <v>1379</v>
      </c>
      <c r="W86" t="s">
        <v>1302</v>
      </c>
      <c r="X86" t="s">
        <v>1372</v>
      </c>
      <c r="Y86" t="s">
        <v>1257</v>
      </c>
      <c r="Z86" t="s">
        <v>1257</v>
      </c>
      <c r="AA86" t="s">
        <v>1257</v>
      </c>
      <c r="AB86" t="s">
        <v>1257</v>
      </c>
      <c r="AC86" t="b">
        <v>0</v>
      </c>
      <c r="AD86" t="b">
        <v>0</v>
      </c>
      <c r="AE86" t="b">
        <v>0</v>
      </c>
      <c r="AF86" t="b">
        <v>0</v>
      </c>
      <c r="AG86" t="b">
        <v>0</v>
      </c>
      <c r="AH86" t="b">
        <v>0</v>
      </c>
      <c r="AI86" t="b">
        <v>0</v>
      </c>
      <c r="AJ86" t="b">
        <v>0</v>
      </c>
      <c r="AK86" t="b">
        <v>0</v>
      </c>
      <c r="AL86" t="b">
        <v>0</v>
      </c>
      <c r="AM86" t="b">
        <v>0</v>
      </c>
      <c r="AN86" t="b">
        <v>0</v>
      </c>
      <c r="AO86" t="b">
        <v>0</v>
      </c>
      <c r="AP86" t="b">
        <v>0</v>
      </c>
      <c r="AQ86" t="b">
        <v>0</v>
      </c>
      <c r="AR86" t="b">
        <v>0</v>
      </c>
      <c r="AS86" t="b">
        <v>0</v>
      </c>
      <c r="AT86" t="b">
        <v>0</v>
      </c>
      <c r="AU86" t="b">
        <v>0</v>
      </c>
      <c r="AV86" t="b">
        <v>0</v>
      </c>
      <c r="AW86" t="b">
        <v>0</v>
      </c>
      <c r="AX86" t="b">
        <v>0</v>
      </c>
      <c r="AY86" t="b">
        <v>0</v>
      </c>
      <c r="AZ86" t="b">
        <v>0</v>
      </c>
      <c r="BA86" t="b">
        <v>0</v>
      </c>
      <c r="BB86" t="b">
        <v>0</v>
      </c>
      <c r="BC86" t="b">
        <v>0</v>
      </c>
      <c r="BD86" t="b">
        <v>0</v>
      </c>
      <c r="BE86" t="b">
        <v>0</v>
      </c>
      <c r="BF86" t="b">
        <v>0</v>
      </c>
      <c r="BG86" t="b">
        <v>0</v>
      </c>
      <c r="BH86" t="b">
        <v>0</v>
      </c>
      <c r="BI86" t="b">
        <v>0</v>
      </c>
      <c r="BJ86" t="b">
        <v>0</v>
      </c>
      <c r="BK86" t="b">
        <v>0</v>
      </c>
      <c r="BL86" t="b">
        <v>0</v>
      </c>
      <c r="BM86" t="b">
        <v>0</v>
      </c>
      <c r="BN86" t="b">
        <v>0</v>
      </c>
      <c r="BO86" t="b">
        <v>0</v>
      </c>
      <c r="BP86" t="b">
        <v>0</v>
      </c>
      <c r="BQ86" t="b">
        <v>0</v>
      </c>
      <c r="BR86" t="b">
        <v>0</v>
      </c>
      <c r="BS86" t="b">
        <v>0</v>
      </c>
      <c r="BT86" t="b">
        <v>0</v>
      </c>
      <c r="BU86" t="b">
        <v>0</v>
      </c>
      <c r="BV86" t="b">
        <v>0</v>
      </c>
      <c r="BW86" t="b">
        <v>0</v>
      </c>
      <c r="BX86" t="b">
        <v>0</v>
      </c>
      <c r="BY86" t="b">
        <v>0</v>
      </c>
      <c r="BZ86" t="b">
        <v>0</v>
      </c>
      <c r="CA86" t="b">
        <v>0</v>
      </c>
      <c r="CB86" t="b">
        <v>0</v>
      </c>
      <c r="CC86" t="s">
        <v>1253</v>
      </c>
      <c r="CD86" t="s">
        <v>1492</v>
      </c>
      <c r="CE86" t="s">
        <v>1513</v>
      </c>
      <c r="CF86" t="s">
        <v>1495</v>
      </c>
      <c r="CG86" t="b">
        <v>1</v>
      </c>
      <c r="CH86">
        <v>0</v>
      </c>
      <c r="CI86" t="s">
        <v>1666</v>
      </c>
      <c r="CJ86" t="s">
        <v>1667</v>
      </c>
      <c r="CK86" t="s">
        <v>1251</v>
      </c>
      <c r="CL86" t="s">
        <v>1668</v>
      </c>
    </row>
    <row r="87" spans="1:90">
      <c r="A87">
        <v>521</v>
      </c>
      <c r="B87">
        <v>100032</v>
      </c>
      <c r="C87" t="s">
        <v>1250</v>
      </c>
      <c r="D87">
        <v>1</v>
      </c>
      <c r="E87" t="s">
        <v>1492</v>
      </c>
      <c r="F87">
        <v>4</v>
      </c>
      <c r="G87">
        <v>1</v>
      </c>
      <c r="H87">
        <v>3</v>
      </c>
      <c r="I87" t="s">
        <v>1492</v>
      </c>
      <c r="J87" t="s">
        <v>1254</v>
      </c>
      <c r="K87" t="s">
        <v>16</v>
      </c>
      <c r="L87" t="s">
        <v>1492</v>
      </c>
      <c r="M87" t="s">
        <v>1492</v>
      </c>
      <c r="N87" t="s">
        <v>1492</v>
      </c>
      <c r="O87" t="s">
        <v>1302</v>
      </c>
      <c r="P87" t="s">
        <v>1379</v>
      </c>
      <c r="Q87" t="s">
        <v>1302</v>
      </c>
      <c r="R87" t="s">
        <v>1379</v>
      </c>
      <c r="S87" t="s">
        <v>1302</v>
      </c>
      <c r="T87" t="s">
        <v>1379</v>
      </c>
      <c r="U87" t="s">
        <v>1302</v>
      </c>
      <c r="V87" t="s">
        <v>1379</v>
      </c>
      <c r="W87" t="s">
        <v>1285</v>
      </c>
      <c r="X87" t="s">
        <v>1372</v>
      </c>
      <c r="Y87" t="s">
        <v>1257</v>
      </c>
      <c r="Z87" t="s">
        <v>1257</v>
      </c>
      <c r="AA87" t="s">
        <v>1257</v>
      </c>
      <c r="AB87" t="s">
        <v>1257</v>
      </c>
      <c r="AC87" t="b">
        <v>0</v>
      </c>
      <c r="AD87" t="b">
        <v>0</v>
      </c>
      <c r="AE87" t="b">
        <v>0</v>
      </c>
      <c r="AF87" t="b">
        <v>0</v>
      </c>
      <c r="AG87" t="b">
        <v>0</v>
      </c>
      <c r="AH87" t="b">
        <v>0</v>
      </c>
      <c r="AI87" t="b">
        <v>0</v>
      </c>
      <c r="AJ87" t="b">
        <v>0</v>
      </c>
      <c r="AK87" t="b">
        <v>0</v>
      </c>
      <c r="AL87" t="b">
        <v>0</v>
      </c>
      <c r="AM87" t="b">
        <v>0</v>
      </c>
      <c r="AN87" t="b">
        <v>0</v>
      </c>
      <c r="AO87" t="b">
        <v>0</v>
      </c>
      <c r="AP87" t="b">
        <v>0</v>
      </c>
      <c r="AQ87" t="b">
        <v>0</v>
      </c>
      <c r="AR87" t="b">
        <v>0</v>
      </c>
      <c r="AS87" t="b">
        <v>0</v>
      </c>
      <c r="AT87" t="b">
        <v>0</v>
      </c>
      <c r="AU87" t="b">
        <v>0</v>
      </c>
      <c r="AV87" t="b">
        <v>0</v>
      </c>
      <c r="AW87" t="b">
        <v>0</v>
      </c>
      <c r="AX87" t="b">
        <v>0</v>
      </c>
      <c r="AY87" t="b">
        <v>0</v>
      </c>
      <c r="AZ87" t="b">
        <v>0</v>
      </c>
      <c r="BA87" t="b">
        <v>0</v>
      </c>
      <c r="BB87" t="b">
        <v>0</v>
      </c>
      <c r="BC87" t="b">
        <v>0</v>
      </c>
      <c r="BD87" t="b">
        <v>0</v>
      </c>
      <c r="BE87" t="b">
        <v>0</v>
      </c>
      <c r="BF87" t="b">
        <v>0</v>
      </c>
      <c r="BG87" t="b">
        <v>0</v>
      </c>
      <c r="BH87" t="b">
        <v>0</v>
      </c>
      <c r="BI87" t="b">
        <v>0</v>
      </c>
      <c r="BJ87" t="b">
        <v>0</v>
      </c>
      <c r="BK87" t="b">
        <v>0</v>
      </c>
      <c r="BL87" t="b">
        <v>0</v>
      </c>
      <c r="BM87" t="b">
        <v>0</v>
      </c>
      <c r="BN87" t="b">
        <v>0</v>
      </c>
      <c r="BO87" t="b">
        <v>0</v>
      </c>
      <c r="BP87" t="b">
        <v>0</v>
      </c>
      <c r="BQ87" t="b">
        <v>0</v>
      </c>
      <c r="BR87" t="b">
        <v>0</v>
      </c>
      <c r="BS87" t="b">
        <v>0</v>
      </c>
      <c r="BT87" t="b">
        <v>0</v>
      </c>
      <c r="BU87" t="b">
        <v>0</v>
      </c>
      <c r="BV87" t="b">
        <v>0</v>
      </c>
      <c r="BW87" t="b">
        <v>0</v>
      </c>
      <c r="BX87" t="b">
        <v>0</v>
      </c>
      <c r="BY87" t="b">
        <v>0</v>
      </c>
      <c r="BZ87" t="b">
        <v>0</v>
      </c>
      <c r="CA87" t="b">
        <v>0</v>
      </c>
      <c r="CB87" t="b">
        <v>0</v>
      </c>
      <c r="CC87" t="s">
        <v>1253</v>
      </c>
      <c r="CD87" t="s">
        <v>1492</v>
      </c>
      <c r="CE87" t="s">
        <v>1513</v>
      </c>
      <c r="CF87" t="s">
        <v>1495</v>
      </c>
      <c r="CG87" t="b">
        <v>1</v>
      </c>
      <c r="CH87">
        <v>0</v>
      </c>
      <c r="CI87" t="s">
        <v>1669</v>
      </c>
      <c r="CJ87" t="s">
        <v>1670</v>
      </c>
      <c r="CK87" t="s">
        <v>1251</v>
      </c>
      <c r="CL87" t="s">
        <v>1671</v>
      </c>
    </row>
    <row r="88" spans="1:90">
      <c r="A88">
        <v>551</v>
      </c>
      <c r="B88">
        <v>100047</v>
      </c>
      <c r="C88" t="s">
        <v>1250</v>
      </c>
      <c r="D88">
        <v>1</v>
      </c>
      <c r="E88" t="s">
        <v>1492</v>
      </c>
      <c r="F88">
        <v>6</v>
      </c>
      <c r="G88">
        <v>1</v>
      </c>
      <c r="H88">
        <v>2</v>
      </c>
      <c r="I88" t="s">
        <v>728</v>
      </c>
      <c r="J88" t="s">
        <v>1297</v>
      </c>
      <c r="K88" t="s">
        <v>15</v>
      </c>
      <c r="L88" t="s">
        <v>1511</v>
      </c>
      <c r="M88" t="s">
        <v>1576</v>
      </c>
      <c r="N88" t="s">
        <v>1492</v>
      </c>
      <c r="O88" t="s">
        <v>1302</v>
      </c>
      <c r="P88" t="s">
        <v>1379</v>
      </c>
      <c r="Q88" t="s">
        <v>1302</v>
      </c>
      <c r="R88" t="s">
        <v>1379</v>
      </c>
      <c r="S88" t="s">
        <v>1302</v>
      </c>
      <c r="T88" t="s">
        <v>1379</v>
      </c>
      <c r="U88" t="s">
        <v>1302</v>
      </c>
      <c r="V88" t="s">
        <v>1379</v>
      </c>
      <c r="W88" t="s">
        <v>1302</v>
      </c>
      <c r="X88" t="s">
        <v>1372</v>
      </c>
      <c r="Y88" t="s">
        <v>1257</v>
      </c>
      <c r="Z88" t="s">
        <v>1257</v>
      </c>
      <c r="AA88" t="s">
        <v>1257</v>
      </c>
      <c r="AB88" t="s">
        <v>1257</v>
      </c>
      <c r="AC88" t="b">
        <v>0</v>
      </c>
      <c r="AD88" t="b">
        <v>0</v>
      </c>
      <c r="AE88" t="b">
        <v>0</v>
      </c>
      <c r="AF88" t="b">
        <v>0</v>
      </c>
      <c r="AG88" t="b">
        <v>0</v>
      </c>
      <c r="AH88" t="b">
        <v>0</v>
      </c>
      <c r="AI88" t="b">
        <v>0</v>
      </c>
      <c r="AJ88" t="b">
        <v>0</v>
      </c>
      <c r="AK88" t="b">
        <v>0</v>
      </c>
      <c r="AL88" t="b">
        <v>0</v>
      </c>
      <c r="AM88" t="b">
        <v>0</v>
      </c>
      <c r="AN88" t="b">
        <v>0</v>
      </c>
      <c r="AO88" t="b">
        <v>0</v>
      </c>
      <c r="AP88" t="b">
        <v>0</v>
      </c>
      <c r="AQ88" t="b">
        <v>0</v>
      </c>
      <c r="AR88" t="b">
        <v>0</v>
      </c>
      <c r="AS88" t="b">
        <v>0</v>
      </c>
      <c r="AT88" t="b">
        <v>0</v>
      </c>
      <c r="AU88" t="b">
        <v>0</v>
      </c>
      <c r="AV88" t="b">
        <v>0</v>
      </c>
      <c r="AW88" t="b">
        <v>0</v>
      </c>
      <c r="AX88" t="b">
        <v>0</v>
      </c>
      <c r="AY88" t="b">
        <v>0</v>
      </c>
      <c r="AZ88" t="b">
        <v>0</v>
      </c>
      <c r="BA88" t="b">
        <v>0</v>
      </c>
      <c r="BB88" t="b">
        <v>0</v>
      </c>
      <c r="BC88" t="b">
        <v>0</v>
      </c>
      <c r="BD88" t="b">
        <v>0</v>
      </c>
      <c r="BE88" t="b">
        <v>0</v>
      </c>
      <c r="BF88" t="b">
        <v>0</v>
      </c>
      <c r="BG88" t="b">
        <v>0</v>
      </c>
      <c r="BH88" t="b">
        <v>0</v>
      </c>
      <c r="BI88" t="b">
        <v>0</v>
      </c>
      <c r="BJ88" t="b">
        <v>0</v>
      </c>
      <c r="BK88" t="b">
        <v>0</v>
      </c>
      <c r="BL88" t="b">
        <v>0</v>
      </c>
      <c r="BM88" t="b">
        <v>0</v>
      </c>
      <c r="BN88" t="b">
        <v>0</v>
      </c>
      <c r="BO88" t="b">
        <v>0</v>
      </c>
      <c r="BP88" t="b">
        <v>0</v>
      </c>
      <c r="BQ88" t="b">
        <v>0</v>
      </c>
      <c r="BR88" t="b">
        <v>0</v>
      </c>
      <c r="BS88" t="b">
        <v>0</v>
      </c>
      <c r="BT88" t="b">
        <v>0</v>
      </c>
      <c r="BU88" t="b">
        <v>0</v>
      </c>
      <c r="BV88" t="b">
        <v>0</v>
      </c>
      <c r="BW88" t="b">
        <v>0</v>
      </c>
      <c r="BX88" t="b">
        <v>0</v>
      </c>
      <c r="BY88" t="b">
        <v>0</v>
      </c>
      <c r="BZ88" t="b">
        <v>0</v>
      </c>
      <c r="CA88" t="b">
        <v>0</v>
      </c>
      <c r="CB88" t="b">
        <v>0</v>
      </c>
      <c r="CC88" t="s">
        <v>1253</v>
      </c>
      <c r="CD88" t="s">
        <v>1492</v>
      </c>
      <c r="CE88" t="s">
        <v>1518</v>
      </c>
      <c r="CF88" t="s">
        <v>1495</v>
      </c>
      <c r="CG88" t="b">
        <v>1</v>
      </c>
      <c r="CH88">
        <v>0</v>
      </c>
      <c r="CI88" t="s">
        <v>1672</v>
      </c>
      <c r="CJ88" t="s">
        <v>1673</v>
      </c>
      <c r="CK88" t="s">
        <v>1251</v>
      </c>
      <c r="CL88" t="s">
        <v>1674</v>
      </c>
    </row>
    <row r="89" spans="1:90">
      <c r="A89">
        <v>552</v>
      </c>
      <c r="B89">
        <v>100047</v>
      </c>
      <c r="C89" t="s">
        <v>1250</v>
      </c>
      <c r="D89">
        <v>2</v>
      </c>
      <c r="E89" t="s">
        <v>1492</v>
      </c>
      <c r="F89">
        <v>6</v>
      </c>
      <c r="G89">
        <v>1</v>
      </c>
      <c r="H89">
        <v>2</v>
      </c>
      <c r="I89" t="s">
        <v>728</v>
      </c>
      <c r="J89" t="s">
        <v>1297</v>
      </c>
      <c r="K89" t="s">
        <v>15</v>
      </c>
      <c r="L89" t="s">
        <v>1511</v>
      </c>
      <c r="M89" t="s">
        <v>1576</v>
      </c>
      <c r="N89" t="s">
        <v>1492</v>
      </c>
      <c r="O89" t="s">
        <v>1302</v>
      </c>
      <c r="P89" t="s">
        <v>1379</v>
      </c>
      <c r="Q89" t="s">
        <v>1302</v>
      </c>
      <c r="R89" t="s">
        <v>1379</v>
      </c>
      <c r="S89" t="s">
        <v>1302</v>
      </c>
      <c r="T89" t="s">
        <v>1379</v>
      </c>
      <c r="U89" t="s">
        <v>1302</v>
      </c>
      <c r="V89" t="s">
        <v>1379</v>
      </c>
      <c r="W89" t="s">
        <v>1302</v>
      </c>
      <c r="X89" t="s">
        <v>1372</v>
      </c>
      <c r="Y89" t="s">
        <v>1257</v>
      </c>
      <c r="Z89" t="s">
        <v>1257</v>
      </c>
      <c r="AA89" t="s">
        <v>1257</v>
      </c>
      <c r="AB89" t="s">
        <v>1257</v>
      </c>
      <c r="AC89" t="b">
        <v>0</v>
      </c>
      <c r="AD89" t="b">
        <v>0</v>
      </c>
      <c r="AE89" t="b">
        <v>0</v>
      </c>
      <c r="AF89" t="b">
        <v>0</v>
      </c>
      <c r="AG89" t="b">
        <v>0</v>
      </c>
      <c r="AH89" t="b">
        <v>0</v>
      </c>
      <c r="AI89" t="b">
        <v>0</v>
      </c>
      <c r="AJ89" t="b">
        <v>0</v>
      </c>
      <c r="AK89" t="b">
        <v>0</v>
      </c>
      <c r="AL89" t="b">
        <v>0</v>
      </c>
      <c r="AM89" t="b">
        <v>0</v>
      </c>
      <c r="AN89" t="b">
        <v>0</v>
      </c>
      <c r="AO89" t="b">
        <v>0</v>
      </c>
      <c r="AP89" t="b">
        <v>0</v>
      </c>
      <c r="AQ89" t="b">
        <v>0</v>
      </c>
      <c r="AR89" t="b">
        <v>0</v>
      </c>
      <c r="AS89" t="b">
        <v>0</v>
      </c>
      <c r="AT89" t="b">
        <v>0</v>
      </c>
      <c r="AU89" t="b">
        <v>0</v>
      </c>
      <c r="AV89" t="b">
        <v>0</v>
      </c>
      <c r="AW89" t="b">
        <v>0</v>
      </c>
      <c r="AX89" t="b">
        <v>0</v>
      </c>
      <c r="AY89" t="b">
        <v>0</v>
      </c>
      <c r="AZ89" t="b">
        <v>0</v>
      </c>
      <c r="BA89" t="b">
        <v>0</v>
      </c>
      <c r="BB89" t="b">
        <v>0</v>
      </c>
      <c r="BC89" t="b">
        <v>0</v>
      </c>
      <c r="BD89" t="b">
        <v>0</v>
      </c>
      <c r="BE89" t="b">
        <v>0</v>
      </c>
      <c r="BF89" t="b">
        <v>0</v>
      </c>
      <c r="BG89" t="b">
        <v>0</v>
      </c>
      <c r="BH89" t="b">
        <v>0</v>
      </c>
      <c r="BI89" t="b">
        <v>0</v>
      </c>
      <c r="BJ89" t="b">
        <v>0</v>
      </c>
      <c r="BK89" t="b">
        <v>0</v>
      </c>
      <c r="BL89" t="b">
        <v>0</v>
      </c>
      <c r="BM89" t="b">
        <v>0</v>
      </c>
      <c r="BN89" t="b">
        <v>0</v>
      </c>
      <c r="BO89" t="b">
        <v>0</v>
      </c>
      <c r="BP89" t="b">
        <v>0</v>
      </c>
      <c r="BQ89" t="b">
        <v>0</v>
      </c>
      <c r="BR89" t="b">
        <v>0</v>
      </c>
      <c r="BS89" t="b">
        <v>0</v>
      </c>
      <c r="BT89" t="b">
        <v>0</v>
      </c>
      <c r="BU89" t="b">
        <v>0</v>
      </c>
      <c r="BV89" t="b">
        <v>0</v>
      </c>
      <c r="BW89" t="b">
        <v>0</v>
      </c>
      <c r="BX89" t="b">
        <v>0</v>
      </c>
      <c r="BY89" t="b">
        <v>0</v>
      </c>
      <c r="BZ89" t="b">
        <v>0</v>
      </c>
      <c r="CA89" t="b">
        <v>0</v>
      </c>
      <c r="CB89" t="b">
        <v>0</v>
      </c>
      <c r="CC89" t="s">
        <v>1253</v>
      </c>
      <c r="CD89" t="s">
        <v>1492</v>
      </c>
      <c r="CE89" t="s">
        <v>1518</v>
      </c>
      <c r="CF89" t="s">
        <v>1495</v>
      </c>
      <c r="CG89" t="b">
        <v>1</v>
      </c>
      <c r="CH89">
        <v>0</v>
      </c>
      <c r="CI89" t="s">
        <v>1675</v>
      </c>
      <c r="CJ89" t="s">
        <v>1673</v>
      </c>
      <c r="CK89" t="s">
        <v>1251</v>
      </c>
      <c r="CL89" t="s">
        <v>1676</v>
      </c>
    </row>
    <row r="90" spans="1:90">
      <c r="A90">
        <v>553</v>
      </c>
      <c r="B90">
        <v>100052</v>
      </c>
      <c r="C90" t="s">
        <v>1250</v>
      </c>
      <c r="D90">
        <v>1</v>
      </c>
      <c r="E90" t="s">
        <v>1492</v>
      </c>
      <c r="F90">
        <v>5</v>
      </c>
      <c r="G90">
        <v>1</v>
      </c>
      <c r="H90">
        <v>2</v>
      </c>
      <c r="I90" t="s">
        <v>1492</v>
      </c>
      <c r="J90" t="s">
        <v>1297</v>
      </c>
      <c r="K90" t="s">
        <v>16</v>
      </c>
      <c r="L90" t="s">
        <v>1492</v>
      </c>
      <c r="M90" t="s">
        <v>1576</v>
      </c>
      <c r="N90" t="s">
        <v>1492</v>
      </c>
      <c r="O90" t="s">
        <v>1302</v>
      </c>
      <c r="P90" t="s">
        <v>1379</v>
      </c>
      <c r="Q90" t="s">
        <v>1302</v>
      </c>
      <c r="R90" t="s">
        <v>1379</v>
      </c>
      <c r="S90" t="s">
        <v>1302</v>
      </c>
      <c r="T90" t="s">
        <v>1379</v>
      </c>
      <c r="U90" t="s">
        <v>1302</v>
      </c>
      <c r="V90" t="s">
        <v>1379</v>
      </c>
      <c r="W90" t="s">
        <v>1302</v>
      </c>
      <c r="X90" t="s">
        <v>1372</v>
      </c>
      <c r="Y90" t="s">
        <v>1257</v>
      </c>
      <c r="Z90" t="s">
        <v>1257</v>
      </c>
      <c r="AA90" t="s">
        <v>1257</v>
      </c>
      <c r="AB90" t="s">
        <v>1257</v>
      </c>
      <c r="AC90" t="b">
        <v>0</v>
      </c>
      <c r="AD90" t="b">
        <v>0</v>
      </c>
      <c r="AE90" t="b">
        <v>0</v>
      </c>
      <c r="AF90" t="b">
        <v>0</v>
      </c>
      <c r="AG90" t="b">
        <v>0</v>
      </c>
      <c r="AH90" t="b">
        <v>0</v>
      </c>
      <c r="AI90" t="b">
        <v>0</v>
      </c>
      <c r="AJ90" t="b">
        <v>0</v>
      </c>
      <c r="AK90" t="b">
        <v>0</v>
      </c>
      <c r="AL90" t="b">
        <v>0</v>
      </c>
      <c r="AM90" t="b">
        <v>0</v>
      </c>
      <c r="AN90" t="b">
        <v>0</v>
      </c>
      <c r="AO90" t="b">
        <v>0</v>
      </c>
      <c r="AP90" t="b">
        <v>0</v>
      </c>
      <c r="AQ90" t="b">
        <v>0</v>
      </c>
      <c r="AR90" t="b">
        <v>0</v>
      </c>
      <c r="AS90" t="b">
        <v>0</v>
      </c>
      <c r="AT90" t="b">
        <v>0</v>
      </c>
      <c r="AU90" t="b">
        <v>0</v>
      </c>
      <c r="AV90" t="b">
        <v>0</v>
      </c>
      <c r="AW90" t="b">
        <v>0</v>
      </c>
      <c r="AX90" t="b">
        <v>0</v>
      </c>
      <c r="AY90" t="b">
        <v>0</v>
      </c>
      <c r="AZ90" t="b">
        <v>0</v>
      </c>
      <c r="BA90" t="b">
        <v>0</v>
      </c>
      <c r="BB90" t="b">
        <v>0</v>
      </c>
      <c r="BC90" t="b">
        <v>0</v>
      </c>
      <c r="BD90" t="b">
        <v>0</v>
      </c>
      <c r="BE90" t="b">
        <v>0</v>
      </c>
      <c r="BF90" t="b">
        <v>0</v>
      </c>
      <c r="BG90" t="b">
        <v>0</v>
      </c>
      <c r="BH90" t="b">
        <v>0</v>
      </c>
      <c r="BI90" t="b">
        <v>0</v>
      </c>
      <c r="BJ90" t="b">
        <v>0</v>
      </c>
      <c r="BK90" t="b">
        <v>0</v>
      </c>
      <c r="BL90" t="b">
        <v>0</v>
      </c>
      <c r="BM90" t="b">
        <v>0</v>
      </c>
      <c r="BN90" t="b">
        <v>0</v>
      </c>
      <c r="BO90" t="b">
        <v>0</v>
      </c>
      <c r="BP90" t="b">
        <v>0</v>
      </c>
      <c r="BQ90" t="b">
        <v>0</v>
      </c>
      <c r="BR90" t="b">
        <v>0</v>
      </c>
      <c r="BS90" t="b">
        <v>0</v>
      </c>
      <c r="BT90" t="b">
        <v>0</v>
      </c>
      <c r="BU90" t="b">
        <v>0</v>
      </c>
      <c r="BV90" t="b">
        <v>0</v>
      </c>
      <c r="BW90" t="b">
        <v>0</v>
      </c>
      <c r="BX90" t="b">
        <v>0</v>
      </c>
      <c r="BY90" t="b">
        <v>0</v>
      </c>
      <c r="BZ90" t="b">
        <v>0</v>
      </c>
      <c r="CA90" t="b">
        <v>0</v>
      </c>
      <c r="CB90" t="b">
        <v>0</v>
      </c>
      <c r="CC90" t="s">
        <v>1253</v>
      </c>
      <c r="CD90" t="s">
        <v>1492</v>
      </c>
      <c r="CE90" t="s">
        <v>1518</v>
      </c>
      <c r="CF90" t="s">
        <v>1495</v>
      </c>
      <c r="CG90" t="b">
        <v>1</v>
      </c>
      <c r="CH90">
        <v>0</v>
      </c>
      <c r="CI90" t="s">
        <v>1677</v>
      </c>
      <c r="CJ90" t="s">
        <v>1678</v>
      </c>
      <c r="CK90" t="s">
        <v>1251</v>
      </c>
      <c r="CL90" t="s">
        <v>1679</v>
      </c>
    </row>
    <row r="91" spans="1:90">
      <c r="A91">
        <v>554</v>
      </c>
      <c r="B91">
        <v>100052</v>
      </c>
      <c r="C91" t="s">
        <v>1250</v>
      </c>
      <c r="D91">
        <v>2</v>
      </c>
      <c r="E91" t="s">
        <v>1492</v>
      </c>
      <c r="F91">
        <v>5</v>
      </c>
      <c r="G91">
        <v>1</v>
      </c>
      <c r="H91">
        <v>2</v>
      </c>
      <c r="I91" t="s">
        <v>1492</v>
      </c>
      <c r="J91" t="s">
        <v>1297</v>
      </c>
      <c r="K91" t="s">
        <v>16</v>
      </c>
      <c r="L91" t="s">
        <v>1492</v>
      </c>
      <c r="M91" t="s">
        <v>1576</v>
      </c>
      <c r="N91" t="s">
        <v>1492</v>
      </c>
      <c r="O91" t="s">
        <v>1302</v>
      </c>
      <c r="P91" t="s">
        <v>1379</v>
      </c>
      <c r="Q91" t="s">
        <v>1302</v>
      </c>
      <c r="R91" t="s">
        <v>1379</v>
      </c>
      <c r="S91" t="s">
        <v>1302</v>
      </c>
      <c r="T91" t="s">
        <v>1379</v>
      </c>
      <c r="U91" t="s">
        <v>1302</v>
      </c>
      <c r="V91" t="s">
        <v>1379</v>
      </c>
      <c r="W91" t="s">
        <v>1302</v>
      </c>
      <c r="X91" t="s">
        <v>1372</v>
      </c>
      <c r="Y91" t="s">
        <v>1257</v>
      </c>
      <c r="Z91" t="s">
        <v>1257</v>
      </c>
      <c r="AA91" t="s">
        <v>1257</v>
      </c>
      <c r="AB91" t="s">
        <v>1257</v>
      </c>
      <c r="AC91" t="b">
        <v>0</v>
      </c>
      <c r="AD91" t="b">
        <v>0</v>
      </c>
      <c r="AE91" t="b">
        <v>0</v>
      </c>
      <c r="AF91" t="b">
        <v>0</v>
      </c>
      <c r="AG91" t="b">
        <v>0</v>
      </c>
      <c r="AH91" t="b">
        <v>0</v>
      </c>
      <c r="AI91" t="b">
        <v>0</v>
      </c>
      <c r="AJ91" t="b">
        <v>0</v>
      </c>
      <c r="AK91" t="b">
        <v>0</v>
      </c>
      <c r="AL91" t="b">
        <v>0</v>
      </c>
      <c r="AM91" t="b">
        <v>0</v>
      </c>
      <c r="AN91" t="b">
        <v>0</v>
      </c>
      <c r="AO91" t="b">
        <v>0</v>
      </c>
      <c r="AP91" t="b">
        <v>0</v>
      </c>
      <c r="AQ91" t="b">
        <v>0</v>
      </c>
      <c r="AR91" t="b">
        <v>0</v>
      </c>
      <c r="AS91" t="b">
        <v>0</v>
      </c>
      <c r="AT91" t="b">
        <v>0</v>
      </c>
      <c r="AU91" t="b">
        <v>0</v>
      </c>
      <c r="AV91" t="b">
        <v>0</v>
      </c>
      <c r="AW91" t="b">
        <v>0</v>
      </c>
      <c r="AX91" t="b">
        <v>0</v>
      </c>
      <c r="AY91" t="b">
        <v>0</v>
      </c>
      <c r="AZ91" t="b">
        <v>0</v>
      </c>
      <c r="BA91" t="b">
        <v>0</v>
      </c>
      <c r="BB91" t="b">
        <v>0</v>
      </c>
      <c r="BC91" t="b">
        <v>0</v>
      </c>
      <c r="BD91" t="b">
        <v>0</v>
      </c>
      <c r="BE91" t="b">
        <v>0</v>
      </c>
      <c r="BF91" t="b">
        <v>0</v>
      </c>
      <c r="BG91" t="b">
        <v>0</v>
      </c>
      <c r="BH91" t="b">
        <v>0</v>
      </c>
      <c r="BI91" t="b">
        <v>0</v>
      </c>
      <c r="BJ91" t="b">
        <v>0</v>
      </c>
      <c r="BK91" t="b">
        <v>0</v>
      </c>
      <c r="BL91" t="b">
        <v>0</v>
      </c>
      <c r="BM91" t="b">
        <v>0</v>
      </c>
      <c r="BN91" t="b">
        <v>0</v>
      </c>
      <c r="BO91" t="b">
        <v>0</v>
      </c>
      <c r="BP91" t="b">
        <v>0</v>
      </c>
      <c r="BQ91" t="b">
        <v>0</v>
      </c>
      <c r="BR91" t="b">
        <v>0</v>
      </c>
      <c r="BS91" t="b">
        <v>0</v>
      </c>
      <c r="BT91" t="b">
        <v>0</v>
      </c>
      <c r="BU91" t="b">
        <v>0</v>
      </c>
      <c r="BV91" t="b">
        <v>0</v>
      </c>
      <c r="BW91" t="b">
        <v>0</v>
      </c>
      <c r="BX91" t="b">
        <v>0</v>
      </c>
      <c r="BY91" t="b">
        <v>0</v>
      </c>
      <c r="BZ91" t="b">
        <v>0</v>
      </c>
      <c r="CA91" t="b">
        <v>0</v>
      </c>
      <c r="CB91" t="b">
        <v>0</v>
      </c>
      <c r="CC91" t="s">
        <v>1253</v>
      </c>
      <c r="CD91" t="s">
        <v>1492</v>
      </c>
      <c r="CE91" t="s">
        <v>1518</v>
      </c>
      <c r="CF91" t="s">
        <v>1495</v>
      </c>
      <c r="CG91" t="b">
        <v>1</v>
      </c>
      <c r="CH91">
        <v>0</v>
      </c>
      <c r="CI91" t="s">
        <v>1680</v>
      </c>
      <c r="CJ91" t="s">
        <v>1678</v>
      </c>
      <c r="CK91" t="s">
        <v>1251</v>
      </c>
      <c r="CL91" t="s">
        <v>1681</v>
      </c>
    </row>
    <row r="92" spans="1:90">
      <c r="A92">
        <v>555</v>
      </c>
      <c r="B92">
        <v>100048</v>
      </c>
      <c r="C92" t="s">
        <v>1250</v>
      </c>
      <c r="D92">
        <v>1</v>
      </c>
      <c r="E92" t="s">
        <v>1492</v>
      </c>
      <c r="F92">
        <v>8</v>
      </c>
      <c r="G92">
        <v>1</v>
      </c>
      <c r="H92">
        <v>2</v>
      </c>
      <c r="I92" t="s">
        <v>778</v>
      </c>
      <c r="J92" t="s">
        <v>1297</v>
      </c>
      <c r="K92" t="s">
        <v>15</v>
      </c>
      <c r="L92" t="s">
        <v>1511</v>
      </c>
      <c r="M92" t="s">
        <v>1576</v>
      </c>
      <c r="N92" t="s">
        <v>1492</v>
      </c>
      <c r="O92" t="s">
        <v>1302</v>
      </c>
      <c r="P92" t="s">
        <v>1379</v>
      </c>
      <c r="Q92" t="s">
        <v>1302</v>
      </c>
      <c r="R92" t="s">
        <v>1379</v>
      </c>
      <c r="S92" t="s">
        <v>1302</v>
      </c>
      <c r="T92" t="s">
        <v>1379</v>
      </c>
      <c r="U92" t="s">
        <v>1302</v>
      </c>
      <c r="V92" t="s">
        <v>1379</v>
      </c>
      <c r="W92" t="s">
        <v>1302</v>
      </c>
      <c r="X92" t="s">
        <v>1372</v>
      </c>
      <c r="Y92" t="s">
        <v>1257</v>
      </c>
      <c r="Z92" t="s">
        <v>1257</v>
      </c>
      <c r="AA92" t="s">
        <v>1257</v>
      </c>
      <c r="AB92" t="s">
        <v>1257</v>
      </c>
      <c r="AC92" t="b">
        <v>0</v>
      </c>
      <c r="AD92" t="b">
        <v>0</v>
      </c>
      <c r="AE92" t="b">
        <v>0</v>
      </c>
      <c r="AF92" t="b">
        <v>0</v>
      </c>
      <c r="AG92" t="b">
        <v>0</v>
      </c>
      <c r="AH92" t="b">
        <v>0</v>
      </c>
      <c r="AI92" t="b">
        <v>0</v>
      </c>
      <c r="AJ92" t="b">
        <v>1</v>
      </c>
      <c r="AK92" t="b">
        <v>1</v>
      </c>
      <c r="AL92" t="b">
        <v>1</v>
      </c>
      <c r="AM92" t="b">
        <v>1</v>
      </c>
      <c r="AN92" t="b">
        <v>1</v>
      </c>
      <c r="AO92" t="b">
        <v>1</v>
      </c>
      <c r="AP92" t="b">
        <v>1</v>
      </c>
      <c r="AQ92" t="b">
        <v>1</v>
      </c>
      <c r="AR92" t="b">
        <v>0</v>
      </c>
      <c r="AS92" t="b">
        <v>0</v>
      </c>
      <c r="AT92" t="b">
        <v>1</v>
      </c>
      <c r="AU92" t="b">
        <v>1</v>
      </c>
      <c r="AV92" t="b">
        <v>1</v>
      </c>
      <c r="AW92" t="b">
        <v>1</v>
      </c>
      <c r="AX92" t="b">
        <v>1</v>
      </c>
      <c r="AY92" t="b">
        <v>1</v>
      </c>
      <c r="AZ92" t="b">
        <v>0</v>
      </c>
      <c r="BA92" t="b">
        <v>0</v>
      </c>
      <c r="BB92" t="b">
        <v>0</v>
      </c>
      <c r="BC92" t="b">
        <v>0</v>
      </c>
      <c r="BD92" t="b">
        <v>0</v>
      </c>
      <c r="BE92" t="b">
        <v>0</v>
      </c>
      <c r="BF92" t="b">
        <v>0</v>
      </c>
      <c r="BG92" t="b">
        <v>0</v>
      </c>
      <c r="BH92" t="b">
        <v>0</v>
      </c>
      <c r="BI92" t="b">
        <v>0</v>
      </c>
      <c r="BJ92" t="b">
        <v>0</v>
      </c>
      <c r="BK92" t="b">
        <v>0</v>
      </c>
      <c r="BL92" t="b">
        <v>0</v>
      </c>
      <c r="BM92" t="b">
        <v>0</v>
      </c>
      <c r="BN92" t="b">
        <v>0</v>
      </c>
      <c r="BO92" t="b">
        <v>0</v>
      </c>
      <c r="BP92" t="b">
        <v>0</v>
      </c>
      <c r="BQ92" t="b">
        <v>0</v>
      </c>
      <c r="BR92" t="b">
        <v>0</v>
      </c>
      <c r="BS92" t="b">
        <v>0</v>
      </c>
      <c r="BT92" t="b">
        <v>0</v>
      </c>
      <c r="BU92" t="b">
        <v>0</v>
      </c>
      <c r="BV92" t="b">
        <v>0</v>
      </c>
      <c r="BW92" t="b">
        <v>0</v>
      </c>
      <c r="BX92" t="b">
        <v>0</v>
      </c>
      <c r="BY92" t="b">
        <v>0</v>
      </c>
      <c r="BZ92" t="b">
        <v>0</v>
      </c>
      <c r="CA92" t="b">
        <v>0</v>
      </c>
      <c r="CB92" t="b">
        <v>0</v>
      </c>
      <c r="CC92" t="s">
        <v>1253</v>
      </c>
      <c r="CD92" t="s">
        <v>1492</v>
      </c>
      <c r="CE92" t="s">
        <v>1513</v>
      </c>
      <c r="CF92" t="s">
        <v>1495</v>
      </c>
      <c r="CG92" t="b">
        <v>1</v>
      </c>
      <c r="CH92">
        <v>0</v>
      </c>
      <c r="CI92" t="s">
        <v>1682</v>
      </c>
      <c r="CJ92" t="s">
        <v>1683</v>
      </c>
      <c r="CK92" t="s">
        <v>1251</v>
      </c>
      <c r="CL92" t="s">
        <v>1684</v>
      </c>
    </row>
    <row r="93" spans="1:90">
      <c r="A93">
        <v>556</v>
      </c>
      <c r="B93">
        <v>100048</v>
      </c>
      <c r="C93" t="s">
        <v>1250</v>
      </c>
      <c r="D93">
        <v>2</v>
      </c>
      <c r="E93" t="s">
        <v>1492</v>
      </c>
      <c r="F93">
        <v>8</v>
      </c>
      <c r="G93">
        <v>1</v>
      </c>
      <c r="H93">
        <v>2</v>
      </c>
      <c r="I93" t="s">
        <v>778</v>
      </c>
      <c r="J93" t="s">
        <v>1297</v>
      </c>
      <c r="K93" t="s">
        <v>15</v>
      </c>
      <c r="L93" t="s">
        <v>1511</v>
      </c>
      <c r="M93" t="s">
        <v>1576</v>
      </c>
      <c r="N93" t="s">
        <v>1492</v>
      </c>
      <c r="O93" t="s">
        <v>1302</v>
      </c>
      <c r="P93" t="s">
        <v>1379</v>
      </c>
      <c r="Q93" t="s">
        <v>1302</v>
      </c>
      <c r="R93" t="s">
        <v>1379</v>
      </c>
      <c r="S93" t="s">
        <v>1302</v>
      </c>
      <c r="T93" t="s">
        <v>1379</v>
      </c>
      <c r="U93" t="s">
        <v>1302</v>
      </c>
      <c r="V93" t="s">
        <v>1379</v>
      </c>
      <c r="W93" t="s">
        <v>1302</v>
      </c>
      <c r="X93" t="s">
        <v>1372</v>
      </c>
      <c r="Y93" t="s">
        <v>1257</v>
      </c>
      <c r="Z93" t="s">
        <v>1257</v>
      </c>
      <c r="AA93" t="s">
        <v>1257</v>
      </c>
      <c r="AB93" t="s">
        <v>1257</v>
      </c>
      <c r="AC93" t="b">
        <v>0</v>
      </c>
      <c r="AD93" t="b">
        <v>0</v>
      </c>
      <c r="AE93" t="b">
        <v>0</v>
      </c>
      <c r="AF93" t="b">
        <v>0</v>
      </c>
      <c r="AG93" t="b">
        <v>0</v>
      </c>
      <c r="AH93" t="b">
        <v>0</v>
      </c>
      <c r="AI93" t="b">
        <v>0</v>
      </c>
      <c r="AJ93" t="b">
        <v>1</v>
      </c>
      <c r="AK93" t="b">
        <v>1</v>
      </c>
      <c r="AL93" t="b">
        <v>1</v>
      </c>
      <c r="AM93" t="b">
        <v>1</v>
      </c>
      <c r="AN93" t="b">
        <v>1</v>
      </c>
      <c r="AO93" t="b">
        <v>1</v>
      </c>
      <c r="AP93" t="b">
        <v>1</v>
      </c>
      <c r="AQ93" t="b">
        <v>1</v>
      </c>
      <c r="AR93" t="b">
        <v>0</v>
      </c>
      <c r="AS93" t="b">
        <v>0</v>
      </c>
      <c r="AT93" t="b">
        <v>1</v>
      </c>
      <c r="AU93" t="b">
        <v>1</v>
      </c>
      <c r="AV93" t="b">
        <v>1</v>
      </c>
      <c r="AW93" t="b">
        <v>1</v>
      </c>
      <c r="AX93" t="b">
        <v>1</v>
      </c>
      <c r="AY93" t="b">
        <v>1</v>
      </c>
      <c r="AZ93" t="b">
        <v>0</v>
      </c>
      <c r="BA93" t="b">
        <v>0</v>
      </c>
      <c r="BB93" t="b">
        <v>0</v>
      </c>
      <c r="BC93" t="b">
        <v>0</v>
      </c>
      <c r="BD93" t="b">
        <v>0</v>
      </c>
      <c r="BE93" t="b">
        <v>0</v>
      </c>
      <c r="BF93" t="b">
        <v>0</v>
      </c>
      <c r="BG93" t="b">
        <v>0</v>
      </c>
      <c r="BH93" t="b">
        <v>0</v>
      </c>
      <c r="BI93" t="b">
        <v>0</v>
      </c>
      <c r="BJ93" t="b">
        <v>0</v>
      </c>
      <c r="BK93" t="b">
        <v>0</v>
      </c>
      <c r="BL93" t="b">
        <v>0</v>
      </c>
      <c r="BM93" t="b">
        <v>0</v>
      </c>
      <c r="BN93" t="b">
        <v>0</v>
      </c>
      <c r="BO93" t="b">
        <v>0</v>
      </c>
      <c r="BP93" t="b">
        <v>0</v>
      </c>
      <c r="BQ93" t="b">
        <v>0</v>
      </c>
      <c r="BR93" t="b">
        <v>0</v>
      </c>
      <c r="BS93" t="b">
        <v>0</v>
      </c>
      <c r="BT93" t="b">
        <v>0</v>
      </c>
      <c r="BU93" t="b">
        <v>0</v>
      </c>
      <c r="BV93" t="b">
        <v>0</v>
      </c>
      <c r="BW93" t="b">
        <v>0</v>
      </c>
      <c r="BX93" t="b">
        <v>0</v>
      </c>
      <c r="BY93" t="b">
        <v>0</v>
      </c>
      <c r="BZ93" t="b">
        <v>0</v>
      </c>
      <c r="CA93" t="b">
        <v>0</v>
      </c>
      <c r="CB93" t="b">
        <v>0</v>
      </c>
      <c r="CC93" t="s">
        <v>1253</v>
      </c>
      <c r="CD93" t="s">
        <v>1492</v>
      </c>
      <c r="CE93" t="s">
        <v>1513</v>
      </c>
      <c r="CF93" t="s">
        <v>1495</v>
      </c>
      <c r="CG93" t="b">
        <v>1</v>
      </c>
      <c r="CH93">
        <v>0</v>
      </c>
      <c r="CI93" t="s">
        <v>1685</v>
      </c>
      <c r="CJ93" t="s">
        <v>1683</v>
      </c>
      <c r="CK93" t="s">
        <v>1251</v>
      </c>
      <c r="CL93" t="s">
        <v>1686</v>
      </c>
    </row>
    <row r="94" spans="1:90">
      <c r="A94">
        <v>557</v>
      </c>
      <c r="B94">
        <v>100053</v>
      </c>
      <c r="C94" t="s">
        <v>1250</v>
      </c>
      <c r="D94">
        <v>1</v>
      </c>
      <c r="E94" t="s">
        <v>1492</v>
      </c>
      <c r="F94">
        <v>6</v>
      </c>
      <c r="G94">
        <v>1</v>
      </c>
      <c r="H94">
        <v>2</v>
      </c>
      <c r="I94" t="s">
        <v>1492</v>
      </c>
      <c r="J94" t="s">
        <v>1297</v>
      </c>
      <c r="K94" t="s">
        <v>16</v>
      </c>
      <c r="L94" t="s">
        <v>1492</v>
      </c>
      <c r="M94" t="s">
        <v>1576</v>
      </c>
      <c r="N94" t="s">
        <v>1492</v>
      </c>
      <c r="O94" t="s">
        <v>1302</v>
      </c>
      <c r="P94" t="s">
        <v>1379</v>
      </c>
      <c r="Q94" t="s">
        <v>1302</v>
      </c>
      <c r="R94" t="s">
        <v>1379</v>
      </c>
      <c r="S94" t="s">
        <v>1302</v>
      </c>
      <c r="T94" t="s">
        <v>1379</v>
      </c>
      <c r="U94" t="s">
        <v>1302</v>
      </c>
      <c r="V94" t="s">
        <v>1379</v>
      </c>
      <c r="W94" t="s">
        <v>1302</v>
      </c>
      <c r="X94" t="s">
        <v>1372</v>
      </c>
      <c r="Y94" t="s">
        <v>1257</v>
      </c>
      <c r="Z94" t="s">
        <v>1257</v>
      </c>
      <c r="AA94" t="s">
        <v>1257</v>
      </c>
      <c r="AB94" t="s">
        <v>1257</v>
      </c>
      <c r="AC94" t="b">
        <v>0</v>
      </c>
      <c r="AD94" t="b">
        <v>0</v>
      </c>
      <c r="AE94" t="b">
        <v>0</v>
      </c>
      <c r="AF94" t="b">
        <v>0</v>
      </c>
      <c r="AG94" t="b">
        <v>0</v>
      </c>
      <c r="AH94" t="b">
        <v>0</v>
      </c>
      <c r="AI94" t="b">
        <v>0</v>
      </c>
      <c r="AJ94" t="b">
        <v>0</v>
      </c>
      <c r="AK94" t="b">
        <v>0</v>
      </c>
      <c r="AL94" t="b">
        <v>0</v>
      </c>
      <c r="AM94" t="b">
        <v>0</v>
      </c>
      <c r="AN94" t="b">
        <v>0</v>
      </c>
      <c r="AO94" t="b">
        <v>0</v>
      </c>
      <c r="AP94" t="b">
        <v>0</v>
      </c>
      <c r="AQ94" t="b">
        <v>0</v>
      </c>
      <c r="AR94" t="b">
        <v>0</v>
      </c>
      <c r="AS94" t="b">
        <v>0</v>
      </c>
      <c r="AT94" t="b">
        <v>0</v>
      </c>
      <c r="AU94" t="b">
        <v>0</v>
      </c>
      <c r="AV94" t="b">
        <v>0</v>
      </c>
      <c r="AW94" t="b">
        <v>0</v>
      </c>
      <c r="AX94" t="b">
        <v>0</v>
      </c>
      <c r="AY94" t="b">
        <v>0</v>
      </c>
      <c r="AZ94" t="b">
        <v>0</v>
      </c>
      <c r="BA94" t="b">
        <v>0</v>
      </c>
      <c r="BB94" t="b">
        <v>0</v>
      </c>
      <c r="BC94" t="b">
        <v>0</v>
      </c>
      <c r="BD94" t="b">
        <v>0</v>
      </c>
      <c r="BE94" t="b">
        <v>0</v>
      </c>
      <c r="BF94" t="b">
        <v>0</v>
      </c>
      <c r="BG94" t="b">
        <v>0</v>
      </c>
      <c r="BH94" t="b">
        <v>0</v>
      </c>
      <c r="BI94" t="b">
        <v>0</v>
      </c>
      <c r="BJ94" t="b">
        <v>0</v>
      </c>
      <c r="BK94" t="b">
        <v>0</v>
      </c>
      <c r="BL94" t="b">
        <v>0</v>
      </c>
      <c r="BM94" t="b">
        <v>0</v>
      </c>
      <c r="BN94" t="b">
        <v>0</v>
      </c>
      <c r="BO94" t="b">
        <v>0</v>
      </c>
      <c r="BP94" t="b">
        <v>0</v>
      </c>
      <c r="BQ94" t="b">
        <v>0</v>
      </c>
      <c r="BR94" t="b">
        <v>0</v>
      </c>
      <c r="BS94" t="b">
        <v>0</v>
      </c>
      <c r="BT94" t="b">
        <v>0</v>
      </c>
      <c r="BU94" t="b">
        <v>0</v>
      </c>
      <c r="BV94" t="b">
        <v>0</v>
      </c>
      <c r="BW94" t="b">
        <v>0</v>
      </c>
      <c r="BX94" t="b">
        <v>0</v>
      </c>
      <c r="BY94" t="b">
        <v>0</v>
      </c>
      <c r="BZ94" t="b">
        <v>0</v>
      </c>
      <c r="CA94" t="b">
        <v>0</v>
      </c>
      <c r="CB94" t="b">
        <v>0</v>
      </c>
      <c r="CC94" t="s">
        <v>1253</v>
      </c>
      <c r="CD94" t="s">
        <v>1492</v>
      </c>
      <c r="CE94" t="s">
        <v>1513</v>
      </c>
      <c r="CF94" t="s">
        <v>1495</v>
      </c>
      <c r="CG94" t="b">
        <v>1</v>
      </c>
      <c r="CH94">
        <v>0</v>
      </c>
      <c r="CI94" t="s">
        <v>1687</v>
      </c>
      <c r="CJ94" t="s">
        <v>1688</v>
      </c>
      <c r="CK94" t="s">
        <v>1251</v>
      </c>
      <c r="CL94" t="s">
        <v>1689</v>
      </c>
    </row>
    <row r="95" spans="1:90">
      <c r="A95">
        <v>558</v>
      </c>
      <c r="B95">
        <v>100053</v>
      </c>
      <c r="C95" t="s">
        <v>1250</v>
      </c>
      <c r="D95">
        <v>2</v>
      </c>
      <c r="E95" t="s">
        <v>1492</v>
      </c>
      <c r="F95">
        <v>6</v>
      </c>
      <c r="G95">
        <v>1</v>
      </c>
      <c r="H95">
        <v>2</v>
      </c>
      <c r="I95" t="s">
        <v>1492</v>
      </c>
      <c r="J95" t="s">
        <v>1297</v>
      </c>
      <c r="K95" t="s">
        <v>16</v>
      </c>
      <c r="L95" t="s">
        <v>1492</v>
      </c>
      <c r="M95" t="s">
        <v>1576</v>
      </c>
      <c r="N95" t="s">
        <v>1492</v>
      </c>
      <c r="O95" t="s">
        <v>1302</v>
      </c>
      <c r="P95" t="s">
        <v>1379</v>
      </c>
      <c r="Q95" t="s">
        <v>1302</v>
      </c>
      <c r="R95" t="s">
        <v>1379</v>
      </c>
      <c r="S95" t="s">
        <v>1302</v>
      </c>
      <c r="T95" t="s">
        <v>1379</v>
      </c>
      <c r="U95" t="s">
        <v>1302</v>
      </c>
      <c r="V95" t="s">
        <v>1379</v>
      </c>
      <c r="W95" t="s">
        <v>1302</v>
      </c>
      <c r="X95" t="s">
        <v>1372</v>
      </c>
      <c r="Y95" t="s">
        <v>1257</v>
      </c>
      <c r="Z95" t="s">
        <v>1257</v>
      </c>
      <c r="AA95" t="s">
        <v>1257</v>
      </c>
      <c r="AB95" t="s">
        <v>1257</v>
      </c>
      <c r="AC95" t="b">
        <v>0</v>
      </c>
      <c r="AD95" t="b">
        <v>0</v>
      </c>
      <c r="AE95" t="b">
        <v>0</v>
      </c>
      <c r="AF95" t="b">
        <v>0</v>
      </c>
      <c r="AG95" t="b">
        <v>0</v>
      </c>
      <c r="AH95" t="b">
        <v>0</v>
      </c>
      <c r="AI95" t="b">
        <v>0</v>
      </c>
      <c r="AJ95" t="b">
        <v>0</v>
      </c>
      <c r="AK95" t="b">
        <v>0</v>
      </c>
      <c r="AL95" t="b">
        <v>0</v>
      </c>
      <c r="AM95" t="b">
        <v>0</v>
      </c>
      <c r="AN95" t="b">
        <v>0</v>
      </c>
      <c r="AO95" t="b">
        <v>0</v>
      </c>
      <c r="AP95" t="b">
        <v>0</v>
      </c>
      <c r="AQ95" t="b">
        <v>0</v>
      </c>
      <c r="AR95" t="b">
        <v>0</v>
      </c>
      <c r="AS95" t="b">
        <v>0</v>
      </c>
      <c r="AT95" t="b">
        <v>0</v>
      </c>
      <c r="AU95" t="b">
        <v>0</v>
      </c>
      <c r="AV95" t="b">
        <v>0</v>
      </c>
      <c r="AW95" t="b">
        <v>0</v>
      </c>
      <c r="AX95" t="b">
        <v>0</v>
      </c>
      <c r="AY95" t="b">
        <v>0</v>
      </c>
      <c r="AZ95" t="b">
        <v>0</v>
      </c>
      <c r="BA95" t="b">
        <v>0</v>
      </c>
      <c r="BB95" t="b">
        <v>0</v>
      </c>
      <c r="BC95" t="b">
        <v>0</v>
      </c>
      <c r="BD95" t="b">
        <v>0</v>
      </c>
      <c r="BE95" t="b">
        <v>0</v>
      </c>
      <c r="BF95" t="b">
        <v>0</v>
      </c>
      <c r="BG95" t="b">
        <v>0</v>
      </c>
      <c r="BH95" t="b">
        <v>0</v>
      </c>
      <c r="BI95" t="b">
        <v>0</v>
      </c>
      <c r="BJ95" t="b">
        <v>0</v>
      </c>
      <c r="BK95" t="b">
        <v>0</v>
      </c>
      <c r="BL95" t="b">
        <v>0</v>
      </c>
      <c r="BM95" t="b">
        <v>0</v>
      </c>
      <c r="BN95" t="b">
        <v>0</v>
      </c>
      <c r="BO95" t="b">
        <v>0</v>
      </c>
      <c r="BP95" t="b">
        <v>0</v>
      </c>
      <c r="BQ95" t="b">
        <v>0</v>
      </c>
      <c r="BR95" t="b">
        <v>0</v>
      </c>
      <c r="BS95" t="b">
        <v>0</v>
      </c>
      <c r="BT95" t="b">
        <v>0</v>
      </c>
      <c r="BU95" t="b">
        <v>0</v>
      </c>
      <c r="BV95" t="b">
        <v>0</v>
      </c>
      <c r="BW95" t="b">
        <v>0</v>
      </c>
      <c r="BX95" t="b">
        <v>0</v>
      </c>
      <c r="BY95" t="b">
        <v>0</v>
      </c>
      <c r="BZ95" t="b">
        <v>0</v>
      </c>
      <c r="CA95" t="b">
        <v>0</v>
      </c>
      <c r="CB95" t="b">
        <v>0</v>
      </c>
      <c r="CC95" t="s">
        <v>1253</v>
      </c>
      <c r="CD95" t="s">
        <v>1492</v>
      </c>
      <c r="CE95" t="s">
        <v>1513</v>
      </c>
      <c r="CF95" t="s">
        <v>1495</v>
      </c>
      <c r="CG95" t="b">
        <v>1</v>
      </c>
      <c r="CH95">
        <v>0</v>
      </c>
      <c r="CI95" t="s">
        <v>1687</v>
      </c>
      <c r="CJ95" t="s">
        <v>1688</v>
      </c>
      <c r="CK95" t="s">
        <v>1251</v>
      </c>
      <c r="CL95" t="s">
        <v>1690</v>
      </c>
    </row>
    <row r="96" spans="1:90">
      <c r="A96">
        <v>559</v>
      </c>
      <c r="B96">
        <v>100049</v>
      </c>
      <c r="C96" t="s">
        <v>1250</v>
      </c>
      <c r="D96">
        <v>1</v>
      </c>
      <c r="E96" t="s">
        <v>1492</v>
      </c>
      <c r="F96">
        <v>5</v>
      </c>
      <c r="G96">
        <v>1</v>
      </c>
      <c r="H96">
        <v>2</v>
      </c>
      <c r="I96" t="s">
        <v>728</v>
      </c>
      <c r="J96" t="s">
        <v>1297</v>
      </c>
      <c r="K96" t="s">
        <v>15</v>
      </c>
      <c r="L96" t="s">
        <v>1511</v>
      </c>
      <c r="M96" t="s">
        <v>1576</v>
      </c>
      <c r="N96" t="s">
        <v>1492</v>
      </c>
      <c r="O96" t="s">
        <v>1302</v>
      </c>
      <c r="P96" t="s">
        <v>1379</v>
      </c>
      <c r="Q96" t="s">
        <v>1302</v>
      </c>
      <c r="R96" t="s">
        <v>1379</v>
      </c>
      <c r="S96" t="s">
        <v>1302</v>
      </c>
      <c r="T96" t="s">
        <v>1379</v>
      </c>
      <c r="U96" t="s">
        <v>1302</v>
      </c>
      <c r="V96" t="s">
        <v>1379</v>
      </c>
      <c r="W96" t="s">
        <v>1302</v>
      </c>
      <c r="X96" t="s">
        <v>1372</v>
      </c>
      <c r="Y96" t="s">
        <v>1257</v>
      </c>
      <c r="Z96" t="s">
        <v>1257</v>
      </c>
      <c r="AA96" t="s">
        <v>1257</v>
      </c>
      <c r="AB96" t="s">
        <v>1257</v>
      </c>
      <c r="AC96" t="b">
        <v>0</v>
      </c>
      <c r="AD96" t="b">
        <v>0</v>
      </c>
      <c r="AE96" t="b">
        <v>0</v>
      </c>
      <c r="AF96" t="b">
        <v>0</v>
      </c>
      <c r="AG96" t="b">
        <v>0</v>
      </c>
      <c r="AH96" t="b">
        <v>0</v>
      </c>
      <c r="AI96" t="b">
        <v>0</v>
      </c>
      <c r="AJ96" t="b">
        <v>0</v>
      </c>
      <c r="AK96" t="b">
        <v>0</v>
      </c>
      <c r="AL96" t="b">
        <v>0</v>
      </c>
      <c r="AM96" t="b">
        <v>0</v>
      </c>
      <c r="AN96" t="b">
        <v>0</v>
      </c>
      <c r="AO96" t="b">
        <v>0</v>
      </c>
      <c r="AP96" t="b">
        <v>0</v>
      </c>
      <c r="AQ96" t="b">
        <v>0</v>
      </c>
      <c r="AR96" t="b">
        <v>0</v>
      </c>
      <c r="AS96" t="b">
        <v>0</v>
      </c>
      <c r="AT96" t="b">
        <v>0</v>
      </c>
      <c r="AU96" t="b">
        <v>0</v>
      </c>
      <c r="AV96" t="b">
        <v>0</v>
      </c>
      <c r="AW96" t="b">
        <v>0</v>
      </c>
      <c r="AX96" t="b">
        <v>0</v>
      </c>
      <c r="AY96" t="b">
        <v>0</v>
      </c>
      <c r="AZ96" t="b">
        <v>0</v>
      </c>
      <c r="BA96" t="b">
        <v>0</v>
      </c>
      <c r="BB96" t="b">
        <v>0</v>
      </c>
      <c r="BC96" t="b">
        <v>0</v>
      </c>
      <c r="BD96" t="b">
        <v>0</v>
      </c>
      <c r="BE96" t="b">
        <v>0</v>
      </c>
      <c r="BF96" t="b">
        <v>0</v>
      </c>
      <c r="BG96" t="b">
        <v>0</v>
      </c>
      <c r="BH96" t="b">
        <v>0</v>
      </c>
      <c r="BI96" t="b">
        <v>0</v>
      </c>
      <c r="BJ96" t="b">
        <v>0</v>
      </c>
      <c r="BK96" t="b">
        <v>0</v>
      </c>
      <c r="BL96" t="b">
        <v>0</v>
      </c>
      <c r="BM96" t="b">
        <v>0</v>
      </c>
      <c r="BN96" t="b">
        <v>0</v>
      </c>
      <c r="BO96" t="b">
        <v>0</v>
      </c>
      <c r="BP96" t="b">
        <v>0</v>
      </c>
      <c r="BQ96" t="b">
        <v>0</v>
      </c>
      <c r="BR96" t="b">
        <v>0</v>
      </c>
      <c r="BS96" t="b">
        <v>0</v>
      </c>
      <c r="BT96" t="b">
        <v>0</v>
      </c>
      <c r="BU96" t="b">
        <v>0</v>
      </c>
      <c r="BV96" t="b">
        <v>0</v>
      </c>
      <c r="BW96" t="b">
        <v>0</v>
      </c>
      <c r="BX96" t="b">
        <v>0</v>
      </c>
      <c r="BY96" t="b">
        <v>0</v>
      </c>
      <c r="BZ96" t="b">
        <v>0</v>
      </c>
      <c r="CA96" t="b">
        <v>0</v>
      </c>
      <c r="CB96" t="b">
        <v>0</v>
      </c>
      <c r="CC96" t="s">
        <v>1253</v>
      </c>
      <c r="CD96" t="s">
        <v>1492</v>
      </c>
      <c r="CE96" t="s">
        <v>1518</v>
      </c>
      <c r="CF96" t="s">
        <v>1495</v>
      </c>
      <c r="CG96" t="b">
        <v>1</v>
      </c>
      <c r="CH96">
        <v>0</v>
      </c>
      <c r="CI96" t="s">
        <v>1691</v>
      </c>
      <c r="CJ96" t="s">
        <v>1692</v>
      </c>
      <c r="CK96" t="s">
        <v>1251</v>
      </c>
      <c r="CL96" t="s">
        <v>1693</v>
      </c>
    </row>
    <row r="97" spans="1:90">
      <c r="A97">
        <v>560</v>
      </c>
      <c r="B97">
        <v>100049</v>
      </c>
      <c r="C97" t="s">
        <v>1250</v>
      </c>
      <c r="D97">
        <v>2</v>
      </c>
      <c r="E97" t="s">
        <v>1492</v>
      </c>
      <c r="F97">
        <v>5</v>
      </c>
      <c r="G97">
        <v>1</v>
      </c>
      <c r="H97">
        <v>2</v>
      </c>
      <c r="I97" t="s">
        <v>728</v>
      </c>
      <c r="J97" t="s">
        <v>1297</v>
      </c>
      <c r="K97" t="s">
        <v>15</v>
      </c>
      <c r="L97" t="s">
        <v>1511</v>
      </c>
      <c r="M97" t="s">
        <v>1576</v>
      </c>
      <c r="N97" t="s">
        <v>1492</v>
      </c>
      <c r="O97" t="s">
        <v>1302</v>
      </c>
      <c r="P97" t="s">
        <v>1379</v>
      </c>
      <c r="Q97" t="s">
        <v>1302</v>
      </c>
      <c r="R97" t="s">
        <v>1379</v>
      </c>
      <c r="S97" t="s">
        <v>1302</v>
      </c>
      <c r="T97" t="s">
        <v>1379</v>
      </c>
      <c r="U97" t="s">
        <v>1302</v>
      </c>
      <c r="V97" t="s">
        <v>1379</v>
      </c>
      <c r="W97" t="s">
        <v>1302</v>
      </c>
      <c r="X97" t="s">
        <v>1372</v>
      </c>
      <c r="Y97" t="s">
        <v>1257</v>
      </c>
      <c r="Z97" t="s">
        <v>1257</v>
      </c>
      <c r="AA97" t="s">
        <v>1257</v>
      </c>
      <c r="AB97" t="s">
        <v>1257</v>
      </c>
      <c r="AC97" t="b">
        <v>0</v>
      </c>
      <c r="AD97" t="b">
        <v>0</v>
      </c>
      <c r="AE97" t="b">
        <v>0</v>
      </c>
      <c r="AF97" t="b">
        <v>0</v>
      </c>
      <c r="AG97" t="b">
        <v>0</v>
      </c>
      <c r="AH97" t="b">
        <v>0</v>
      </c>
      <c r="AI97" t="b">
        <v>0</v>
      </c>
      <c r="AJ97" t="b">
        <v>0</v>
      </c>
      <c r="AK97" t="b">
        <v>0</v>
      </c>
      <c r="AL97" t="b">
        <v>0</v>
      </c>
      <c r="AM97" t="b">
        <v>0</v>
      </c>
      <c r="AN97" t="b">
        <v>0</v>
      </c>
      <c r="AO97" t="b">
        <v>0</v>
      </c>
      <c r="AP97" t="b">
        <v>0</v>
      </c>
      <c r="AQ97" t="b">
        <v>0</v>
      </c>
      <c r="AR97" t="b">
        <v>0</v>
      </c>
      <c r="AS97" t="b">
        <v>0</v>
      </c>
      <c r="AT97" t="b">
        <v>0</v>
      </c>
      <c r="AU97" t="b">
        <v>0</v>
      </c>
      <c r="AV97" t="b">
        <v>0</v>
      </c>
      <c r="AW97" t="b">
        <v>0</v>
      </c>
      <c r="AX97" t="b">
        <v>0</v>
      </c>
      <c r="AY97" t="b">
        <v>0</v>
      </c>
      <c r="AZ97" t="b">
        <v>0</v>
      </c>
      <c r="BA97" t="b">
        <v>0</v>
      </c>
      <c r="BB97" t="b">
        <v>0</v>
      </c>
      <c r="BC97" t="b">
        <v>0</v>
      </c>
      <c r="BD97" t="b">
        <v>0</v>
      </c>
      <c r="BE97" t="b">
        <v>0</v>
      </c>
      <c r="BF97" t="b">
        <v>0</v>
      </c>
      <c r="BG97" t="b">
        <v>0</v>
      </c>
      <c r="BH97" t="b">
        <v>0</v>
      </c>
      <c r="BI97" t="b">
        <v>0</v>
      </c>
      <c r="BJ97" t="b">
        <v>0</v>
      </c>
      <c r="BK97" t="b">
        <v>0</v>
      </c>
      <c r="BL97" t="b">
        <v>0</v>
      </c>
      <c r="BM97" t="b">
        <v>0</v>
      </c>
      <c r="BN97" t="b">
        <v>0</v>
      </c>
      <c r="BO97" t="b">
        <v>0</v>
      </c>
      <c r="BP97" t="b">
        <v>0</v>
      </c>
      <c r="BQ97" t="b">
        <v>0</v>
      </c>
      <c r="BR97" t="b">
        <v>0</v>
      </c>
      <c r="BS97" t="b">
        <v>0</v>
      </c>
      <c r="BT97" t="b">
        <v>0</v>
      </c>
      <c r="BU97" t="b">
        <v>0</v>
      </c>
      <c r="BV97" t="b">
        <v>0</v>
      </c>
      <c r="BW97" t="b">
        <v>0</v>
      </c>
      <c r="BX97" t="b">
        <v>0</v>
      </c>
      <c r="BY97" t="b">
        <v>0</v>
      </c>
      <c r="BZ97" t="b">
        <v>0</v>
      </c>
      <c r="CA97" t="b">
        <v>0</v>
      </c>
      <c r="CB97" t="b">
        <v>0</v>
      </c>
      <c r="CC97" t="s">
        <v>1253</v>
      </c>
      <c r="CD97" t="s">
        <v>1492</v>
      </c>
      <c r="CE97" t="s">
        <v>1518</v>
      </c>
      <c r="CF97" t="s">
        <v>1495</v>
      </c>
      <c r="CG97" t="b">
        <v>1</v>
      </c>
      <c r="CH97">
        <v>0</v>
      </c>
      <c r="CI97" t="s">
        <v>1694</v>
      </c>
      <c r="CJ97" t="s">
        <v>1692</v>
      </c>
      <c r="CK97" t="s">
        <v>1251</v>
      </c>
      <c r="CL97" t="s">
        <v>1695</v>
      </c>
    </row>
    <row r="98" spans="1:90">
      <c r="A98">
        <v>561</v>
      </c>
      <c r="B98">
        <v>100054</v>
      </c>
      <c r="C98" t="s">
        <v>1250</v>
      </c>
      <c r="D98">
        <v>1</v>
      </c>
      <c r="E98" t="s">
        <v>1492</v>
      </c>
      <c r="F98">
        <v>5</v>
      </c>
      <c r="G98">
        <v>1</v>
      </c>
      <c r="H98">
        <v>2</v>
      </c>
      <c r="I98" t="s">
        <v>1492</v>
      </c>
      <c r="J98" t="s">
        <v>1297</v>
      </c>
      <c r="K98" t="s">
        <v>15</v>
      </c>
      <c r="L98" t="s">
        <v>1511</v>
      </c>
      <c r="M98" t="s">
        <v>1576</v>
      </c>
      <c r="N98" t="s">
        <v>1492</v>
      </c>
      <c r="O98" t="s">
        <v>1302</v>
      </c>
      <c r="P98" t="s">
        <v>1379</v>
      </c>
      <c r="Q98" t="s">
        <v>1302</v>
      </c>
      <c r="R98" t="s">
        <v>1379</v>
      </c>
      <c r="S98" t="s">
        <v>1302</v>
      </c>
      <c r="T98" t="s">
        <v>1379</v>
      </c>
      <c r="U98" t="s">
        <v>1302</v>
      </c>
      <c r="V98" t="s">
        <v>1379</v>
      </c>
      <c r="W98" t="s">
        <v>1302</v>
      </c>
      <c r="X98" t="s">
        <v>1372</v>
      </c>
      <c r="Y98" t="s">
        <v>1257</v>
      </c>
      <c r="Z98" t="s">
        <v>1257</v>
      </c>
      <c r="AA98" t="s">
        <v>1257</v>
      </c>
      <c r="AB98" t="s">
        <v>1257</v>
      </c>
      <c r="AC98" t="b">
        <v>0</v>
      </c>
      <c r="AD98" t="b">
        <v>0</v>
      </c>
      <c r="AE98" t="b">
        <v>0</v>
      </c>
      <c r="AF98" t="b">
        <v>0</v>
      </c>
      <c r="AG98" t="b">
        <v>0</v>
      </c>
      <c r="AH98" t="b">
        <v>0</v>
      </c>
      <c r="AI98" t="b">
        <v>0</v>
      </c>
      <c r="AJ98" t="b">
        <v>0</v>
      </c>
      <c r="AK98" t="b">
        <v>0</v>
      </c>
      <c r="AL98" t="b">
        <v>0</v>
      </c>
      <c r="AM98" t="b">
        <v>0</v>
      </c>
      <c r="AN98" t="b">
        <v>0</v>
      </c>
      <c r="AO98" t="b">
        <v>0</v>
      </c>
      <c r="AP98" t="b">
        <v>0</v>
      </c>
      <c r="AQ98" t="b">
        <v>0</v>
      </c>
      <c r="AR98" t="b">
        <v>0</v>
      </c>
      <c r="AS98" t="b">
        <v>0</v>
      </c>
      <c r="AT98" t="b">
        <v>0</v>
      </c>
      <c r="AU98" t="b">
        <v>0</v>
      </c>
      <c r="AV98" t="b">
        <v>0</v>
      </c>
      <c r="AW98" t="b">
        <v>0</v>
      </c>
      <c r="AX98" t="b">
        <v>0</v>
      </c>
      <c r="AY98" t="b">
        <v>0</v>
      </c>
      <c r="AZ98" t="b">
        <v>0</v>
      </c>
      <c r="BA98" t="b">
        <v>0</v>
      </c>
      <c r="BB98" t="b">
        <v>0</v>
      </c>
      <c r="BC98" t="b">
        <v>0</v>
      </c>
      <c r="BD98" t="b">
        <v>0</v>
      </c>
      <c r="BE98" t="b">
        <v>0</v>
      </c>
      <c r="BF98" t="b">
        <v>0</v>
      </c>
      <c r="BG98" t="b">
        <v>0</v>
      </c>
      <c r="BH98" t="b">
        <v>0</v>
      </c>
      <c r="BI98" t="b">
        <v>0</v>
      </c>
      <c r="BJ98" t="b">
        <v>0</v>
      </c>
      <c r="BK98" t="b">
        <v>0</v>
      </c>
      <c r="BL98" t="b">
        <v>0</v>
      </c>
      <c r="BM98" t="b">
        <v>0</v>
      </c>
      <c r="BN98" t="b">
        <v>0</v>
      </c>
      <c r="BO98" t="b">
        <v>0</v>
      </c>
      <c r="BP98" t="b">
        <v>0</v>
      </c>
      <c r="BQ98" t="b">
        <v>0</v>
      </c>
      <c r="BR98" t="b">
        <v>0</v>
      </c>
      <c r="BS98" t="b">
        <v>0</v>
      </c>
      <c r="BT98" t="b">
        <v>0</v>
      </c>
      <c r="BU98" t="b">
        <v>0</v>
      </c>
      <c r="BV98" t="b">
        <v>0</v>
      </c>
      <c r="BW98" t="b">
        <v>0</v>
      </c>
      <c r="BX98" t="b">
        <v>0</v>
      </c>
      <c r="BY98" t="b">
        <v>0</v>
      </c>
      <c r="BZ98" t="b">
        <v>0</v>
      </c>
      <c r="CA98" t="b">
        <v>0</v>
      </c>
      <c r="CB98" t="b">
        <v>0</v>
      </c>
      <c r="CC98" t="s">
        <v>1253</v>
      </c>
      <c r="CD98" t="s">
        <v>1492</v>
      </c>
      <c r="CE98" t="s">
        <v>1518</v>
      </c>
      <c r="CF98" t="s">
        <v>1495</v>
      </c>
      <c r="CG98" t="b">
        <v>1</v>
      </c>
      <c r="CH98">
        <v>0</v>
      </c>
      <c r="CI98" t="s">
        <v>1696</v>
      </c>
      <c r="CJ98" t="s">
        <v>1697</v>
      </c>
      <c r="CK98" t="s">
        <v>1251</v>
      </c>
      <c r="CL98" t="s">
        <v>1698</v>
      </c>
    </row>
    <row r="99" spans="1:90">
      <c r="A99">
        <v>562</v>
      </c>
      <c r="B99">
        <v>100054</v>
      </c>
      <c r="C99" t="s">
        <v>1250</v>
      </c>
      <c r="D99">
        <v>2</v>
      </c>
      <c r="E99" t="s">
        <v>1492</v>
      </c>
      <c r="F99">
        <v>5</v>
      </c>
      <c r="G99">
        <v>1</v>
      </c>
      <c r="H99">
        <v>2</v>
      </c>
      <c r="I99" t="s">
        <v>1492</v>
      </c>
      <c r="J99" t="s">
        <v>1297</v>
      </c>
      <c r="K99" t="s">
        <v>15</v>
      </c>
      <c r="L99" t="s">
        <v>1511</v>
      </c>
      <c r="M99" t="s">
        <v>1576</v>
      </c>
      <c r="N99" t="s">
        <v>1492</v>
      </c>
      <c r="O99" t="s">
        <v>1302</v>
      </c>
      <c r="P99" t="s">
        <v>1379</v>
      </c>
      <c r="Q99" t="s">
        <v>1302</v>
      </c>
      <c r="R99" t="s">
        <v>1379</v>
      </c>
      <c r="S99" t="s">
        <v>1302</v>
      </c>
      <c r="T99" t="s">
        <v>1379</v>
      </c>
      <c r="U99" t="s">
        <v>1302</v>
      </c>
      <c r="V99" t="s">
        <v>1379</v>
      </c>
      <c r="W99" t="s">
        <v>1302</v>
      </c>
      <c r="X99" t="s">
        <v>1372</v>
      </c>
      <c r="Y99" t="s">
        <v>1257</v>
      </c>
      <c r="Z99" t="s">
        <v>1257</v>
      </c>
      <c r="AA99" t="s">
        <v>1257</v>
      </c>
      <c r="AB99" t="s">
        <v>1257</v>
      </c>
      <c r="AC99" t="b">
        <v>0</v>
      </c>
      <c r="AD99" t="b">
        <v>0</v>
      </c>
      <c r="AE99" t="b">
        <v>0</v>
      </c>
      <c r="AF99" t="b">
        <v>0</v>
      </c>
      <c r="AG99" t="b">
        <v>0</v>
      </c>
      <c r="AH99" t="b">
        <v>0</v>
      </c>
      <c r="AI99" t="b">
        <v>0</v>
      </c>
      <c r="AJ99" t="b">
        <v>0</v>
      </c>
      <c r="AK99" t="b">
        <v>0</v>
      </c>
      <c r="AL99" t="b">
        <v>0</v>
      </c>
      <c r="AM99" t="b">
        <v>0</v>
      </c>
      <c r="AN99" t="b">
        <v>0</v>
      </c>
      <c r="AO99" t="b">
        <v>0</v>
      </c>
      <c r="AP99" t="b">
        <v>0</v>
      </c>
      <c r="AQ99" t="b">
        <v>0</v>
      </c>
      <c r="AR99" t="b">
        <v>0</v>
      </c>
      <c r="AS99" t="b">
        <v>0</v>
      </c>
      <c r="AT99" t="b">
        <v>0</v>
      </c>
      <c r="AU99" t="b">
        <v>0</v>
      </c>
      <c r="AV99" t="b">
        <v>0</v>
      </c>
      <c r="AW99" t="b">
        <v>0</v>
      </c>
      <c r="AX99" t="b">
        <v>0</v>
      </c>
      <c r="AY99" t="b">
        <v>0</v>
      </c>
      <c r="AZ99" t="b">
        <v>0</v>
      </c>
      <c r="BA99" t="b">
        <v>0</v>
      </c>
      <c r="BB99" t="b">
        <v>0</v>
      </c>
      <c r="BC99" t="b">
        <v>0</v>
      </c>
      <c r="BD99" t="b">
        <v>0</v>
      </c>
      <c r="BE99" t="b">
        <v>0</v>
      </c>
      <c r="BF99" t="b">
        <v>0</v>
      </c>
      <c r="BG99" t="b">
        <v>0</v>
      </c>
      <c r="BH99" t="b">
        <v>0</v>
      </c>
      <c r="BI99" t="b">
        <v>0</v>
      </c>
      <c r="BJ99" t="b">
        <v>0</v>
      </c>
      <c r="BK99" t="b">
        <v>0</v>
      </c>
      <c r="BL99" t="b">
        <v>0</v>
      </c>
      <c r="BM99" t="b">
        <v>0</v>
      </c>
      <c r="BN99" t="b">
        <v>0</v>
      </c>
      <c r="BO99" t="b">
        <v>0</v>
      </c>
      <c r="BP99" t="b">
        <v>0</v>
      </c>
      <c r="BQ99" t="b">
        <v>0</v>
      </c>
      <c r="BR99" t="b">
        <v>0</v>
      </c>
      <c r="BS99" t="b">
        <v>0</v>
      </c>
      <c r="BT99" t="b">
        <v>0</v>
      </c>
      <c r="BU99" t="b">
        <v>0</v>
      </c>
      <c r="BV99" t="b">
        <v>0</v>
      </c>
      <c r="BW99" t="b">
        <v>0</v>
      </c>
      <c r="BX99" t="b">
        <v>0</v>
      </c>
      <c r="BY99" t="b">
        <v>0</v>
      </c>
      <c r="BZ99" t="b">
        <v>0</v>
      </c>
      <c r="CA99" t="b">
        <v>0</v>
      </c>
      <c r="CB99" t="b">
        <v>0</v>
      </c>
      <c r="CC99" t="s">
        <v>1253</v>
      </c>
      <c r="CD99" t="s">
        <v>1492</v>
      </c>
      <c r="CE99" t="s">
        <v>1518</v>
      </c>
      <c r="CF99" t="s">
        <v>1495</v>
      </c>
      <c r="CG99" t="b">
        <v>1</v>
      </c>
      <c r="CH99">
        <v>0</v>
      </c>
      <c r="CI99" t="s">
        <v>1696</v>
      </c>
      <c r="CJ99" t="s">
        <v>1697</v>
      </c>
      <c r="CK99" t="s">
        <v>1251</v>
      </c>
      <c r="CL99" t="s">
        <v>1699</v>
      </c>
    </row>
    <row r="100" spans="1:90">
      <c r="A100">
        <v>391</v>
      </c>
      <c r="B100">
        <v>613</v>
      </c>
      <c r="C100" t="s">
        <v>1250</v>
      </c>
      <c r="D100">
        <v>1</v>
      </c>
      <c r="E100" t="s">
        <v>1492</v>
      </c>
      <c r="F100">
        <v>25</v>
      </c>
      <c r="G100">
        <v>1</v>
      </c>
      <c r="H100">
        <v>2</v>
      </c>
      <c r="I100" t="s">
        <v>1015</v>
      </c>
      <c r="J100" t="s">
        <v>1297</v>
      </c>
      <c r="K100" t="s">
        <v>15</v>
      </c>
      <c r="L100" t="s">
        <v>1511</v>
      </c>
      <c r="M100" t="s">
        <v>1492</v>
      </c>
      <c r="N100" t="s">
        <v>1492</v>
      </c>
      <c r="O100" t="s">
        <v>1285</v>
      </c>
      <c r="P100" t="s">
        <v>1379</v>
      </c>
      <c r="Q100" t="s">
        <v>1285</v>
      </c>
      <c r="R100" t="s">
        <v>1379</v>
      </c>
      <c r="S100" t="s">
        <v>1285</v>
      </c>
      <c r="T100" t="s">
        <v>1379</v>
      </c>
      <c r="U100" t="s">
        <v>1285</v>
      </c>
      <c r="V100" t="s">
        <v>1379</v>
      </c>
      <c r="W100" t="s">
        <v>1285</v>
      </c>
      <c r="X100" t="s">
        <v>1372</v>
      </c>
      <c r="Y100" t="s">
        <v>1257</v>
      </c>
      <c r="Z100" t="s">
        <v>1257</v>
      </c>
      <c r="AA100" t="s">
        <v>1257</v>
      </c>
      <c r="AB100" t="s">
        <v>1257</v>
      </c>
      <c r="AC100" t="b">
        <v>0</v>
      </c>
      <c r="AD100" t="b">
        <v>0</v>
      </c>
      <c r="AE100" t="b">
        <v>0</v>
      </c>
      <c r="AF100" t="b">
        <v>0</v>
      </c>
      <c r="AG100" t="b">
        <v>0</v>
      </c>
      <c r="AH100" t="b">
        <v>0</v>
      </c>
      <c r="AI100" t="b">
        <v>1</v>
      </c>
      <c r="AJ100" t="b">
        <v>1</v>
      </c>
      <c r="AK100" t="b">
        <v>1</v>
      </c>
      <c r="AL100" t="b">
        <v>1</v>
      </c>
      <c r="AM100" t="b">
        <v>1</v>
      </c>
      <c r="AN100" t="b">
        <v>1</v>
      </c>
      <c r="AO100" t="b">
        <v>1</v>
      </c>
      <c r="AP100" t="b">
        <v>1</v>
      </c>
      <c r="AQ100" t="b">
        <v>0</v>
      </c>
      <c r="AR100" t="b">
        <v>0</v>
      </c>
      <c r="AS100" t="b">
        <v>0</v>
      </c>
      <c r="AT100" t="b">
        <v>0</v>
      </c>
      <c r="AU100" t="b">
        <v>0</v>
      </c>
      <c r="AV100" t="b">
        <v>0</v>
      </c>
      <c r="AW100" t="b">
        <v>0</v>
      </c>
      <c r="AX100" t="b">
        <v>0</v>
      </c>
      <c r="AY100" t="b">
        <v>1</v>
      </c>
      <c r="AZ100" t="b">
        <v>0</v>
      </c>
      <c r="BA100" t="b">
        <v>0</v>
      </c>
      <c r="BB100" t="b">
        <v>0</v>
      </c>
      <c r="BC100" t="b">
        <v>0</v>
      </c>
      <c r="BD100" t="b">
        <v>0</v>
      </c>
      <c r="BE100" t="b">
        <v>0</v>
      </c>
      <c r="BF100" t="b">
        <v>0</v>
      </c>
      <c r="BG100" t="b">
        <v>0</v>
      </c>
      <c r="BH100" t="b">
        <v>0</v>
      </c>
      <c r="BI100" t="b">
        <v>0</v>
      </c>
      <c r="BJ100" t="b">
        <v>0</v>
      </c>
      <c r="BK100" t="b">
        <v>0</v>
      </c>
      <c r="BL100" t="b">
        <v>0</v>
      </c>
      <c r="BM100" t="b">
        <v>0</v>
      </c>
      <c r="BN100" t="b">
        <v>0</v>
      </c>
      <c r="BO100" t="b">
        <v>0</v>
      </c>
      <c r="BP100" t="b">
        <v>0</v>
      </c>
      <c r="BQ100" t="b">
        <v>0</v>
      </c>
      <c r="BR100" t="b">
        <v>0</v>
      </c>
      <c r="BS100" t="b">
        <v>0</v>
      </c>
      <c r="BT100" t="b">
        <v>0</v>
      </c>
      <c r="BU100" t="b">
        <v>0</v>
      </c>
      <c r="BV100" t="b">
        <v>0</v>
      </c>
      <c r="BW100" t="b">
        <v>0</v>
      </c>
      <c r="BX100" t="b">
        <v>0</v>
      </c>
      <c r="BY100" t="b">
        <v>0</v>
      </c>
      <c r="BZ100" t="b">
        <v>0</v>
      </c>
      <c r="CA100" t="b">
        <v>0</v>
      </c>
      <c r="CB100" t="b">
        <v>0</v>
      </c>
      <c r="CC100" t="s">
        <v>1512</v>
      </c>
      <c r="CD100" t="s">
        <v>1492</v>
      </c>
      <c r="CE100" t="s">
        <v>1513</v>
      </c>
      <c r="CF100" t="s">
        <v>1495</v>
      </c>
      <c r="CG100" t="b">
        <v>0</v>
      </c>
      <c r="CH100">
        <v>0</v>
      </c>
      <c r="CI100" t="s">
        <v>1662</v>
      </c>
      <c r="CJ100" t="s">
        <v>1700</v>
      </c>
      <c r="CK100" t="s">
        <v>1251</v>
      </c>
      <c r="CL100" t="s">
        <v>1701</v>
      </c>
    </row>
    <row r="101" spans="1:90">
      <c r="A101">
        <v>392</v>
      </c>
      <c r="B101">
        <v>613</v>
      </c>
      <c r="C101" t="s">
        <v>1250</v>
      </c>
      <c r="D101">
        <v>2</v>
      </c>
      <c r="E101" t="s">
        <v>1492</v>
      </c>
      <c r="F101">
        <v>25</v>
      </c>
      <c r="G101">
        <v>1</v>
      </c>
      <c r="H101">
        <v>2</v>
      </c>
      <c r="I101" t="s">
        <v>1015</v>
      </c>
      <c r="J101" t="s">
        <v>1297</v>
      </c>
      <c r="K101" t="s">
        <v>15</v>
      </c>
      <c r="L101" t="s">
        <v>1575</v>
      </c>
      <c r="M101" t="s">
        <v>1492</v>
      </c>
      <c r="N101" t="s">
        <v>1492</v>
      </c>
      <c r="O101" t="s">
        <v>1285</v>
      </c>
      <c r="P101" t="s">
        <v>1379</v>
      </c>
      <c r="Q101" t="s">
        <v>1285</v>
      </c>
      <c r="R101" t="s">
        <v>1379</v>
      </c>
      <c r="S101" t="s">
        <v>1285</v>
      </c>
      <c r="T101" t="s">
        <v>1379</v>
      </c>
      <c r="U101" t="s">
        <v>1285</v>
      </c>
      <c r="V101" t="s">
        <v>1379</v>
      </c>
      <c r="W101" t="s">
        <v>1285</v>
      </c>
      <c r="X101" t="s">
        <v>1372</v>
      </c>
      <c r="Y101" t="s">
        <v>1257</v>
      </c>
      <c r="Z101" t="s">
        <v>1257</v>
      </c>
      <c r="AA101" t="s">
        <v>1257</v>
      </c>
      <c r="AB101" t="s">
        <v>1257</v>
      </c>
      <c r="AC101" t="b">
        <v>0</v>
      </c>
      <c r="AD101" t="b">
        <v>0</v>
      </c>
      <c r="AE101" t="b">
        <v>0</v>
      </c>
      <c r="AF101" t="b">
        <v>0</v>
      </c>
      <c r="AG101" t="b">
        <v>0</v>
      </c>
      <c r="AH101" t="b">
        <v>0</v>
      </c>
      <c r="AI101" t="b">
        <v>1</v>
      </c>
      <c r="AJ101" t="b">
        <v>1</v>
      </c>
      <c r="AK101" t="b">
        <v>1</v>
      </c>
      <c r="AL101" t="b">
        <v>1</v>
      </c>
      <c r="AM101" t="b">
        <v>1</v>
      </c>
      <c r="AN101" t="b">
        <v>1</v>
      </c>
      <c r="AO101" t="b">
        <v>1</v>
      </c>
      <c r="AP101" t="b">
        <v>1</v>
      </c>
      <c r="AQ101" t="b">
        <v>0</v>
      </c>
      <c r="AR101" t="b">
        <v>0</v>
      </c>
      <c r="AS101" t="b">
        <v>0</v>
      </c>
      <c r="AT101" t="b">
        <v>0</v>
      </c>
      <c r="AU101" t="b">
        <v>0</v>
      </c>
      <c r="AV101" t="b">
        <v>0</v>
      </c>
      <c r="AW101" t="b">
        <v>0</v>
      </c>
      <c r="AX101" t="b">
        <v>0</v>
      </c>
      <c r="AY101" t="b">
        <v>0</v>
      </c>
      <c r="AZ101" t="b">
        <v>0</v>
      </c>
      <c r="BA101" t="b">
        <v>0</v>
      </c>
      <c r="BB101" t="b">
        <v>0</v>
      </c>
      <c r="BC101" t="b">
        <v>0</v>
      </c>
      <c r="BD101" t="b">
        <v>0</v>
      </c>
      <c r="BE101" t="b">
        <v>0</v>
      </c>
      <c r="BF101" t="b">
        <v>0</v>
      </c>
      <c r="BG101" t="b">
        <v>0</v>
      </c>
      <c r="BH101" t="b">
        <v>0</v>
      </c>
      <c r="BI101" t="b">
        <v>0</v>
      </c>
      <c r="BJ101" t="b">
        <v>0</v>
      </c>
      <c r="BK101" t="b">
        <v>0</v>
      </c>
      <c r="BL101" t="b">
        <v>0</v>
      </c>
      <c r="BM101" t="b">
        <v>0</v>
      </c>
      <c r="BN101" t="b">
        <v>0</v>
      </c>
      <c r="BO101" t="b">
        <v>0</v>
      </c>
      <c r="BP101" t="b">
        <v>0</v>
      </c>
      <c r="BQ101" t="b">
        <v>0</v>
      </c>
      <c r="BR101" t="b">
        <v>0</v>
      </c>
      <c r="BS101" t="b">
        <v>0</v>
      </c>
      <c r="BT101" t="b">
        <v>0</v>
      </c>
      <c r="BU101" t="b">
        <v>0</v>
      </c>
      <c r="BV101" t="b">
        <v>0</v>
      </c>
      <c r="BW101" t="b">
        <v>0</v>
      </c>
      <c r="BX101" t="b">
        <v>0</v>
      </c>
      <c r="BY101" t="b">
        <v>0</v>
      </c>
      <c r="BZ101" t="b">
        <v>0</v>
      </c>
      <c r="CA101" t="b">
        <v>0</v>
      </c>
      <c r="CB101" t="b">
        <v>0</v>
      </c>
      <c r="CC101" t="s">
        <v>1512</v>
      </c>
      <c r="CD101" t="s">
        <v>1492</v>
      </c>
      <c r="CE101" t="s">
        <v>1513</v>
      </c>
      <c r="CF101" t="s">
        <v>1495</v>
      </c>
      <c r="CG101" t="b">
        <v>0</v>
      </c>
      <c r="CH101">
        <v>0</v>
      </c>
      <c r="CI101" t="s">
        <v>1662</v>
      </c>
      <c r="CJ101" t="s">
        <v>1700</v>
      </c>
      <c r="CK101" t="s">
        <v>1251</v>
      </c>
      <c r="CL101" t="s">
        <v>1702</v>
      </c>
    </row>
    <row r="102" spans="1:90">
      <c r="A102">
        <v>394</v>
      </c>
      <c r="B102">
        <v>614</v>
      </c>
      <c r="C102" t="s">
        <v>1250</v>
      </c>
      <c r="D102">
        <v>1</v>
      </c>
      <c r="E102" t="s">
        <v>1492</v>
      </c>
      <c r="F102">
        <v>25</v>
      </c>
      <c r="G102">
        <v>1</v>
      </c>
      <c r="H102">
        <v>2</v>
      </c>
      <c r="I102" t="s">
        <v>1015</v>
      </c>
      <c r="J102" t="s">
        <v>1297</v>
      </c>
      <c r="K102" t="s">
        <v>15</v>
      </c>
      <c r="L102" t="s">
        <v>1511</v>
      </c>
      <c r="M102" t="s">
        <v>1492</v>
      </c>
      <c r="N102" t="s">
        <v>1492</v>
      </c>
      <c r="O102" t="s">
        <v>1285</v>
      </c>
      <c r="P102" t="s">
        <v>1379</v>
      </c>
      <c r="Q102" t="s">
        <v>1285</v>
      </c>
      <c r="R102" t="s">
        <v>1379</v>
      </c>
      <c r="S102" t="s">
        <v>1285</v>
      </c>
      <c r="T102" t="s">
        <v>1379</v>
      </c>
      <c r="U102" t="s">
        <v>1285</v>
      </c>
      <c r="V102" t="s">
        <v>1379</v>
      </c>
      <c r="W102" t="s">
        <v>1285</v>
      </c>
      <c r="X102" t="s">
        <v>1372</v>
      </c>
      <c r="Y102" t="s">
        <v>1257</v>
      </c>
      <c r="Z102" t="s">
        <v>1257</v>
      </c>
      <c r="AA102" t="s">
        <v>1257</v>
      </c>
      <c r="AB102" t="s">
        <v>1257</v>
      </c>
      <c r="AC102" t="b">
        <v>0</v>
      </c>
      <c r="AD102" t="b">
        <v>0</v>
      </c>
      <c r="AE102" t="b">
        <v>0</v>
      </c>
      <c r="AF102" t="b">
        <v>0</v>
      </c>
      <c r="AG102" t="b">
        <v>0</v>
      </c>
      <c r="AH102" t="b">
        <v>0</v>
      </c>
      <c r="AI102" t="b">
        <v>0</v>
      </c>
      <c r="AJ102" t="b">
        <v>0</v>
      </c>
      <c r="AK102" t="b">
        <v>0</v>
      </c>
      <c r="AL102" t="b">
        <v>0</v>
      </c>
      <c r="AM102" t="b">
        <v>0</v>
      </c>
      <c r="AN102" t="b">
        <v>0</v>
      </c>
      <c r="AO102" t="b">
        <v>0</v>
      </c>
      <c r="AP102" t="b">
        <v>0</v>
      </c>
      <c r="AQ102" t="b">
        <v>0</v>
      </c>
      <c r="AR102" t="b">
        <v>0</v>
      </c>
      <c r="AS102" t="b">
        <v>0</v>
      </c>
      <c r="AT102" t="b">
        <v>0</v>
      </c>
      <c r="AU102" t="b">
        <v>0</v>
      </c>
      <c r="AV102" t="b">
        <v>0</v>
      </c>
      <c r="AW102" t="b">
        <v>0</v>
      </c>
      <c r="AX102" t="b">
        <v>0</v>
      </c>
      <c r="AY102" t="b">
        <v>0</v>
      </c>
      <c r="AZ102" t="b">
        <v>0</v>
      </c>
      <c r="BA102" t="b">
        <v>0</v>
      </c>
      <c r="BB102" t="b">
        <v>0</v>
      </c>
      <c r="BC102" t="b">
        <v>0</v>
      </c>
      <c r="BD102" t="b">
        <v>0</v>
      </c>
      <c r="BE102" t="b">
        <v>0</v>
      </c>
      <c r="BF102" t="b">
        <v>1</v>
      </c>
      <c r="BG102" t="b">
        <v>1</v>
      </c>
      <c r="BH102" t="b">
        <v>1</v>
      </c>
      <c r="BI102" t="b">
        <v>1</v>
      </c>
      <c r="BJ102" t="b">
        <v>1</v>
      </c>
      <c r="BK102" t="b">
        <v>1</v>
      </c>
      <c r="BL102" t="b">
        <v>1</v>
      </c>
      <c r="BM102" t="b">
        <v>1</v>
      </c>
      <c r="BN102" t="b">
        <v>0</v>
      </c>
      <c r="BO102" t="b">
        <v>0</v>
      </c>
      <c r="BP102" t="b">
        <v>0</v>
      </c>
      <c r="BQ102" t="b">
        <v>0</v>
      </c>
      <c r="BR102" t="b">
        <v>0</v>
      </c>
      <c r="BS102" t="b">
        <v>0</v>
      </c>
      <c r="BT102" t="b">
        <v>0</v>
      </c>
      <c r="BU102" t="b">
        <v>0</v>
      </c>
      <c r="BV102" t="b">
        <v>0</v>
      </c>
      <c r="BW102" t="b">
        <v>0</v>
      </c>
      <c r="BX102" t="b">
        <v>0</v>
      </c>
      <c r="BY102" t="b">
        <v>0</v>
      </c>
      <c r="BZ102" t="b">
        <v>0</v>
      </c>
      <c r="CA102" t="b">
        <v>0</v>
      </c>
      <c r="CB102" t="b">
        <v>0</v>
      </c>
      <c r="CC102" t="s">
        <v>1512</v>
      </c>
      <c r="CD102" t="s">
        <v>1492</v>
      </c>
      <c r="CE102" t="s">
        <v>1518</v>
      </c>
      <c r="CF102" t="s">
        <v>1495</v>
      </c>
      <c r="CG102" t="b">
        <v>0</v>
      </c>
      <c r="CH102">
        <v>0</v>
      </c>
      <c r="CI102" t="s">
        <v>1662</v>
      </c>
      <c r="CJ102" t="s">
        <v>1703</v>
      </c>
      <c r="CK102" t="s">
        <v>1251</v>
      </c>
      <c r="CL102" t="s">
        <v>1704</v>
      </c>
    </row>
    <row r="103" spans="1:90">
      <c r="A103">
        <v>393</v>
      </c>
      <c r="B103">
        <v>614</v>
      </c>
      <c r="C103" t="s">
        <v>1250</v>
      </c>
      <c r="D103">
        <v>2</v>
      </c>
      <c r="E103" t="s">
        <v>1492</v>
      </c>
      <c r="F103">
        <v>25</v>
      </c>
      <c r="G103">
        <v>1</v>
      </c>
      <c r="H103">
        <v>2</v>
      </c>
      <c r="I103" t="s">
        <v>1015</v>
      </c>
      <c r="J103" t="s">
        <v>1297</v>
      </c>
      <c r="K103" t="s">
        <v>15</v>
      </c>
      <c r="L103" t="s">
        <v>1511</v>
      </c>
      <c r="M103" t="s">
        <v>1492</v>
      </c>
      <c r="N103" t="s">
        <v>1492</v>
      </c>
      <c r="O103" t="s">
        <v>1285</v>
      </c>
      <c r="P103" t="s">
        <v>1379</v>
      </c>
      <c r="Q103" t="s">
        <v>1285</v>
      </c>
      <c r="R103" t="s">
        <v>1379</v>
      </c>
      <c r="S103" t="s">
        <v>1285</v>
      </c>
      <c r="T103" t="s">
        <v>1379</v>
      </c>
      <c r="U103" t="s">
        <v>1285</v>
      </c>
      <c r="V103" t="s">
        <v>1379</v>
      </c>
      <c r="W103" t="s">
        <v>1285</v>
      </c>
      <c r="X103" t="s">
        <v>1372</v>
      </c>
      <c r="Y103" t="s">
        <v>1257</v>
      </c>
      <c r="Z103" t="s">
        <v>1257</v>
      </c>
      <c r="AA103" t="s">
        <v>1257</v>
      </c>
      <c r="AB103" t="s">
        <v>1257</v>
      </c>
      <c r="AC103" t="b">
        <v>0</v>
      </c>
      <c r="AD103" t="b">
        <v>0</v>
      </c>
      <c r="AE103" t="b">
        <v>0</v>
      </c>
      <c r="AF103" t="b">
        <v>0</v>
      </c>
      <c r="AG103" t="b">
        <v>0</v>
      </c>
      <c r="AH103" t="b">
        <v>0</v>
      </c>
      <c r="AI103" t="b">
        <v>0</v>
      </c>
      <c r="AJ103" t="b">
        <v>0</v>
      </c>
      <c r="AK103" t="b">
        <v>0</v>
      </c>
      <c r="AL103" t="b">
        <v>0</v>
      </c>
      <c r="AM103" t="b">
        <v>0</v>
      </c>
      <c r="AN103" t="b">
        <v>0</v>
      </c>
      <c r="AO103" t="b">
        <v>0</v>
      </c>
      <c r="AP103" t="b">
        <v>0</v>
      </c>
      <c r="AQ103" t="b">
        <v>0</v>
      </c>
      <c r="AR103" t="b">
        <v>0</v>
      </c>
      <c r="AS103" t="b">
        <v>0</v>
      </c>
      <c r="AT103" t="b">
        <v>0</v>
      </c>
      <c r="AU103" t="b">
        <v>0</v>
      </c>
      <c r="AV103" t="b">
        <v>0</v>
      </c>
      <c r="AW103" t="b">
        <v>0</v>
      </c>
      <c r="AX103" t="b">
        <v>0</v>
      </c>
      <c r="AY103" t="b">
        <v>0</v>
      </c>
      <c r="AZ103" t="b">
        <v>0</v>
      </c>
      <c r="BA103" t="b">
        <v>0</v>
      </c>
      <c r="BB103" t="b">
        <v>0</v>
      </c>
      <c r="BC103" t="b">
        <v>0</v>
      </c>
      <c r="BD103" t="b">
        <v>0</v>
      </c>
      <c r="BE103" t="b">
        <v>0</v>
      </c>
      <c r="BF103" t="b">
        <v>1</v>
      </c>
      <c r="BG103" t="b">
        <v>1</v>
      </c>
      <c r="BH103" t="b">
        <v>1</v>
      </c>
      <c r="BI103" t="b">
        <v>1</v>
      </c>
      <c r="BJ103" t="b">
        <v>1</v>
      </c>
      <c r="BK103" t="b">
        <v>1</v>
      </c>
      <c r="BL103" t="b">
        <v>1</v>
      </c>
      <c r="BM103" t="b">
        <v>1</v>
      </c>
      <c r="BN103" t="b">
        <v>0</v>
      </c>
      <c r="BO103" t="b">
        <v>0</v>
      </c>
      <c r="BP103" t="b">
        <v>0</v>
      </c>
      <c r="BQ103" t="b">
        <v>0</v>
      </c>
      <c r="BR103" t="b">
        <v>0</v>
      </c>
      <c r="BS103" t="b">
        <v>0</v>
      </c>
      <c r="BT103" t="b">
        <v>0</v>
      </c>
      <c r="BU103" t="b">
        <v>0</v>
      </c>
      <c r="BV103" t="b">
        <v>0</v>
      </c>
      <c r="BW103" t="b">
        <v>0</v>
      </c>
      <c r="BX103" t="b">
        <v>0</v>
      </c>
      <c r="BY103" t="b">
        <v>0</v>
      </c>
      <c r="BZ103" t="b">
        <v>0</v>
      </c>
      <c r="CA103" t="b">
        <v>0</v>
      </c>
      <c r="CB103" t="b">
        <v>0</v>
      </c>
      <c r="CC103" t="s">
        <v>1512</v>
      </c>
      <c r="CD103" t="s">
        <v>1492</v>
      </c>
      <c r="CE103" t="s">
        <v>1518</v>
      </c>
      <c r="CF103" t="s">
        <v>1495</v>
      </c>
      <c r="CG103" t="b">
        <v>0</v>
      </c>
      <c r="CH103">
        <v>0</v>
      </c>
      <c r="CI103" t="s">
        <v>1662</v>
      </c>
      <c r="CJ103" t="s">
        <v>1703</v>
      </c>
      <c r="CK103" t="s">
        <v>1251</v>
      </c>
      <c r="CL103" t="s">
        <v>1705</v>
      </c>
    </row>
    <row r="104" spans="1:90">
      <c r="A104">
        <v>396</v>
      </c>
      <c r="B104">
        <v>615</v>
      </c>
      <c r="C104" t="s">
        <v>1250</v>
      </c>
      <c r="D104">
        <v>1</v>
      </c>
      <c r="E104" t="s">
        <v>1492</v>
      </c>
      <c r="F104">
        <v>22</v>
      </c>
      <c r="G104">
        <v>1</v>
      </c>
      <c r="H104">
        <v>2</v>
      </c>
      <c r="I104" t="s">
        <v>618</v>
      </c>
      <c r="J104" t="s">
        <v>1297</v>
      </c>
      <c r="K104" t="s">
        <v>16</v>
      </c>
      <c r="L104" t="s">
        <v>1522</v>
      </c>
      <c r="M104" t="s">
        <v>1492</v>
      </c>
      <c r="N104" t="s">
        <v>1492</v>
      </c>
      <c r="O104" t="s">
        <v>1302</v>
      </c>
      <c r="P104" t="s">
        <v>1379</v>
      </c>
      <c r="Q104" t="s">
        <v>1302</v>
      </c>
      <c r="R104" t="s">
        <v>1379</v>
      </c>
      <c r="S104" t="s">
        <v>1302</v>
      </c>
      <c r="T104" t="s">
        <v>1379</v>
      </c>
      <c r="U104" t="s">
        <v>1302</v>
      </c>
      <c r="V104" t="s">
        <v>1379</v>
      </c>
      <c r="W104" t="s">
        <v>1285</v>
      </c>
      <c r="X104" t="s">
        <v>1372</v>
      </c>
      <c r="Y104" t="s">
        <v>1257</v>
      </c>
      <c r="Z104" t="s">
        <v>1257</v>
      </c>
      <c r="AA104" t="s">
        <v>1257</v>
      </c>
      <c r="AB104" t="s">
        <v>1257</v>
      </c>
      <c r="AC104" t="b">
        <v>0</v>
      </c>
      <c r="AD104" t="b">
        <v>0</v>
      </c>
      <c r="AE104" t="b">
        <v>0</v>
      </c>
      <c r="AF104" t="b">
        <v>0</v>
      </c>
      <c r="AG104" t="b">
        <v>0</v>
      </c>
      <c r="AH104" t="b">
        <v>0</v>
      </c>
      <c r="AI104" t="b">
        <v>0</v>
      </c>
      <c r="AJ104" t="b">
        <v>0</v>
      </c>
      <c r="AK104" t="b">
        <v>0</v>
      </c>
      <c r="AL104" t="b">
        <v>0</v>
      </c>
      <c r="AM104" t="b">
        <v>0</v>
      </c>
      <c r="AN104" t="b">
        <v>0</v>
      </c>
      <c r="AO104" t="b">
        <v>0</v>
      </c>
      <c r="AP104" t="b">
        <v>0</v>
      </c>
      <c r="AQ104" t="b">
        <v>0</v>
      </c>
      <c r="AR104" t="b">
        <v>0</v>
      </c>
      <c r="AS104" t="b">
        <v>0</v>
      </c>
      <c r="AT104" t="b">
        <v>0</v>
      </c>
      <c r="AU104" t="b">
        <v>0</v>
      </c>
      <c r="AV104" t="b">
        <v>0</v>
      </c>
      <c r="AW104" t="b">
        <v>0</v>
      </c>
      <c r="AX104" t="b">
        <v>0</v>
      </c>
      <c r="AY104" t="b">
        <v>0</v>
      </c>
      <c r="AZ104" t="b">
        <v>0</v>
      </c>
      <c r="BA104" t="b">
        <v>0</v>
      </c>
      <c r="BB104" t="b">
        <v>0</v>
      </c>
      <c r="BC104" t="b">
        <v>0</v>
      </c>
      <c r="BD104" t="b">
        <v>0</v>
      </c>
      <c r="BE104" t="b">
        <v>0</v>
      </c>
      <c r="BF104" t="b">
        <v>1</v>
      </c>
      <c r="BG104" t="b">
        <v>1</v>
      </c>
      <c r="BH104" t="b">
        <v>1</v>
      </c>
      <c r="BI104" t="b">
        <v>1</v>
      </c>
      <c r="BJ104" t="b">
        <v>1</v>
      </c>
      <c r="BK104" t="b">
        <v>1</v>
      </c>
      <c r="BL104" t="b">
        <v>1</v>
      </c>
      <c r="BM104" t="b">
        <v>1</v>
      </c>
      <c r="BN104" t="b">
        <v>1</v>
      </c>
      <c r="BO104" t="b">
        <v>1</v>
      </c>
      <c r="BP104" t="b">
        <v>0</v>
      </c>
      <c r="BQ104" t="b">
        <v>0</v>
      </c>
      <c r="BR104" t="b">
        <v>1</v>
      </c>
      <c r="BS104" t="b">
        <v>1</v>
      </c>
      <c r="BT104" t="b">
        <v>1</v>
      </c>
      <c r="BU104" t="b">
        <v>1</v>
      </c>
      <c r="BV104" t="b">
        <v>0</v>
      </c>
      <c r="BW104" t="b">
        <v>0</v>
      </c>
      <c r="BX104" t="b">
        <v>0</v>
      </c>
      <c r="BY104" t="b">
        <v>0</v>
      </c>
      <c r="BZ104" t="b">
        <v>0</v>
      </c>
      <c r="CA104" t="b">
        <v>0</v>
      </c>
      <c r="CB104" t="b">
        <v>0</v>
      </c>
      <c r="CC104" t="s">
        <v>1512</v>
      </c>
      <c r="CD104" t="s">
        <v>1492</v>
      </c>
      <c r="CE104" t="s">
        <v>1518</v>
      </c>
      <c r="CF104" t="s">
        <v>1495</v>
      </c>
      <c r="CG104" t="b">
        <v>0</v>
      </c>
      <c r="CH104">
        <v>0</v>
      </c>
      <c r="CI104" t="s">
        <v>1662</v>
      </c>
      <c r="CJ104" t="s">
        <v>1706</v>
      </c>
      <c r="CK104" t="s">
        <v>1251</v>
      </c>
      <c r="CL104" t="s">
        <v>1707</v>
      </c>
    </row>
    <row r="105" spans="1:90">
      <c r="A105">
        <v>395</v>
      </c>
      <c r="B105">
        <v>615</v>
      </c>
      <c r="C105" t="s">
        <v>1250</v>
      </c>
      <c r="D105">
        <v>2</v>
      </c>
      <c r="E105" t="s">
        <v>1492</v>
      </c>
      <c r="F105">
        <v>22</v>
      </c>
      <c r="G105">
        <v>1</v>
      </c>
      <c r="H105">
        <v>2</v>
      </c>
      <c r="I105" t="s">
        <v>618</v>
      </c>
      <c r="J105" t="s">
        <v>1297</v>
      </c>
      <c r="K105" t="s">
        <v>16</v>
      </c>
      <c r="L105" t="s">
        <v>1522</v>
      </c>
      <c r="M105" t="s">
        <v>1492</v>
      </c>
      <c r="N105" t="s">
        <v>1492</v>
      </c>
      <c r="O105" t="s">
        <v>1302</v>
      </c>
      <c r="P105" t="s">
        <v>1379</v>
      </c>
      <c r="Q105" t="s">
        <v>1302</v>
      </c>
      <c r="R105" t="s">
        <v>1379</v>
      </c>
      <c r="S105" t="s">
        <v>1302</v>
      </c>
      <c r="T105" t="s">
        <v>1379</v>
      </c>
      <c r="U105" t="s">
        <v>1302</v>
      </c>
      <c r="V105" t="s">
        <v>1379</v>
      </c>
      <c r="W105" t="s">
        <v>1302</v>
      </c>
      <c r="X105" t="s">
        <v>1372</v>
      </c>
      <c r="Y105" t="s">
        <v>1257</v>
      </c>
      <c r="Z105" t="s">
        <v>1257</v>
      </c>
      <c r="AA105" t="s">
        <v>1257</v>
      </c>
      <c r="AB105" t="s">
        <v>1257</v>
      </c>
      <c r="AC105" t="b">
        <v>0</v>
      </c>
      <c r="AD105" t="b">
        <v>0</v>
      </c>
      <c r="AE105" t="b">
        <v>0</v>
      </c>
      <c r="AF105" t="b">
        <v>0</v>
      </c>
      <c r="AG105" t="b">
        <v>0</v>
      </c>
      <c r="AH105" t="b">
        <v>0</v>
      </c>
      <c r="AI105" t="b">
        <v>0</v>
      </c>
      <c r="AJ105" t="b">
        <v>0</v>
      </c>
      <c r="AK105" t="b">
        <v>0</v>
      </c>
      <c r="AL105" t="b">
        <v>0</v>
      </c>
      <c r="AM105" t="b">
        <v>0</v>
      </c>
      <c r="AN105" t="b">
        <v>0</v>
      </c>
      <c r="AO105" t="b">
        <v>0</v>
      </c>
      <c r="AP105" t="b">
        <v>0</v>
      </c>
      <c r="AQ105" t="b">
        <v>0</v>
      </c>
      <c r="AR105" t="b">
        <v>0</v>
      </c>
      <c r="AS105" t="b">
        <v>0</v>
      </c>
      <c r="AT105" t="b">
        <v>0</v>
      </c>
      <c r="AU105" t="b">
        <v>0</v>
      </c>
      <c r="AV105" t="b">
        <v>0</v>
      </c>
      <c r="AW105" t="b">
        <v>0</v>
      </c>
      <c r="AX105" t="b">
        <v>0</v>
      </c>
      <c r="AY105" t="b">
        <v>0</v>
      </c>
      <c r="AZ105" t="b">
        <v>0</v>
      </c>
      <c r="BA105" t="b">
        <v>0</v>
      </c>
      <c r="BB105" t="b">
        <v>0</v>
      </c>
      <c r="BC105" t="b">
        <v>0</v>
      </c>
      <c r="BD105" t="b">
        <v>0</v>
      </c>
      <c r="BE105" t="b">
        <v>0</v>
      </c>
      <c r="BF105" t="b">
        <v>1</v>
      </c>
      <c r="BG105" t="b">
        <v>1</v>
      </c>
      <c r="BH105" t="b">
        <v>1</v>
      </c>
      <c r="BI105" t="b">
        <v>1</v>
      </c>
      <c r="BJ105" t="b">
        <v>1</v>
      </c>
      <c r="BK105" t="b">
        <v>1</v>
      </c>
      <c r="BL105" t="b">
        <v>1</v>
      </c>
      <c r="BM105" t="b">
        <v>1</v>
      </c>
      <c r="BN105" t="b">
        <v>1</v>
      </c>
      <c r="BO105" t="b">
        <v>1</v>
      </c>
      <c r="BP105" t="b">
        <v>0</v>
      </c>
      <c r="BQ105" t="b">
        <v>0</v>
      </c>
      <c r="BR105" t="b">
        <v>1</v>
      </c>
      <c r="BS105" t="b">
        <v>1</v>
      </c>
      <c r="BT105" t="b">
        <v>1</v>
      </c>
      <c r="BU105" t="b">
        <v>1</v>
      </c>
      <c r="BV105" t="b">
        <v>0</v>
      </c>
      <c r="BW105" t="b">
        <v>0</v>
      </c>
      <c r="BX105" t="b">
        <v>0</v>
      </c>
      <c r="BY105" t="b">
        <v>0</v>
      </c>
      <c r="BZ105" t="b">
        <v>0</v>
      </c>
      <c r="CA105" t="b">
        <v>0</v>
      </c>
      <c r="CB105" t="b">
        <v>0</v>
      </c>
      <c r="CC105" t="s">
        <v>1512</v>
      </c>
      <c r="CD105" t="s">
        <v>1492</v>
      </c>
      <c r="CE105" t="s">
        <v>1518</v>
      </c>
      <c r="CF105" t="s">
        <v>1495</v>
      </c>
      <c r="CG105" t="b">
        <v>0</v>
      </c>
      <c r="CH105">
        <v>0</v>
      </c>
      <c r="CI105" t="s">
        <v>1662</v>
      </c>
      <c r="CJ105" t="s">
        <v>1706</v>
      </c>
      <c r="CK105" t="s">
        <v>1251</v>
      </c>
      <c r="CL105" t="s">
        <v>1708</v>
      </c>
    </row>
    <row r="106" spans="1:90">
      <c r="A106">
        <v>400</v>
      </c>
      <c r="B106">
        <v>617</v>
      </c>
      <c r="C106" t="s">
        <v>1250</v>
      </c>
      <c r="D106">
        <v>1</v>
      </c>
      <c r="E106" t="s">
        <v>1492</v>
      </c>
      <c r="F106">
        <v>25</v>
      </c>
      <c r="G106">
        <v>1</v>
      </c>
      <c r="H106">
        <v>2</v>
      </c>
      <c r="I106" t="s">
        <v>286</v>
      </c>
      <c r="J106" t="s">
        <v>1297</v>
      </c>
      <c r="K106" t="s">
        <v>15</v>
      </c>
      <c r="L106" t="s">
        <v>1511</v>
      </c>
      <c r="M106" t="s">
        <v>1492</v>
      </c>
      <c r="N106" t="s">
        <v>1492</v>
      </c>
      <c r="O106" t="s">
        <v>1285</v>
      </c>
      <c r="P106" t="s">
        <v>1379</v>
      </c>
      <c r="Q106" t="s">
        <v>1285</v>
      </c>
      <c r="R106" t="s">
        <v>1379</v>
      </c>
      <c r="S106" t="s">
        <v>1285</v>
      </c>
      <c r="T106" t="s">
        <v>1379</v>
      </c>
      <c r="U106" t="s">
        <v>1285</v>
      </c>
      <c r="V106" t="s">
        <v>1379</v>
      </c>
      <c r="W106" t="s">
        <v>1285</v>
      </c>
      <c r="X106" t="s">
        <v>1372</v>
      </c>
      <c r="Y106" t="s">
        <v>1257</v>
      </c>
      <c r="Z106" t="s">
        <v>1257</v>
      </c>
      <c r="AA106" t="s">
        <v>1257</v>
      </c>
      <c r="AB106" t="s">
        <v>1257</v>
      </c>
      <c r="AC106" t="b">
        <v>0</v>
      </c>
      <c r="AD106" t="b">
        <v>0</v>
      </c>
      <c r="AE106" t="b">
        <v>0</v>
      </c>
      <c r="AF106" t="b">
        <v>0</v>
      </c>
      <c r="AG106" t="b">
        <v>0</v>
      </c>
      <c r="AH106" t="b">
        <v>0</v>
      </c>
      <c r="AI106" t="b">
        <v>0</v>
      </c>
      <c r="AJ106" t="b">
        <v>0</v>
      </c>
      <c r="AK106" t="b">
        <v>0</v>
      </c>
      <c r="AL106" t="b">
        <v>0</v>
      </c>
      <c r="AM106" t="b">
        <v>0</v>
      </c>
      <c r="AN106" t="b">
        <v>0</v>
      </c>
      <c r="AO106" t="b">
        <v>0</v>
      </c>
      <c r="AP106" t="b">
        <v>0</v>
      </c>
      <c r="AQ106" t="b">
        <v>0</v>
      </c>
      <c r="AR106" t="b">
        <v>0</v>
      </c>
      <c r="AS106" t="b">
        <v>0</v>
      </c>
      <c r="AT106" t="b">
        <v>0</v>
      </c>
      <c r="AU106" t="b">
        <v>0</v>
      </c>
      <c r="AV106" t="b">
        <v>0</v>
      </c>
      <c r="AW106" t="b">
        <v>0</v>
      </c>
      <c r="AX106" t="b">
        <v>0</v>
      </c>
      <c r="AY106" t="b">
        <v>0</v>
      </c>
      <c r="AZ106" t="b">
        <v>0</v>
      </c>
      <c r="BA106" t="b">
        <v>0</v>
      </c>
      <c r="BB106" t="b">
        <v>0</v>
      </c>
      <c r="BC106" t="b">
        <v>0</v>
      </c>
      <c r="BD106" t="b">
        <v>0</v>
      </c>
      <c r="BE106" t="b">
        <v>0</v>
      </c>
      <c r="BF106" t="b">
        <v>0</v>
      </c>
      <c r="BG106" t="b">
        <v>0</v>
      </c>
      <c r="BH106" t="b">
        <v>0</v>
      </c>
      <c r="BI106" t="b">
        <v>0</v>
      </c>
      <c r="BJ106" t="b">
        <v>0</v>
      </c>
      <c r="BK106" t="b">
        <v>0</v>
      </c>
      <c r="BL106" t="b">
        <v>0</v>
      </c>
      <c r="BM106" t="b">
        <v>0</v>
      </c>
      <c r="BN106" t="b">
        <v>0</v>
      </c>
      <c r="BO106" t="b">
        <v>0</v>
      </c>
      <c r="BP106" t="b">
        <v>0</v>
      </c>
      <c r="BQ106" t="b">
        <v>1</v>
      </c>
      <c r="BR106" t="b">
        <v>1</v>
      </c>
      <c r="BS106" t="b">
        <v>1</v>
      </c>
      <c r="BT106" t="b">
        <v>1</v>
      </c>
      <c r="BU106" t="b">
        <v>1</v>
      </c>
      <c r="BV106" t="b">
        <v>1</v>
      </c>
      <c r="BW106" t="b">
        <v>1</v>
      </c>
      <c r="BX106" t="b">
        <v>1</v>
      </c>
      <c r="BY106" t="b">
        <v>0</v>
      </c>
      <c r="BZ106" t="b">
        <v>0</v>
      </c>
      <c r="CA106" t="b">
        <v>0</v>
      </c>
      <c r="CB106" t="b">
        <v>0</v>
      </c>
      <c r="CC106" t="s">
        <v>1512</v>
      </c>
      <c r="CD106" t="s">
        <v>1492</v>
      </c>
      <c r="CE106" t="s">
        <v>1513</v>
      </c>
      <c r="CF106" t="s">
        <v>1495</v>
      </c>
      <c r="CG106" t="b">
        <v>0</v>
      </c>
      <c r="CH106">
        <v>0</v>
      </c>
      <c r="CI106" t="s">
        <v>1596</v>
      </c>
      <c r="CJ106" t="s">
        <v>1709</v>
      </c>
      <c r="CK106" t="s">
        <v>1251</v>
      </c>
      <c r="CL106" t="s">
        <v>1710</v>
      </c>
    </row>
    <row r="107" spans="1:90">
      <c r="A107">
        <v>399</v>
      </c>
      <c r="B107">
        <v>617</v>
      </c>
      <c r="C107" t="s">
        <v>1250</v>
      </c>
      <c r="D107">
        <v>2</v>
      </c>
      <c r="E107" t="s">
        <v>1492</v>
      </c>
      <c r="F107">
        <v>25</v>
      </c>
      <c r="G107">
        <v>1</v>
      </c>
      <c r="H107">
        <v>2</v>
      </c>
      <c r="I107" t="s">
        <v>286</v>
      </c>
      <c r="J107" t="s">
        <v>1297</v>
      </c>
      <c r="K107" t="s">
        <v>15</v>
      </c>
      <c r="L107" t="s">
        <v>1511</v>
      </c>
      <c r="M107" t="s">
        <v>1492</v>
      </c>
      <c r="N107" t="s">
        <v>1492</v>
      </c>
      <c r="O107" t="s">
        <v>1285</v>
      </c>
      <c r="P107" t="s">
        <v>1379</v>
      </c>
      <c r="Q107" t="s">
        <v>1285</v>
      </c>
      <c r="R107" t="s">
        <v>1379</v>
      </c>
      <c r="S107" t="s">
        <v>1285</v>
      </c>
      <c r="T107" t="s">
        <v>1379</v>
      </c>
      <c r="U107" t="s">
        <v>1285</v>
      </c>
      <c r="V107" t="s">
        <v>1379</v>
      </c>
      <c r="W107" t="s">
        <v>1285</v>
      </c>
      <c r="X107" t="s">
        <v>1372</v>
      </c>
      <c r="Y107" t="s">
        <v>1257</v>
      </c>
      <c r="Z107" t="s">
        <v>1257</v>
      </c>
      <c r="AA107" t="s">
        <v>1257</v>
      </c>
      <c r="AB107" t="s">
        <v>1257</v>
      </c>
      <c r="AC107" t="b">
        <v>0</v>
      </c>
      <c r="AD107" t="b">
        <v>0</v>
      </c>
      <c r="AE107" t="b">
        <v>0</v>
      </c>
      <c r="AF107" t="b">
        <v>0</v>
      </c>
      <c r="AG107" t="b">
        <v>0</v>
      </c>
      <c r="AH107" t="b">
        <v>0</v>
      </c>
      <c r="AI107" t="b">
        <v>0</v>
      </c>
      <c r="AJ107" t="b">
        <v>0</v>
      </c>
      <c r="AK107" t="b">
        <v>0</v>
      </c>
      <c r="AL107" t="b">
        <v>0</v>
      </c>
      <c r="AM107" t="b">
        <v>0</v>
      </c>
      <c r="AN107" t="b">
        <v>0</v>
      </c>
      <c r="AO107" t="b">
        <v>0</v>
      </c>
      <c r="AP107" t="b">
        <v>0</v>
      </c>
      <c r="AQ107" t="b">
        <v>0</v>
      </c>
      <c r="AR107" t="b">
        <v>0</v>
      </c>
      <c r="AS107" t="b">
        <v>0</v>
      </c>
      <c r="AT107" t="b">
        <v>0</v>
      </c>
      <c r="AU107" t="b">
        <v>0</v>
      </c>
      <c r="AV107" t="b">
        <v>0</v>
      </c>
      <c r="AW107" t="b">
        <v>0</v>
      </c>
      <c r="AX107" t="b">
        <v>0</v>
      </c>
      <c r="AY107" t="b">
        <v>0</v>
      </c>
      <c r="AZ107" t="b">
        <v>0</v>
      </c>
      <c r="BA107" t="b">
        <v>0</v>
      </c>
      <c r="BB107" t="b">
        <v>0</v>
      </c>
      <c r="BC107" t="b">
        <v>0</v>
      </c>
      <c r="BD107" t="b">
        <v>0</v>
      </c>
      <c r="BE107" t="b">
        <v>0</v>
      </c>
      <c r="BF107" t="b">
        <v>0</v>
      </c>
      <c r="BG107" t="b">
        <v>0</v>
      </c>
      <c r="BH107" t="b">
        <v>0</v>
      </c>
      <c r="BI107" t="b">
        <v>0</v>
      </c>
      <c r="BJ107" t="b">
        <v>0</v>
      </c>
      <c r="BK107" t="b">
        <v>0</v>
      </c>
      <c r="BL107" t="b">
        <v>0</v>
      </c>
      <c r="BM107" t="b">
        <v>0</v>
      </c>
      <c r="BN107" t="b">
        <v>0</v>
      </c>
      <c r="BO107" t="b">
        <v>0</v>
      </c>
      <c r="BP107" t="b">
        <v>0</v>
      </c>
      <c r="BQ107" t="b">
        <v>1</v>
      </c>
      <c r="BR107" t="b">
        <v>1</v>
      </c>
      <c r="BS107" t="b">
        <v>1</v>
      </c>
      <c r="BT107" t="b">
        <v>1</v>
      </c>
      <c r="BU107" t="b">
        <v>1</v>
      </c>
      <c r="BV107" t="b">
        <v>1</v>
      </c>
      <c r="BW107" t="b">
        <v>1</v>
      </c>
      <c r="BX107" t="b">
        <v>1</v>
      </c>
      <c r="BY107" t="b">
        <v>0</v>
      </c>
      <c r="BZ107" t="b">
        <v>0</v>
      </c>
      <c r="CA107" t="b">
        <v>0</v>
      </c>
      <c r="CB107" t="b">
        <v>0</v>
      </c>
      <c r="CC107" t="s">
        <v>1512</v>
      </c>
      <c r="CD107" t="s">
        <v>1492</v>
      </c>
      <c r="CE107" t="s">
        <v>1513</v>
      </c>
      <c r="CF107" t="s">
        <v>1495</v>
      </c>
      <c r="CG107" t="b">
        <v>0</v>
      </c>
      <c r="CH107">
        <v>0</v>
      </c>
      <c r="CI107" t="s">
        <v>1596</v>
      </c>
      <c r="CJ107" t="s">
        <v>1709</v>
      </c>
      <c r="CK107" t="s">
        <v>1251</v>
      </c>
      <c r="CL107" t="s">
        <v>1711</v>
      </c>
    </row>
    <row r="108" spans="1:90">
      <c r="A108">
        <v>390</v>
      </c>
      <c r="B108">
        <v>568</v>
      </c>
      <c r="C108" t="s">
        <v>1250</v>
      </c>
      <c r="D108">
        <v>1</v>
      </c>
      <c r="E108" t="s">
        <v>1492</v>
      </c>
      <c r="F108">
        <v>22</v>
      </c>
      <c r="G108">
        <v>1</v>
      </c>
      <c r="H108">
        <v>2</v>
      </c>
      <c r="I108" t="s">
        <v>580</v>
      </c>
      <c r="J108" t="s">
        <v>1297</v>
      </c>
      <c r="K108" t="s">
        <v>16</v>
      </c>
      <c r="L108" t="s">
        <v>1522</v>
      </c>
      <c r="M108" t="s">
        <v>1492</v>
      </c>
      <c r="N108" t="s">
        <v>1492</v>
      </c>
      <c r="O108" t="s">
        <v>1302</v>
      </c>
      <c r="P108" t="s">
        <v>1379</v>
      </c>
      <c r="Q108" t="s">
        <v>1302</v>
      </c>
      <c r="R108" t="s">
        <v>1379</v>
      </c>
      <c r="S108" t="s">
        <v>1302</v>
      </c>
      <c r="T108" t="s">
        <v>1379</v>
      </c>
      <c r="U108" t="s">
        <v>1302</v>
      </c>
      <c r="V108" t="s">
        <v>1379</v>
      </c>
      <c r="W108" t="s">
        <v>1302</v>
      </c>
      <c r="X108" t="s">
        <v>1372</v>
      </c>
      <c r="Y108" t="s">
        <v>1257</v>
      </c>
      <c r="Z108" t="s">
        <v>1257</v>
      </c>
      <c r="AA108" t="s">
        <v>1257</v>
      </c>
      <c r="AB108" t="s">
        <v>1257</v>
      </c>
      <c r="AC108" t="b">
        <v>0</v>
      </c>
      <c r="AD108" t="b">
        <v>0</v>
      </c>
      <c r="AE108" t="b">
        <v>0</v>
      </c>
      <c r="AF108" t="b">
        <v>0</v>
      </c>
      <c r="AG108" t="b">
        <v>0</v>
      </c>
      <c r="AH108" t="b">
        <v>0</v>
      </c>
      <c r="AI108" t="b">
        <v>0</v>
      </c>
      <c r="AJ108" t="b">
        <v>0</v>
      </c>
      <c r="AK108" t="b">
        <v>0</v>
      </c>
      <c r="AL108" t="b">
        <v>0</v>
      </c>
      <c r="AM108" t="b">
        <v>0</v>
      </c>
      <c r="AN108" t="b">
        <v>0</v>
      </c>
      <c r="AO108" t="b">
        <v>0</v>
      </c>
      <c r="AP108" t="b">
        <v>0</v>
      </c>
      <c r="AQ108" t="b">
        <v>0</v>
      </c>
      <c r="AR108" t="b">
        <v>0</v>
      </c>
      <c r="AS108" t="b">
        <v>0</v>
      </c>
      <c r="AT108" t="b">
        <v>0</v>
      </c>
      <c r="AU108" t="b">
        <v>1</v>
      </c>
      <c r="AV108" t="b">
        <v>1</v>
      </c>
      <c r="AW108" t="b">
        <v>1</v>
      </c>
      <c r="AX108" t="b">
        <v>1</v>
      </c>
      <c r="AY108" t="b">
        <v>1</v>
      </c>
      <c r="AZ108" t="b">
        <v>1</v>
      </c>
      <c r="BA108" t="b">
        <v>1</v>
      </c>
      <c r="BB108" t="b">
        <v>1</v>
      </c>
      <c r="BC108" t="b">
        <v>0</v>
      </c>
      <c r="BD108" t="b">
        <v>0</v>
      </c>
      <c r="BE108" t="b">
        <v>0</v>
      </c>
      <c r="BF108" t="b">
        <v>0</v>
      </c>
      <c r="BG108" t="b">
        <v>0</v>
      </c>
      <c r="BH108" t="b">
        <v>0</v>
      </c>
      <c r="BI108" t="b">
        <v>0</v>
      </c>
      <c r="BJ108" t="b">
        <v>0</v>
      </c>
      <c r="BK108" t="b">
        <v>0</v>
      </c>
      <c r="BL108" t="b">
        <v>0</v>
      </c>
      <c r="BM108" t="b">
        <v>0</v>
      </c>
      <c r="BN108" t="b">
        <v>0</v>
      </c>
      <c r="BO108" t="b">
        <v>0</v>
      </c>
      <c r="BP108" t="b">
        <v>0</v>
      </c>
      <c r="BQ108" t="b">
        <v>0</v>
      </c>
      <c r="BR108" t="b">
        <v>0</v>
      </c>
      <c r="BS108" t="b">
        <v>0</v>
      </c>
      <c r="BT108" t="b">
        <v>0</v>
      </c>
      <c r="BU108" t="b">
        <v>0</v>
      </c>
      <c r="BV108" t="b">
        <v>0</v>
      </c>
      <c r="BW108" t="b">
        <v>0</v>
      </c>
      <c r="BX108" t="b">
        <v>0</v>
      </c>
      <c r="BY108" t="b">
        <v>0</v>
      </c>
      <c r="BZ108" t="b">
        <v>0</v>
      </c>
      <c r="CA108" t="b">
        <v>0</v>
      </c>
      <c r="CB108" t="b">
        <v>0</v>
      </c>
      <c r="CC108" t="s">
        <v>1512</v>
      </c>
      <c r="CD108" t="s">
        <v>1492</v>
      </c>
      <c r="CE108" t="s">
        <v>1513</v>
      </c>
      <c r="CF108" t="s">
        <v>1495</v>
      </c>
      <c r="CG108" t="b">
        <v>0</v>
      </c>
      <c r="CH108">
        <v>0</v>
      </c>
      <c r="CI108" t="s">
        <v>1662</v>
      </c>
      <c r="CJ108" t="s">
        <v>1712</v>
      </c>
      <c r="CK108" t="s">
        <v>1251</v>
      </c>
      <c r="CL108" t="s">
        <v>1713</v>
      </c>
    </row>
    <row r="109" spans="1:90">
      <c r="A109">
        <v>389</v>
      </c>
      <c r="B109">
        <v>568</v>
      </c>
      <c r="C109" t="s">
        <v>1250</v>
      </c>
      <c r="D109">
        <v>2</v>
      </c>
      <c r="E109" t="s">
        <v>1492</v>
      </c>
      <c r="F109">
        <v>22</v>
      </c>
      <c r="G109">
        <v>1</v>
      </c>
      <c r="H109">
        <v>2</v>
      </c>
      <c r="I109" t="s">
        <v>580</v>
      </c>
      <c r="J109" t="s">
        <v>1297</v>
      </c>
      <c r="K109" t="s">
        <v>16</v>
      </c>
      <c r="L109" t="s">
        <v>1522</v>
      </c>
      <c r="M109" t="s">
        <v>1492</v>
      </c>
      <c r="N109" t="s">
        <v>1492</v>
      </c>
      <c r="O109" t="s">
        <v>1302</v>
      </c>
      <c r="P109" t="s">
        <v>1379</v>
      </c>
      <c r="Q109" t="s">
        <v>1302</v>
      </c>
      <c r="R109" t="s">
        <v>1379</v>
      </c>
      <c r="S109" t="s">
        <v>1302</v>
      </c>
      <c r="T109" t="s">
        <v>1379</v>
      </c>
      <c r="U109" t="s">
        <v>1302</v>
      </c>
      <c r="V109" t="s">
        <v>1379</v>
      </c>
      <c r="W109" t="s">
        <v>1302</v>
      </c>
      <c r="X109" t="s">
        <v>1372</v>
      </c>
      <c r="Y109" t="s">
        <v>1257</v>
      </c>
      <c r="Z109" t="s">
        <v>1257</v>
      </c>
      <c r="AA109" t="s">
        <v>1257</v>
      </c>
      <c r="AB109" t="s">
        <v>1257</v>
      </c>
      <c r="AC109" t="b">
        <v>0</v>
      </c>
      <c r="AD109" t="b">
        <v>0</v>
      </c>
      <c r="AE109" t="b">
        <v>0</v>
      </c>
      <c r="AF109" t="b">
        <v>0</v>
      </c>
      <c r="AG109" t="b">
        <v>0</v>
      </c>
      <c r="AH109" t="b">
        <v>0</v>
      </c>
      <c r="AI109" t="b">
        <v>0</v>
      </c>
      <c r="AJ109" t="b">
        <v>0</v>
      </c>
      <c r="AK109" t="b">
        <v>0</v>
      </c>
      <c r="AL109" t="b">
        <v>0</v>
      </c>
      <c r="AM109" t="b">
        <v>0</v>
      </c>
      <c r="AN109" t="b">
        <v>0</v>
      </c>
      <c r="AO109" t="b">
        <v>0</v>
      </c>
      <c r="AP109" t="b">
        <v>0</v>
      </c>
      <c r="AQ109" t="b">
        <v>0</v>
      </c>
      <c r="AR109" t="b">
        <v>0</v>
      </c>
      <c r="AS109" t="b">
        <v>0</v>
      </c>
      <c r="AT109" t="b">
        <v>0</v>
      </c>
      <c r="AU109" t="b">
        <v>1</v>
      </c>
      <c r="AV109" t="b">
        <v>1</v>
      </c>
      <c r="AW109" t="b">
        <v>1</v>
      </c>
      <c r="AX109" t="b">
        <v>1</v>
      </c>
      <c r="AY109" t="b">
        <v>1</v>
      </c>
      <c r="AZ109" t="b">
        <v>1</v>
      </c>
      <c r="BA109" t="b">
        <v>1</v>
      </c>
      <c r="BB109" t="b">
        <v>1</v>
      </c>
      <c r="BC109" t="b">
        <v>0</v>
      </c>
      <c r="BD109" t="b">
        <v>0</v>
      </c>
      <c r="BE109" t="b">
        <v>0</v>
      </c>
      <c r="BF109" t="b">
        <v>0</v>
      </c>
      <c r="BG109" t="b">
        <v>0</v>
      </c>
      <c r="BH109" t="b">
        <v>0</v>
      </c>
      <c r="BI109" t="b">
        <v>0</v>
      </c>
      <c r="BJ109" t="b">
        <v>0</v>
      </c>
      <c r="BK109" t="b">
        <v>0</v>
      </c>
      <c r="BL109" t="b">
        <v>0</v>
      </c>
      <c r="BM109" t="b">
        <v>0</v>
      </c>
      <c r="BN109" t="b">
        <v>0</v>
      </c>
      <c r="BO109" t="b">
        <v>0</v>
      </c>
      <c r="BP109" t="b">
        <v>0</v>
      </c>
      <c r="BQ109" t="b">
        <v>0</v>
      </c>
      <c r="BR109" t="b">
        <v>0</v>
      </c>
      <c r="BS109" t="b">
        <v>0</v>
      </c>
      <c r="BT109" t="b">
        <v>0</v>
      </c>
      <c r="BU109" t="b">
        <v>0</v>
      </c>
      <c r="BV109" t="b">
        <v>0</v>
      </c>
      <c r="BW109" t="b">
        <v>0</v>
      </c>
      <c r="BX109" t="b">
        <v>0</v>
      </c>
      <c r="BY109" t="b">
        <v>0</v>
      </c>
      <c r="BZ109" t="b">
        <v>0</v>
      </c>
      <c r="CA109" t="b">
        <v>0</v>
      </c>
      <c r="CB109" t="b">
        <v>0</v>
      </c>
      <c r="CC109" t="s">
        <v>1512</v>
      </c>
      <c r="CD109" t="s">
        <v>1492</v>
      </c>
      <c r="CE109" t="s">
        <v>1513</v>
      </c>
      <c r="CF109" t="s">
        <v>1495</v>
      </c>
      <c r="CG109" t="b">
        <v>0</v>
      </c>
      <c r="CH109">
        <v>0</v>
      </c>
      <c r="CI109" t="s">
        <v>1662</v>
      </c>
      <c r="CJ109" t="s">
        <v>1712</v>
      </c>
      <c r="CK109" t="s">
        <v>1251</v>
      </c>
      <c r="CL109" t="s">
        <v>1714</v>
      </c>
    </row>
    <row r="110" spans="1:90">
      <c r="A110">
        <v>406</v>
      </c>
      <c r="B110">
        <v>620</v>
      </c>
      <c r="C110" t="s">
        <v>1250</v>
      </c>
      <c r="D110">
        <v>1</v>
      </c>
      <c r="E110" t="s">
        <v>1492</v>
      </c>
      <c r="F110">
        <v>25</v>
      </c>
      <c r="G110">
        <v>1</v>
      </c>
      <c r="H110">
        <v>2</v>
      </c>
      <c r="I110" t="s">
        <v>389</v>
      </c>
      <c r="J110" t="s">
        <v>1297</v>
      </c>
      <c r="K110" t="s">
        <v>15</v>
      </c>
      <c r="L110" t="s">
        <v>1511</v>
      </c>
      <c r="M110" t="s">
        <v>1492</v>
      </c>
      <c r="N110" t="s">
        <v>1492</v>
      </c>
      <c r="O110" t="s">
        <v>1285</v>
      </c>
      <c r="P110" t="s">
        <v>1379</v>
      </c>
      <c r="Q110" t="s">
        <v>1285</v>
      </c>
      <c r="R110" t="s">
        <v>1379</v>
      </c>
      <c r="S110" t="s">
        <v>1285</v>
      </c>
      <c r="T110" t="s">
        <v>1379</v>
      </c>
      <c r="U110" t="s">
        <v>1285</v>
      </c>
      <c r="V110" t="s">
        <v>1379</v>
      </c>
      <c r="W110" t="s">
        <v>1285</v>
      </c>
      <c r="X110" t="s">
        <v>1372</v>
      </c>
      <c r="Y110" t="s">
        <v>1257</v>
      </c>
      <c r="Z110" t="s">
        <v>1257</v>
      </c>
      <c r="AA110" t="s">
        <v>1257</v>
      </c>
      <c r="AB110" t="s">
        <v>1257</v>
      </c>
      <c r="AC110" t="b">
        <v>0</v>
      </c>
      <c r="AD110" t="b">
        <v>0</v>
      </c>
      <c r="AE110" t="b">
        <v>0</v>
      </c>
      <c r="AF110" t="b">
        <v>0</v>
      </c>
      <c r="AG110" t="b">
        <v>0</v>
      </c>
      <c r="AH110" t="b">
        <v>0</v>
      </c>
      <c r="AI110" t="b">
        <v>0</v>
      </c>
      <c r="AJ110" t="b">
        <v>0</v>
      </c>
      <c r="AK110" t="b">
        <v>0</v>
      </c>
      <c r="AL110" t="b">
        <v>0</v>
      </c>
      <c r="AM110" t="b">
        <v>0</v>
      </c>
      <c r="AN110" t="b">
        <v>0</v>
      </c>
      <c r="AO110" t="b">
        <v>0</v>
      </c>
      <c r="AP110" t="b">
        <v>0</v>
      </c>
      <c r="AQ110" t="b">
        <v>0</v>
      </c>
      <c r="AR110" t="b">
        <v>0</v>
      </c>
      <c r="AS110" t="b">
        <v>0</v>
      </c>
      <c r="AT110" t="b">
        <v>0</v>
      </c>
      <c r="AU110" t="b">
        <v>0</v>
      </c>
      <c r="AV110" t="b">
        <v>0</v>
      </c>
      <c r="AW110" t="b">
        <v>0</v>
      </c>
      <c r="AX110" t="b">
        <v>0</v>
      </c>
      <c r="AY110" t="b">
        <v>0</v>
      </c>
      <c r="AZ110" t="b">
        <v>0</v>
      </c>
      <c r="BA110" t="b">
        <v>0</v>
      </c>
      <c r="BB110" t="b">
        <v>0</v>
      </c>
      <c r="BC110" t="b">
        <v>0</v>
      </c>
      <c r="BD110" t="b">
        <v>0</v>
      </c>
      <c r="BE110" t="b">
        <v>0</v>
      </c>
      <c r="BF110" t="b">
        <v>1</v>
      </c>
      <c r="BG110" t="b">
        <v>1</v>
      </c>
      <c r="BH110" t="b">
        <v>1</v>
      </c>
      <c r="BI110" t="b">
        <v>1</v>
      </c>
      <c r="BJ110" t="b">
        <v>1</v>
      </c>
      <c r="BK110" t="b">
        <v>1</v>
      </c>
      <c r="BL110" t="b">
        <v>1</v>
      </c>
      <c r="BM110" t="b">
        <v>1</v>
      </c>
      <c r="BN110" t="b">
        <v>0</v>
      </c>
      <c r="BO110" t="b">
        <v>0</v>
      </c>
      <c r="BP110" t="b">
        <v>0</v>
      </c>
      <c r="BQ110" t="b">
        <v>0</v>
      </c>
      <c r="BR110" t="b">
        <v>0</v>
      </c>
      <c r="BS110" t="b">
        <v>0</v>
      </c>
      <c r="BT110" t="b">
        <v>0</v>
      </c>
      <c r="BU110" t="b">
        <v>0</v>
      </c>
      <c r="BV110" t="b">
        <v>0</v>
      </c>
      <c r="BW110" t="b">
        <v>0</v>
      </c>
      <c r="BX110" t="b">
        <v>0</v>
      </c>
      <c r="BY110" t="b">
        <v>0</v>
      </c>
      <c r="BZ110" t="b">
        <v>0</v>
      </c>
      <c r="CA110" t="b">
        <v>0</v>
      </c>
      <c r="CB110" t="b">
        <v>0</v>
      </c>
      <c r="CC110" t="s">
        <v>1512</v>
      </c>
      <c r="CD110" t="s">
        <v>1492</v>
      </c>
      <c r="CE110" t="s">
        <v>1518</v>
      </c>
      <c r="CF110" t="s">
        <v>1495</v>
      </c>
      <c r="CG110" t="b">
        <v>0</v>
      </c>
      <c r="CH110">
        <v>0</v>
      </c>
      <c r="CI110" t="s">
        <v>1662</v>
      </c>
      <c r="CJ110" t="s">
        <v>1715</v>
      </c>
      <c r="CK110" t="s">
        <v>1251</v>
      </c>
      <c r="CL110" t="s">
        <v>1716</v>
      </c>
    </row>
    <row r="111" spans="1:90">
      <c r="A111">
        <v>405</v>
      </c>
      <c r="B111">
        <v>620</v>
      </c>
      <c r="C111" t="s">
        <v>1250</v>
      </c>
      <c r="D111">
        <v>2</v>
      </c>
      <c r="E111" t="s">
        <v>1492</v>
      </c>
      <c r="F111">
        <v>25</v>
      </c>
      <c r="G111">
        <v>1</v>
      </c>
      <c r="H111">
        <v>2</v>
      </c>
      <c r="I111" t="s">
        <v>389</v>
      </c>
      <c r="J111" t="s">
        <v>1297</v>
      </c>
      <c r="K111" t="s">
        <v>15</v>
      </c>
      <c r="L111" t="s">
        <v>1511</v>
      </c>
      <c r="M111" t="s">
        <v>1492</v>
      </c>
      <c r="N111" t="s">
        <v>1492</v>
      </c>
      <c r="O111" t="s">
        <v>1285</v>
      </c>
      <c r="P111" t="s">
        <v>1379</v>
      </c>
      <c r="Q111" t="s">
        <v>1285</v>
      </c>
      <c r="R111" t="s">
        <v>1379</v>
      </c>
      <c r="S111" t="s">
        <v>1285</v>
      </c>
      <c r="T111" t="s">
        <v>1379</v>
      </c>
      <c r="U111" t="s">
        <v>1285</v>
      </c>
      <c r="V111" t="s">
        <v>1379</v>
      </c>
      <c r="W111" t="s">
        <v>1285</v>
      </c>
      <c r="X111" t="s">
        <v>1372</v>
      </c>
      <c r="Y111" t="s">
        <v>1257</v>
      </c>
      <c r="Z111" t="s">
        <v>1257</v>
      </c>
      <c r="AA111" t="s">
        <v>1257</v>
      </c>
      <c r="AB111" t="s">
        <v>1257</v>
      </c>
      <c r="AC111" t="b">
        <v>0</v>
      </c>
      <c r="AD111" t="b">
        <v>0</v>
      </c>
      <c r="AE111" t="b">
        <v>0</v>
      </c>
      <c r="AF111" t="b">
        <v>0</v>
      </c>
      <c r="AG111" t="b">
        <v>0</v>
      </c>
      <c r="AH111" t="b">
        <v>0</v>
      </c>
      <c r="AI111" t="b">
        <v>0</v>
      </c>
      <c r="AJ111" t="b">
        <v>0</v>
      </c>
      <c r="AK111" t="b">
        <v>0</v>
      </c>
      <c r="AL111" t="b">
        <v>0</v>
      </c>
      <c r="AM111" t="b">
        <v>0</v>
      </c>
      <c r="AN111" t="b">
        <v>0</v>
      </c>
      <c r="AO111" t="b">
        <v>0</v>
      </c>
      <c r="AP111" t="b">
        <v>0</v>
      </c>
      <c r="AQ111" t="b">
        <v>0</v>
      </c>
      <c r="AR111" t="b">
        <v>0</v>
      </c>
      <c r="AS111" t="b">
        <v>0</v>
      </c>
      <c r="AT111" t="b">
        <v>0</v>
      </c>
      <c r="AU111" t="b">
        <v>0</v>
      </c>
      <c r="AV111" t="b">
        <v>0</v>
      </c>
      <c r="AW111" t="b">
        <v>0</v>
      </c>
      <c r="AX111" t="b">
        <v>0</v>
      </c>
      <c r="AY111" t="b">
        <v>0</v>
      </c>
      <c r="AZ111" t="b">
        <v>0</v>
      </c>
      <c r="BA111" t="b">
        <v>0</v>
      </c>
      <c r="BB111" t="b">
        <v>0</v>
      </c>
      <c r="BC111" t="b">
        <v>0</v>
      </c>
      <c r="BD111" t="b">
        <v>0</v>
      </c>
      <c r="BE111" t="b">
        <v>0</v>
      </c>
      <c r="BF111" t="b">
        <v>1</v>
      </c>
      <c r="BG111" t="b">
        <v>1</v>
      </c>
      <c r="BH111" t="b">
        <v>1</v>
      </c>
      <c r="BI111" t="b">
        <v>1</v>
      </c>
      <c r="BJ111" t="b">
        <v>1</v>
      </c>
      <c r="BK111" t="b">
        <v>1</v>
      </c>
      <c r="BL111" t="b">
        <v>1</v>
      </c>
      <c r="BM111" t="b">
        <v>1</v>
      </c>
      <c r="BN111" t="b">
        <v>0</v>
      </c>
      <c r="BO111" t="b">
        <v>0</v>
      </c>
      <c r="BP111" t="b">
        <v>0</v>
      </c>
      <c r="BQ111" t="b">
        <v>0</v>
      </c>
      <c r="BR111" t="b">
        <v>0</v>
      </c>
      <c r="BS111" t="b">
        <v>0</v>
      </c>
      <c r="BT111" t="b">
        <v>0</v>
      </c>
      <c r="BU111" t="b">
        <v>0</v>
      </c>
      <c r="BV111" t="b">
        <v>0</v>
      </c>
      <c r="BW111" t="b">
        <v>0</v>
      </c>
      <c r="BX111" t="b">
        <v>0</v>
      </c>
      <c r="BY111" t="b">
        <v>0</v>
      </c>
      <c r="BZ111" t="b">
        <v>0</v>
      </c>
      <c r="CA111" t="b">
        <v>0</v>
      </c>
      <c r="CB111" t="b">
        <v>0</v>
      </c>
      <c r="CC111" t="s">
        <v>1512</v>
      </c>
      <c r="CD111" t="s">
        <v>1492</v>
      </c>
      <c r="CE111" t="s">
        <v>1518</v>
      </c>
      <c r="CF111" t="s">
        <v>1495</v>
      </c>
      <c r="CG111" t="b">
        <v>0</v>
      </c>
      <c r="CH111">
        <v>0</v>
      </c>
      <c r="CI111" t="s">
        <v>1662</v>
      </c>
      <c r="CJ111" t="s">
        <v>1715</v>
      </c>
      <c r="CK111" t="s">
        <v>1251</v>
      </c>
      <c r="CL111" t="s">
        <v>1717</v>
      </c>
    </row>
    <row r="112" spans="1:90">
      <c r="A112">
        <v>404</v>
      </c>
      <c r="B112">
        <v>619</v>
      </c>
      <c r="C112" t="s">
        <v>1250</v>
      </c>
      <c r="D112">
        <v>1</v>
      </c>
      <c r="E112" t="s">
        <v>1492</v>
      </c>
      <c r="F112">
        <v>22</v>
      </c>
      <c r="G112">
        <v>1</v>
      </c>
      <c r="H112">
        <v>2</v>
      </c>
      <c r="I112" t="s">
        <v>564</v>
      </c>
      <c r="J112" t="s">
        <v>1297</v>
      </c>
      <c r="K112" t="s">
        <v>16</v>
      </c>
      <c r="L112" t="s">
        <v>1522</v>
      </c>
      <c r="M112" t="s">
        <v>1492</v>
      </c>
      <c r="N112" t="s">
        <v>1492</v>
      </c>
      <c r="O112" t="s">
        <v>1302</v>
      </c>
      <c r="P112" t="s">
        <v>1379</v>
      </c>
      <c r="Q112" t="s">
        <v>1302</v>
      </c>
      <c r="R112" t="s">
        <v>1379</v>
      </c>
      <c r="S112" t="s">
        <v>1302</v>
      </c>
      <c r="T112" t="s">
        <v>1379</v>
      </c>
      <c r="U112" t="s">
        <v>1302</v>
      </c>
      <c r="V112" t="s">
        <v>1379</v>
      </c>
      <c r="W112" t="s">
        <v>1302</v>
      </c>
      <c r="X112" t="s">
        <v>1372</v>
      </c>
      <c r="Y112" t="s">
        <v>1257</v>
      </c>
      <c r="Z112" t="s">
        <v>1257</v>
      </c>
      <c r="AA112" t="s">
        <v>1257</v>
      </c>
      <c r="AB112" t="s">
        <v>1257</v>
      </c>
      <c r="AC112" t="b">
        <v>0</v>
      </c>
      <c r="AD112" t="b">
        <v>0</v>
      </c>
      <c r="AE112" t="b">
        <v>0</v>
      </c>
      <c r="AF112" t="b">
        <v>0</v>
      </c>
      <c r="AG112" t="b">
        <v>0</v>
      </c>
      <c r="AH112" t="b">
        <v>0</v>
      </c>
      <c r="AI112" t="b">
        <v>0</v>
      </c>
      <c r="AJ112" t="b">
        <v>1</v>
      </c>
      <c r="AK112" t="b">
        <v>1</v>
      </c>
      <c r="AL112" t="b">
        <v>1</v>
      </c>
      <c r="AM112" t="b">
        <v>1</v>
      </c>
      <c r="AN112" t="b">
        <v>1</v>
      </c>
      <c r="AO112" t="b">
        <v>1</v>
      </c>
      <c r="AP112" t="b">
        <v>1</v>
      </c>
      <c r="AQ112" t="b">
        <v>1</v>
      </c>
      <c r="AR112" t="b">
        <v>0</v>
      </c>
      <c r="AS112" t="b">
        <v>0</v>
      </c>
      <c r="AT112" t="b">
        <v>0</v>
      </c>
      <c r="AU112" t="b">
        <v>0</v>
      </c>
      <c r="AV112" t="b">
        <v>0</v>
      </c>
      <c r="AW112" t="b">
        <v>0</v>
      </c>
      <c r="AX112" t="b">
        <v>0</v>
      </c>
      <c r="AY112" t="b">
        <v>0</v>
      </c>
      <c r="AZ112" t="b">
        <v>0</v>
      </c>
      <c r="BA112" t="b">
        <v>0</v>
      </c>
      <c r="BB112" t="b">
        <v>0</v>
      </c>
      <c r="BC112" t="b">
        <v>0</v>
      </c>
      <c r="BD112" t="b">
        <v>0</v>
      </c>
      <c r="BE112" t="b">
        <v>0</v>
      </c>
      <c r="BF112" t="b">
        <v>0</v>
      </c>
      <c r="BG112" t="b">
        <v>0</v>
      </c>
      <c r="BH112" t="b">
        <v>0</v>
      </c>
      <c r="BI112" t="b">
        <v>0</v>
      </c>
      <c r="BJ112" t="b">
        <v>0</v>
      </c>
      <c r="BK112" t="b">
        <v>0</v>
      </c>
      <c r="BL112" t="b">
        <v>0</v>
      </c>
      <c r="BM112" t="b">
        <v>0</v>
      </c>
      <c r="BN112" t="b">
        <v>0</v>
      </c>
      <c r="BO112" t="b">
        <v>0</v>
      </c>
      <c r="BP112" t="b">
        <v>0</v>
      </c>
      <c r="BQ112" t="b">
        <v>0</v>
      </c>
      <c r="BR112" t="b">
        <v>0</v>
      </c>
      <c r="BS112" t="b">
        <v>0</v>
      </c>
      <c r="BT112" t="b">
        <v>0</v>
      </c>
      <c r="BU112" t="b">
        <v>0</v>
      </c>
      <c r="BV112" t="b">
        <v>0</v>
      </c>
      <c r="BW112" t="b">
        <v>0</v>
      </c>
      <c r="BX112" t="b">
        <v>0</v>
      </c>
      <c r="BY112" t="b">
        <v>0</v>
      </c>
      <c r="BZ112" t="b">
        <v>0</v>
      </c>
      <c r="CA112" t="b">
        <v>0</v>
      </c>
      <c r="CB112" t="b">
        <v>0</v>
      </c>
      <c r="CC112" t="s">
        <v>1512</v>
      </c>
      <c r="CD112" t="s">
        <v>1492</v>
      </c>
      <c r="CE112" t="s">
        <v>1513</v>
      </c>
      <c r="CF112" t="s">
        <v>1495</v>
      </c>
      <c r="CG112" t="b">
        <v>0</v>
      </c>
      <c r="CH112">
        <v>0</v>
      </c>
      <c r="CI112" t="s">
        <v>1662</v>
      </c>
      <c r="CJ112" t="s">
        <v>1718</v>
      </c>
      <c r="CK112" t="s">
        <v>1251</v>
      </c>
      <c r="CL112" t="s">
        <v>1719</v>
      </c>
    </row>
    <row r="113" spans="1:90">
      <c r="A113">
        <v>403</v>
      </c>
      <c r="B113">
        <v>619</v>
      </c>
      <c r="C113" t="s">
        <v>1250</v>
      </c>
      <c r="D113">
        <v>2</v>
      </c>
      <c r="E113" t="s">
        <v>1492</v>
      </c>
      <c r="F113">
        <v>22</v>
      </c>
      <c r="G113">
        <v>1</v>
      </c>
      <c r="H113">
        <v>2</v>
      </c>
      <c r="I113" t="s">
        <v>564</v>
      </c>
      <c r="J113" t="s">
        <v>1297</v>
      </c>
      <c r="K113" t="s">
        <v>16</v>
      </c>
      <c r="L113" t="s">
        <v>1522</v>
      </c>
      <c r="M113" t="s">
        <v>1492</v>
      </c>
      <c r="N113" t="s">
        <v>1492</v>
      </c>
      <c r="O113" t="s">
        <v>1302</v>
      </c>
      <c r="P113" t="s">
        <v>1379</v>
      </c>
      <c r="Q113" t="s">
        <v>1302</v>
      </c>
      <c r="R113" t="s">
        <v>1379</v>
      </c>
      <c r="S113" t="s">
        <v>1302</v>
      </c>
      <c r="T113" t="s">
        <v>1379</v>
      </c>
      <c r="U113" t="s">
        <v>1302</v>
      </c>
      <c r="V113" t="s">
        <v>1379</v>
      </c>
      <c r="W113" t="s">
        <v>1302</v>
      </c>
      <c r="X113" t="s">
        <v>1372</v>
      </c>
      <c r="Y113" t="s">
        <v>1257</v>
      </c>
      <c r="Z113" t="s">
        <v>1257</v>
      </c>
      <c r="AA113" t="s">
        <v>1257</v>
      </c>
      <c r="AB113" t="s">
        <v>1257</v>
      </c>
      <c r="AC113" t="b">
        <v>0</v>
      </c>
      <c r="AD113" t="b">
        <v>0</v>
      </c>
      <c r="AE113" t="b">
        <v>0</v>
      </c>
      <c r="AF113" t="b">
        <v>0</v>
      </c>
      <c r="AG113" t="b">
        <v>0</v>
      </c>
      <c r="AH113" t="b">
        <v>0</v>
      </c>
      <c r="AI113" t="b">
        <v>0</v>
      </c>
      <c r="AJ113" t="b">
        <v>1</v>
      </c>
      <c r="AK113" t="b">
        <v>1</v>
      </c>
      <c r="AL113" t="b">
        <v>1</v>
      </c>
      <c r="AM113" t="b">
        <v>1</v>
      </c>
      <c r="AN113" t="b">
        <v>1</v>
      </c>
      <c r="AO113" t="b">
        <v>1</v>
      </c>
      <c r="AP113" t="b">
        <v>1</v>
      </c>
      <c r="AQ113" t="b">
        <v>1</v>
      </c>
      <c r="AR113" t="b">
        <v>0</v>
      </c>
      <c r="AS113" t="b">
        <v>0</v>
      </c>
      <c r="AT113" t="b">
        <v>0</v>
      </c>
      <c r="AU113" t="b">
        <v>0</v>
      </c>
      <c r="AV113" t="b">
        <v>0</v>
      </c>
      <c r="AW113" t="b">
        <v>0</v>
      </c>
      <c r="AX113" t="b">
        <v>0</v>
      </c>
      <c r="AY113" t="b">
        <v>0</v>
      </c>
      <c r="AZ113" t="b">
        <v>0</v>
      </c>
      <c r="BA113" t="b">
        <v>0</v>
      </c>
      <c r="BB113" t="b">
        <v>0</v>
      </c>
      <c r="BC113" t="b">
        <v>0</v>
      </c>
      <c r="BD113" t="b">
        <v>0</v>
      </c>
      <c r="BE113" t="b">
        <v>0</v>
      </c>
      <c r="BF113" t="b">
        <v>0</v>
      </c>
      <c r="BG113" t="b">
        <v>0</v>
      </c>
      <c r="BH113" t="b">
        <v>0</v>
      </c>
      <c r="BI113" t="b">
        <v>0</v>
      </c>
      <c r="BJ113" t="b">
        <v>0</v>
      </c>
      <c r="BK113" t="b">
        <v>0</v>
      </c>
      <c r="BL113" t="b">
        <v>0</v>
      </c>
      <c r="BM113" t="b">
        <v>0</v>
      </c>
      <c r="BN113" t="b">
        <v>0</v>
      </c>
      <c r="BO113" t="b">
        <v>0</v>
      </c>
      <c r="BP113" t="b">
        <v>0</v>
      </c>
      <c r="BQ113" t="b">
        <v>0</v>
      </c>
      <c r="BR113" t="b">
        <v>0</v>
      </c>
      <c r="BS113" t="b">
        <v>0</v>
      </c>
      <c r="BT113" t="b">
        <v>0</v>
      </c>
      <c r="BU113" t="b">
        <v>0</v>
      </c>
      <c r="BV113" t="b">
        <v>0</v>
      </c>
      <c r="BW113" t="b">
        <v>0</v>
      </c>
      <c r="BX113" t="b">
        <v>0</v>
      </c>
      <c r="BY113" t="b">
        <v>0</v>
      </c>
      <c r="BZ113" t="b">
        <v>0</v>
      </c>
      <c r="CA113" t="b">
        <v>0</v>
      </c>
      <c r="CB113" t="b">
        <v>0</v>
      </c>
      <c r="CC113" t="s">
        <v>1512</v>
      </c>
      <c r="CD113" t="s">
        <v>1492</v>
      </c>
      <c r="CE113" t="s">
        <v>1513</v>
      </c>
      <c r="CF113" t="s">
        <v>1495</v>
      </c>
      <c r="CG113" t="b">
        <v>0</v>
      </c>
      <c r="CH113">
        <v>0</v>
      </c>
      <c r="CI113" t="s">
        <v>1662</v>
      </c>
      <c r="CJ113" t="s">
        <v>1718</v>
      </c>
      <c r="CK113" t="s">
        <v>1251</v>
      </c>
      <c r="CL113" t="s">
        <v>1720</v>
      </c>
    </row>
    <row r="114" spans="1:90">
      <c r="A114">
        <v>412</v>
      </c>
      <c r="B114">
        <v>623</v>
      </c>
      <c r="C114" t="s">
        <v>1250</v>
      </c>
      <c r="D114">
        <v>1</v>
      </c>
      <c r="E114" t="s">
        <v>1492</v>
      </c>
      <c r="F114">
        <v>25</v>
      </c>
      <c r="G114">
        <v>1</v>
      </c>
      <c r="H114">
        <v>2</v>
      </c>
      <c r="I114" t="s">
        <v>844</v>
      </c>
      <c r="J114" t="s">
        <v>1297</v>
      </c>
      <c r="K114" t="s">
        <v>15</v>
      </c>
      <c r="L114" t="s">
        <v>1511</v>
      </c>
      <c r="M114" t="s">
        <v>1492</v>
      </c>
      <c r="N114" t="s">
        <v>1492</v>
      </c>
      <c r="O114" t="s">
        <v>1285</v>
      </c>
      <c r="P114" t="s">
        <v>1379</v>
      </c>
      <c r="Q114" t="s">
        <v>1285</v>
      </c>
      <c r="R114" t="s">
        <v>1379</v>
      </c>
      <c r="S114" t="s">
        <v>1285</v>
      </c>
      <c r="T114" t="s">
        <v>1379</v>
      </c>
      <c r="U114" t="s">
        <v>1285</v>
      </c>
      <c r="V114" t="s">
        <v>1379</v>
      </c>
      <c r="W114" t="s">
        <v>1285</v>
      </c>
      <c r="X114" t="s">
        <v>1372</v>
      </c>
      <c r="Y114" t="s">
        <v>1257</v>
      </c>
      <c r="Z114" t="s">
        <v>1257</v>
      </c>
      <c r="AA114" t="s">
        <v>1257</v>
      </c>
      <c r="AB114" t="s">
        <v>1257</v>
      </c>
      <c r="AC114" t="b">
        <v>0</v>
      </c>
      <c r="AD114" t="b">
        <v>0</v>
      </c>
      <c r="AE114" t="b">
        <v>0</v>
      </c>
      <c r="AF114" t="b">
        <v>0</v>
      </c>
      <c r="AG114" t="b">
        <v>0</v>
      </c>
      <c r="AH114" t="b">
        <v>0</v>
      </c>
      <c r="AI114" t="b">
        <v>0</v>
      </c>
      <c r="AJ114" t="b">
        <v>0</v>
      </c>
      <c r="AK114" t="b">
        <v>0</v>
      </c>
      <c r="AL114" t="b">
        <v>0</v>
      </c>
      <c r="AM114" t="b">
        <v>0</v>
      </c>
      <c r="AN114" t="b">
        <v>0</v>
      </c>
      <c r="AO114" t="b">
        <v>0</v>
      </c>
      <c r="AP114" t="b">
        <v>0</v>
      </c>
      <c r="AQ114" t="b">
        <v>0</v>
      </c>
      <c r="AR114" t="b">
        <v>0</v>
      </c>
      <c r="AS114" t="b">
        <v>0</v>
      </c>
      <c r="AT114" t="b">
        <v>0</v>
      </c>
      <c r="AU114" t="b">
        <v>0</v>
      </c>
      <c r="AV114" t="b">
        <v>0</v>
      </c>
      <c r="AW114" t="b">
        <v>0</v>
      </c>
      <c r="AX114" t="b">
        <v>0</v>
      </c>
      <c r="AY114" t="b">
        <v>0</v>
      </c>
      <c r="AZ114" t="b">
        <v>0</v>
      </c>
      <c r="BA114" t="b">
        <v>0</v>
      </c>
      <c r="BB114" t="b">
        <v>0</v>
      </c>
      <c r="BC114" t="b">
        <v>0</v>
      </c>
      <c r="BD114" t="b">
        <v>0</v>
      </c>
      <c r="BE114" t="b">
        <v>0</v>
      </c>
      <c r="BF114" t="b">
        <v>0</v>
      </c>
      <c r="BG114" t="b">
        <v>0</v>
      </c>
      <c r="BH114" t="b">
        <v>0</v>
      </c>
      <c r="BI114" t="b">
        <v>0</v>
      </c>
      <c r="BJ114" t="b">
        <v>0</v>
      </c>
      <c r="BK114" t="b">
        <v>0</v>
      </c>
      <c r="BL114" t="b">
        <v>0</v>
      </c>
      <c r="BM114" t="b">
        <v>0</v>
      </c>
      <c r="BN114" t="b">
        <v>0</v>
      </c>
      <c r="BO114" t="b">
        <v>0</v>
      </c>
      <c r="BP114" t="b">
        <v>0</v>
      </c>
      <c r="BQ114" t="b">
        <v>0</v>
      </c>
      <c r="BR114" t="b">
        <v>0</v>
      </c>
      <c r="BS114" t="b">
        <v>0</v>
      </c>
      <c r="BT114" t="b">
        <v>0</v>
      </c>
      <c r="BU114" t="b">
        <v>0</v>
      </c>
      <c r="BV114" t="b">
        <v>0</v>
      </c>
      <c r="BW114" t="b">
        <v>0</v>
      </c>
      <c r="BX114" t="b">
        <v>0</v>
      </c>
      <c r="BY114" t="b">
        <v>0</v>
      </c>
      <c r="BZ114" t="b">
        <v>0</v>
      </c>
      <c r="CA114" t="b">
        <v>0</v>
      </c>
      <c r="CB114" t="b">
        <v>0</v>
      </c>
      <c r="CC114" t="s">
        <v>1253</v>
      </c>
      <c r="CD114" t="s">
        <v>1492</v>
      </c>
      <c r="CE114" t="s">
        <v>1518</v>
      </c>
      <c r="CF114" t="s">
        <v>1495</v>
      </c>
      <c r="CG114" t="b">
        <v>0</v>
      </c>
      <c r="CH114">
        <v>0</v>
      </c>
      <c r="CI114" t="s">
        <v>1596</v>
      </c>
      <c r="CJ114" t="s">
        <v>1721</v>
      </c>
      <c r="CK114" t="s">
        <v>1251</v>
      </c>
      <c r="CL114" t="s">
        <v>1722</v>
      </c>
    </row>
    <row r="115" spans="1:90">
      <c r="A115">
        <v>411</v>
      </c>
      <c r="B115">
        <v>623</v>
      </c>
      <c r="C115" t="s">
        <v>1250</v>
      </c>
      <c r="D115">
        <v>2</v>
      </c>
      <c r="E115" t="s">
        <v>1492</v>
      </c>
      <c r="F115">
        <v>25</v>
      </c>
      <c r="G115">
        <v>1</v>
      </c>
      <c r="H115">
        <v>2</v>
      </c>
      <c r="I115" t="s">
        <v>844</v>
      </c>
      <c r="J115" t="s">
        <v>1297</v>
      </c>
      <c r="K115" t="s">
        <v>15</v>
      </c>
      <c r="L115" t="s">
        <v>1511</v>
      </c>
      <c r="M115" t="s">
        <v>1492</v>
      </c>
      <c r="N115" t="s">
        <v>1492</v>
      </c>
      <c r="O115" t="s">
        <v>1285</v>
      </c>
      <c r="P115" t="s">
        <v>1379</v>
      </c>
      <c r="Q115" t="s">
        <v>1285</v>
      </c>
      <c r="R115" t="s">
        <v>1379</v>
      </c>
      <c r="S115" t="s">
        <v>1285</v>
      </c>
      <c r="T115" t="s">
        <v>1379</v>
      </c>
      <c r="U115" t="s">
        <v>1285</v>
      </c>
      <c r="V115" t="s">
        <v>1379</v>
      </c>
      <c r="W115" t="s">
        <v>1285</v>
      </c>
      <c r="X115" t="s">
        <v>1372</v>
      </c>
      <c r="Y115" t="s">
        <v>1257</v>
      </c>
      <c r="Z115" t="s">
        <v>1257</v>
      </c>
      <c r="AA115" t="s">
        <v>1257</v>
      </c>
      <c r="AB115" t="s">
        <v>1257</v>
      </c>
      <c r="AC115" t="b">
        <v>0</v>
      </c>
      <c r="AD115" t="b">
        <v>0</v>
      </c>
      <c r="AE115" t="b">
        <v>0</v>
      </c>
      <c r="AF115" t="b">
        <v>0</v>
      </c>
      <c r="AG115" t="b">
        <v>0</v>
      </c>
      <c r="AH115" t="b">
        <v>0</v>
      </c>
      <c r="AI115" t="b">
        <v>0</v>
      </c>
      <c r="AJ115" t="b">
        <v>0</v>
      </c>
      <c r="AK115" t="b">
        <v>0</v>
      </c>
      <c r="AL115" t="b">
        <v>0</v>
      </c>
      <c r="AM115" t="b">
        <v>0</v>
      </c>
      <c r="AN115" t="b">
        <v>0</v>
      </c>
      <c r="AO115" t="b">
        <v>0</v>
      </c>
      <c r="AP115" t="b">
        <v>0</v>
      </c>
      <c r="AQ115" t="b">
        <v>0</v>
      </c>
      <c r="AR115" t="b">
        <v>0</v>
      </c>
      <c r="AS115" t="b">
        <v>0</v>
      </c>
      <c r="AT115" t="b">
        <v>0</v>
      </c>
      <c r="AU115" t="b">
        <v>0</v>
      </c>
      <c r="AV115" t="b">
        <v>0</v>
      </c>
      <c r="AW115" t="b">
        <v>0</v>
      </c>
      <c r="AX115" t="b">
        <v>0</v>
      </c>
      <c r="AY115" t="b">
        <v>0</v>
      </c>
      <c r="AZ115" t="b">
        <v>0</v>
      </c>
      <c r="BA115" t="b">
        <v>0</v>
      </c>
      <c r="BB115" t="b">
        <v>0</v>
      </c>
      <c r="BC115" t="b">
        <v>0</v>
      </c>
      <c r="BD115" t="b">
        <v>0</v>
      </c>
      <c r="BE115" t="b">
        <v>0</v>
      </c>
      <c r="BF115" t="b">
        <v>0</v>
      </c>
      <c r="BG115" t="b">
        <v>0</v>
      </c>
      <c r="BH115" t="b">
        <v>0</v>
      </c>
      <c r="BI115" t="b">
        <v>0</v>
      </c>
      <c r="BJ115" t="b">
        <v>0</v>
      </c>
      <c r="BK115" t="b">
        <v>0</v>
      </c>
      <c r="BL115" t="b">
        <v>0</v>
      </c>
      <c r="BM115" t="b">
        <v>0</v>
      </c>
      <c r="BN115" t="b">
        <v>0</v>
      </c>
      <c r="BO115" t="b">
        <v>0</v>
      </c>
      <c r="BP115" t="b">
        <v>0</v>
      </c>
      <c r="BQ115" t="b">
        <v>0</v>
      </c>
      <c r="BR115" t="b">
        <v>0</v>
      </c>
      <c r="BS115" t="b">
        <v>0</v>
      </c>
      <c r="BT115" t="b">
        <v>0</v>
      </c>
      <c r="BU115" t="b">
        <v>0</v>
      </c>
      <c r="BV115" t="b">
        <v>0</v>
      </c>
      <c r="BW115" t="b">
        <v>0</v>
      </c>
      <c r="BX115" t="b">
        <v>0</v>
      </c>
      <c r="BY115" t="b">
        <v>0</v>
      </c>
      <c r="BZ115" t="b">
        <v>0</v>
      </c>
      <c r="CA115" t="b">
        <v>0</v>
      </c>
      <c r="CB115" t="b">
        <v>0</v>
      </c>
      <c r="CC115" t="s">
        <v>1253</v>
      </c>
      <c r="CD115" t="s">
        <v>1492</v>
      </c>
      <c r="CE115" t="s">
        <v>1518</v>
      </c>
      <c r="CF115" t="s">
        <v>1495</v>
      </c>
      <c r="CG115" t="b">
        <v>0</v>
      </c>
      <c r="CH115">
        <v>0</v>
      </c>
      <c r="CI115" t="s">
        <v>1662</v>
      </c>
      <c r="CJ115" t="s">
        <v>1721</v>
      </c>
      <c r="CK115" t="s">
        <v>1251</v>
      </c>
      <c r="CL115" t="s">
        <v>1723</v>
      </c>
    </row>
    <row r="116" spans="1:90">
      <c r="A116">
        <v>410</v>
      </c>
      <c r="B116">
        <v>622</v>
      </c>
      <c r="C116" t="s">
        <v>1250</v>
      </c>
      <c r="D116">
        <v>1</v>
      </c>
      <c r="E116" t="s">
        <v>1492</v>
      </c>
      <c r="F116">
        <v>22</v>
      </c>
      <c r="G116">
        <v>1</v>
      </c>
      <c r="H116">
        <v>2</v>
      </c>
      <c r="I116" t="s">
        <v>580</v>
      </c>
      <c r="J116" t="s">
        <v>1297</v>
      </c>
      <c r="K116" t="s">
        <v>16</v>
      </c>
      <c r="L116" t="s">
        <v>1522</v>
      </c>
      <c r="M116" t="s">
        <v>1492</v>
      </c>
      <c r="N116" t="s">
        <v>1492</v>
      </c>
      <c r="O116" t="s">
        <v>1302</v>
      </c>
      <c r="P116" t="s">
        <v>1379</v>
      </c>
      <c r="Q116" t="s">
        <v>1302</v>
      </c>
      <c r="R116" t="s">
        <v>1379</v>
      </c>
      <c r="S116" t="s">
        <v>1302</v>
      </c>
      <c r="T116" t="s">
        <v>1379</v>
      </c>
      <c r="U116" t="s">
        <v>1302</v>
      </c>
      <c r="V116" t="s">
        <v>1379</v>
      </c>
      <c r="W116" t="s">
        <v>1302</v>
      </c>
      <c r="X116" t="s">
        <v>1372</v>
      </c>
      <c r="Y116" t="s">
        <v>1257</v>
      </c>
      <c r="Z116" t="s">
        <v>1257</v>
      </c>
      <c r="AA116" t="s">
        <v>1257</v>
      </c>
      <c r="AB116" t="s">
        <v>1257</v>
      </c>
      <c r="AC116" t="b">
        <v>0</v>
      </c>
      <c r="AD116" t="b">
        <v>0</v>
      </c>
      <c r="AE116" t="b">
        <v>0</v>
      </c>
      <c r="AF116" t="b">
        <v>0</v>
      </c>
      <c r="AG116" t="b">
        <v>0</v>
      </c>
      <c r="AH116" t="b">
        <v>0</v>
      </c>
      <c r="AI116" t="b">
        <v>0</v>
      </c>
      <c r="AJ116" t="b">
        <v>0</v>
      </c>
      <c r="AK116" t="b">
        <v>0</v>
      </c>
      <c r="AL116" t="b">
        <v>0</v>
      </c>
      <c r="AM116" t="b">
        <v>0</v>
      </c>
      <c r="AN116" t="b">
        <v>0</v>
      </c>
      <c r="AO116" t="b">
        <v>0</v>
      </c>
      <c r="AP116" t="b">
        <v>0</v>
      </c>
      <c r="AQ116" t="b">
        <v>0</v>
      </c>
      <c r="AR116" t="b">
        <v>0</v>
      </c>
      <c r="AS116" t="b">
        <v>0</v>
      </c>
      <c r="AT116" t="b">
        <v>0</v>
      </c>
      <c r="AU116" t="b">
        <v>0</v>
      </c>
      <c r="AV116" t="b">
        <v>0</v>
      </c>
      <c r="AW116" t="b">
        <v>0</v>
      </c>
      <c r="AX116" t="b">
        <v>0</v>
      </c>
      <c r="AY116" t="b">
        <v>0</v>
      </c>
      <c r="AZ116" t="b">
        <v>0</v>
      </c>
      <c r="BA116" t="b">
        <v>0</v>
      </c>
      <c r="BB116" t="b">
        <v>0</v>
      </c>
      <c r="BC116" t="b">
        <v>0</v>
      </c>
      <c r="BD116" t="b">
        <v>0</v>
      </c>
      <c r="BE116" t="b">
        <v>0</v>
      </c>
      <c r="BF116" t="b">
        <v>1</v>
      </c>
      <c r="BG116" t="b">
        <v>1</v>
      </c>
      <c r="BH116" t="b">
        <v>1</v>
      </c>
      <c r="BI116" t="b">
        <v>1</v>
      </c>
      <c r="BJ116" t="b">
        <v>1</v>
      </c>
      <c r="BK116" t="b">
        <v>1</v>
      </c>
      <c r="BL116" t="b">
        <v>1</v>
      </c>
      <c r="BM116" t="b">
        <v>1</v>
      </c>
      <c r="BN116" t="b">
        <v>0</v>
      </c>
      <c r="BO116" t="b">
        <v>0</v>
      </c>
      <c r="BP116" t="b">
        <v>0</v>
      </c>
      <c r="BQ116" t="b">
        <v>0</v>
      </c>
      <c r="BR116" t="b">
        <v>0</v>
      </c>
      <c r="BS116" t="b">
        <v>0</v>
      </c>
      <c r="BT116" t="b">
        <v>0</v>
      </c>
      <c r="BU116" t="b">
        <v>0</v>
      </c>
      <c r="BV116" t="b">
        <v>0</v>
      </c>
      <c r="BW116" t="b">
        <v>0</v>
      </c>
      <c r="BX116" t="b">
        <v>0</v>
      </c>
      <c r="BY116" t="b">
        <v>0</v>
      </c>
      <c r="BZ116" t="b">
        <v>0</v>
      </c>
      <c r="CA116" t="b">
        <v>0</v>
      </c>
      <c r="CB116" t="b">
        <v>0</v>
      </c>
      <c r="CC116" t="s">
        <v>1512</v>
      </c>
      <c r="CD116" t="s">
        <v>1492</v>
      </c>
      <c r="CE116" t="s">
        <v>1518</v>
      </c>
      <c r="CF116" t="s">
        <v>1495</v>
      </c>
      <c r="CG116" t="b">
        <v>0</v>
      </c>
      <c r="CH116">
        <v>0</v>
      </c>
      <c r="CI116" t="s">
        <v>1662</v>
      </c>
      <c r="CJ116" t="s">
        <v>1724</v>
      </c>
      <c r="CK116" t="s">
        <v>1251</v>
      </c>
      <c r="CL116" t="s">
        <v>1725</v>
      </c>
    </row>
    <row r="117" spans="1:90">
      <c r="A117">
        <v>409</v>
      </c>
      <c r="B117">
        <v>622</v>
      </c>
      <c r="C117" t="s">
        <v>1250</v>
      </c>
      <c r="D117">
        <v>2</v>
      </c>
      <c r="E117" t="s">
        <v>1492</v>
      </c>
      <c r="F117">
        <v>22</v>
      </c>
      <c r="G117">
        <v>1</v>
      </c>
      <c r="H117">
        <v>2</v>
      </c>
      <c r="I117" t="s">
        <v>580</v>
      </c>
      <c r="J117" t="s">
        <v>1297</v>
      </c>
      <c r="K117" t="s">
        <v>16</v>
      </c>
      <c r="L117" t="s">
        <v>1522</v>
      </c>
      <c r="M117" t="s">
        <v>1492</v>
      </c>
      <c r="N117" t="s">
        <v>1492</v>
      </c>
      <c r="O117" t="s">
        <v>1302</v>
      </c>
      <c r="P117" t="s">
        <v>1379</v>
      </c>
      <c r="Q117" t="s">
        <v>1302</v>
      </c>
      <c r="R117" t="s">
        <v>1379</v>
      </c>
      <c r="S117" t="s">
        <v>1302</v>
      </c>
      <c r="T117" t="s">
        <v>1379</v>
      </c>
      <c r="U117" t="s">
        <v>1302</v>
      </c>
      <c r="V117" t="s">
        <v>1379</v>
      </c>
      <c r="W117" t="s">
        <v>1302</v>
      </c>
      <c r="X117" t="s">
        <v>1372</v>
      </c>
      <c r="Y117" t="s">
        <v>1257</v>
      </c>
      <c r="Z117" t="s">
        <v>1257</v>
      </c>
      <c r="AA117" t="s">
        <v>1257</v>
      </c>
      <c r="AB117" t="s">
        <v>1257</v>
      </c>
      <c r="AC117" t="b">
        <v>0</v>
      </c>
      <c r="AD117" t="b">
        <v>0</v>
      </c>
      <c r="AE117" t="b">
        <v>0</v>
      </c>
      <c r="AF117" t="b">
        <v>0</v>
      </c>
      <c r="AG117" t="b">
        <v>0</v>
      </c>
      <c r="AH117" t="b">
        <v>0</v>
      </c>
      <c r="AI117" t="b">
        <v>0</v>
      </c>
      <c r="AJ117" t="b">
        <v>0</v>
      </c>
      <c r="AK117" t="b">
        <v>0</v>
      </c>
      <c r="AL117" t="b">
        <v>0</v>
      </c>
      <c r="AM117" t="b">
        <v>0</v>
      </c>
      <c r="AN117" t="b">
        <v>0</v>
      </c>
      <c r="AO117" t="b">
        <v>0</v>
      </c>
      <c r="AP117" t="b">
        <v>0</v>
      </c>
      <c r="AQ117" t="b">
        <v>0</v>
      </c>
      <c r="AR117" t="b">
        <v>0</v>
      </c>
      <c r="AS117" t="b">
        <v>0</v>
      </c>
      <c r="AT117" t="b">
        <v>0</v>
      </c>
      <c r="AU117" t="b">
        <v>0</v>
      </c>
      <c r="AV117" t="b">
        <v>0</v>
      </c>
      <c r="AW117" t="b">
        <v>0</v>
      </c>
      <c r="AX117" t="b">
        <v>0</v>
      </c>
      <c r="AY117" t="b">
        <v>0</v>
      </c>
      <c r="AZ117" t="b">
        <v>0</v>
      </c>
      <c r="BA117" t="b">
        <v>0</v>
      </c>
      <c r="BB117" t="b">
        <v>0</v>
      </c>
      <c r="BC117" t="b">
        <v>0</v>
      </c>
      <c r="BD117" t="b">
        <v>0</v>
      </c>
      <c r="BE117" t="b">
        <v>0</v>
      </c>
      <c r="BF117" t="b">
        <v>1</v>
      </c>
      <c r="BG117" t="b">
        <v>1</v>
      </c>
      <c r="BH117" t="b">
        <v>1</v>
      </c>
      <c r="BI117" t="b">
        <v>1</v>
      </c>
      <c r="BJ117" t="b">
        <v>1</v>
      </c>
      <c r="BK117" t="b">
        <v>1</v>
      </c>
      <c r="BL117" t="b">
        <v>1</v>
      </c>
      <c r="BM117" t="b">
        <v>1</v>
      </c>
      <c r="BN117" t="b">
        <v>0</v>
      </c>
      <c r="BO117" t="b">
        <v>0</v>
      </c>
      <c r="BP117" t="b">
        <v>0</v>
      </c>
      <c r="BQ117" t="b">
        <v>0</v>
      </c>
      <c r="BR117" t="b">
        <v>0</v>
      </c>
      <c r="BS117" t="b">
        <v>0</v>
      </c>
      <c r="BT117" t="b">
        <v>0</v>
      </c>
      <c r="BU117" t="b">
        <v>0</v>
      </c>
      <c r="BV117" t="b">
        <v>0</v>
      </c>
      <c r="BW117" t="b">
        <v>0</v>
      </c>
      <c r="BX117" t="b">
        <v>0</v>
      </c>
      <c r="BY117" t="b">
        <v>0</v>
      </c>
      <c r="BZ117" t="b">
        <v>0</v>
      </c>
      <c r="CA117" t="b">
        <v>0</v>
      </c>
      <c r="CB117" t="b">
        <v>0</v>
      </c>
      <c r="CC117" t="s">
        <v>1512</v>
      </c>
      <c r="CD117" t="s">
        <v>1492</v>
      </c>
      <c r="CE117" t="s">
        <v>1518</v>
      </c>
      <c r="CF117" t="s">
        <v>1495</v>
      </c>
      <c r="CG117" t="b">
        <v>0</v>
      </c>
      <c r="CH117">
        <v>0</v>
      </c>
      <c r="CI117" t="s">
        <v>1662</v>
      </c>
      <c r="CJ117" t="s">
        <v>1724</v>
      </c>
      <c r="CK117" t="s">
        <v>1251</v>
      </c>
      <c r="CL117" t="s">
        <v>1726</v>
      </c>
    </row>
    <row r="118" spans="1:90">
      <c r="A118">
        <v>422</v>
      </c>
      <c r="B118">
        <v>631</v>
      </c>
      <c r="C118" t="s">
        <v>1250</v>
      </c>
      <c r="D118">
        <v>1</v>
      </c>
      <c r="E118" t="s">
        <v>1492</v>
      </c>
      <c r="F118">
        <v>30</v>
      </c>
      <c r="G118">
        <v>1</v>
      </c>
      <c r="H118">
        <v>2</v>
      </c>
      <c r="I118" t="s">
        <v>1003</v>
      </c>
      <c r="J118" t="s">
        <v>1297</v>
      </c>
      <c r="K118" t="s">
        <v>15</v>
      </c>
      <c r="L118" t="s">
        <v>1511</v>
      </c>
      <c r="M118" t="s">
        <v>1492</v>
      </c>
      <c r="N118" t="s">
        <v>1492</v>
      </c>
      <c r="O118" t="s">
        <v>1285</v>
      </c>
      <c r="P118" t="s">
        <v>1379</v>
      </c>
      <c r="Q118" t="s">
        <v>1285</v>
      </c>
      <c r="R118" t="s">
        <v>1379</v>
      </c>
      <c r="S118" t="s">
        <v>1285</v>
      </c>
      <c r="T118" t="s">
        <v>1379</v>
      </c>
      <c r="U118" t="s">
        <v>1285</v>
      </c>
      <c r="V118" t="s">
        <v>1379</v>
      </c>
      <c r="W118" t="s">
        <v>1285</v>
      </c>
      <c r="X118" t="s">
        <v>1372</v>
      </c>
      <c r="Y118" t="s">
        <v>1257</v>
      </c>
      <c r="Z118" t="s">
        <v>1257</v>
      </c>
      <c r="AA118" t="s">
        <v>1257</v>
      </c>
      <c r="AB118" t="s">
        <v>1257</v>
      </c>
      <c r="AC118" t="b">
        <v>0</v>
      </c>
      <c r="AD118" t="b">
        <v>0</v>
      </c>
      <c r="AE118" t="b">
        <v>0</v>
      </c>
      <c r="AF118" t="b">
        <v>0</v>
      </c>
      <c r="AG118" t="b">
        <v>0</v>
      </c>
      <c r="AH118" t="b">
        <v>0</v>
      </c>
      <c r="AI118" t="b">
        <v>0</v>
      </c>
      <c r="AJ118" t="b">
        <v>0</v>
      </c>
      <c r="AK118" t="b">
        <v>0</v>
      </c>
      <c r="AL118" t="b">
        <v>0</v>
      </c>
      <c r="AM118" t="b">
        <v>0</v>
      </c>
      <c r="AN118" t="b">
        <v>0</v>
      </c>
      <c r="AO118" t="b">
        <v>0</v>
      </c>
      <c r="AP118" t="b">
        <v>0</v>
      </c>
      <c r="AQ118" t="b">
        <v>0</v>
      </c>
      <c r="AR118" t="b">
        <v>0</v>
      </c>
      <c r="AS118" t="b">
        <v>0</v>
      </c>
      <c r="AT118" t="b">
        <v>0</v>
      </c>
      <c r="AU118" t="b">
        <v>0</v>
      </c>
      <c r="AV118" t="b">
        <v>0</v>
      </c>
      <c r="AW118" t="b">
        <v>0</v>
      </c>
      <c r="AX118" t="b">
        <v>0</v>
      </c>
      <c r="AY118" t="b">
        <v>0</v>
      </c>
      <c r="AZ118" t="b">
        <v>0</v>
      </c>
      <c r="BA118" t="b">
        <v>0</v>
      </c>
      <c r="BB118" t="b">
        <v>0</v>
      </c>
      <c r="BC118" t="b">
        <v>0</v>
      </c>
      <c r="BD118" t="b">
        <v>0</v>
      </c>
      <c r="BE118" t="b">
        <v>0</v>
      </c>
      <c r="BF118" t="b">
        <v>1</v>
      </c>
      <c r="BG118" t="b">
        <v>1</v>
      </c>
      <c r="BH118" t="b">
        <v>1</v>
      </c>
      <c r="BI118" t="b">
        <v>1</v>
      </c>
      <c r="BJ118" t="b">
        <v>1</v>
      </c>
      <c r="BK118" t="b">
        <v>1</v>
      </c>
      <c r="BL118" t="b">
        <v>1</v>
      </c>
      <c r="BM118" t="b">
        <v>1</v>
      </c>
      <c r="BN118" t="b">
        <v>0</v>
      </c>
      <c r="BO118" t="b">
        <v>0</v>
      </c>
      <c r="BP118" t="b">
        <v>0</v>
      </c>
      <c r="BQ118" t="b">
        <v>0</v>
      </c>
      <c r="BR118" t="b">
        <v>0</v>
      </c>
      <c r="BS118" t="b">
        <v>0</v>
      </c>
      <c r="BT118" t="b">
        <v>0</v>
      </c>
      <c r="BU118" t="b">
        <v>0</v>
      </c>
      <c r="BV118" t="b">
        <v>0</v>
      </c>
      <c r="BW118" t="b">
        <v>0</v>
      </c>
      <c r="BX118" t="b">
        <v>0</v>
      </c>
      <c r="BY118" t="b">
        <v>0</v>
      </c>
      <c r="BZ118" t="b">
        <v>0</v>
      </c>
      <c r="CA118" t="b">
        <v>0</v>
      </c>
      <c r="CB118" t="b">
        <v>0</v>
      </c>
      <c r="CC118" t="s">
        <v>1512</v>
      </c>
      <c r="CD118" t="s">
        <v>1492</v>
      </c>
      <c r="CE118" t="s">
        <v>1513</v>
      </c>
      <c r="CF118" t="s">
        <v>1495</v>
      </c>
      <c r="CG118" t="b">
        <v>0</v>
      </c>
      <c r="CH118">
        <v>0</v>
      </c>
      <c r="CI118" t="s">
        <v>1662</v>
      </c>
      <c r="CJ118" t="s">
        <v>1727</v>
      </c>
      <c r="CK118" t="s">
        <v>1251</v>
      </c>
      <c r="CL118" t="s">
        <v>1728</v>
      </c>
    </row>
    <row r="119" spans="1:90">
      <c r="A119">
        <v>421</v>
      </c>
      <c r="B119">
        <v>631</v>
      </c>
      <c r="C119" t="s">
        <v>1250</v>
      </c>
      <c r="D119">
        <v>2</v>
      </c>
      <c r="E119" t="s">
        <v>1492</v>
      </c>
      <c r="F119">
        <v>30</v>
      </c>
      <c r="G119">
        <v>1</v>
      </c>
      <c r="H119">
        <v>2</v>
      </c>
      <c r="I119" t="s">
        <v>1003</v>
      </c>
      <c r="J119" t="s">
        <v>1297</v>
      </c>
      <c r="K119" t="s">
        <v>15</v>
      </c>
      <c r="L119" t="s">
        <v>1511</v>
      </c>
      <c r="M119" t="s">
        <v>1492</v>
      </c>
      <c r="N119" t="s">
        <v>1492</v>
      </c>
      <c r="O119" t="s">
        <v>1285</v>
      </c>
      <c r="P119" t="s">
        <v>1379</v>
      </c>
      <c r="Q119" t="s">
        <v>1285</v>
      </c>
      <c r="R119" t="s">
        <v>1379</v>
      </c>
      <c r="S119" t="s">
        <v>1285</v>
      </c>
      <c r="T119" t="s">
        <v>1379</v>
      </c>
      <c r="U119" t="s">
        <v>1285</v>
      </c>
      <c r="V119" t="s">
        <v>1379</v>
      </c>
      <c r="W119" t="s">
        <v>1285</v>
      </c>
      <c r="X119" t="s">
        <v>1372</v>
      </c>
      <c r="Y119" t="s">
        <v>1257</v>
      </c>
      <c r="Z119" t="s">
        <v>1257</v>
      </c>
      <c r="AA119" t="s">
        <v>1257</v>
      </c>
      <c r="AB119" t="s">
        <v>1257</v>
      </c>
      <c r="AC119" t="b">
        <v>0</v>
      </c>
      <c r="AD119" t="b">
        <v>0</v>
      </c>
      <c r="AE119" t="b">
        <v>0</v>
      </c>
      <c r="AF119" t="b">
        <v>0</v>
      </c>
      <c r="AG119" t="b">
        <v>0</v>
      </c>
      <c r="AH119" t="b">
        <v>0</v>
      </c>
      <c r="AI119" t="b">
        <v>0</v>
      </c>
      <c r="AJ119" t="b">
        <v>0</v>
      </c>
      <c r="AK119" t="b">
        <v>0</v>
      </c>
      <c r="AL119" t="b">
        <v>0</v>
      </c>
      <c r="AM119" t="b">
        <v>0</v>
      </c>
      <c r="AN119" t="b">
        <v>0</v>
      </c>
      <c r="AO119" t="b">
        <v>0</v>
      </c>
      <c r="AP119" t="b">
        <v>0</v>
      </c>
      <c r="AQ119" t="b">
        <v>0</v>
      </c>
      <c r="AR119" t="b">
        <v>0</v>
      </c>
      <c r="AS119" t="b">
        <v>0</v>
      </c>
      <c r="AT119" t="b">
        <v>0</v>
      </c>
      <c r="AU119" t="b">
        <v>0</v>
      </c>
      <c r="AV119" t="b">
        <v>0</v>
      </c>
      <c r="AW119" t="b">
        <v>0</v>
      </c>
      <c r="AX119" t="b">
        <v>0</v>
      </c>
      <c r="AY119" t="b">
        <v>0</v>
      </c>
      <c r="AZ119" t="b">
        <v>0</v>
      </c>
      <c r="BA119" t="b">
        <v>0</v>
      </c>
      <c r="BB119" t="b">
        <v>0</v>
      </c>
      <c r="BC119" t="b">
        <v>0</v>
      </c>
      <c r="BD119" t="b">
        <v>0</v>
      </c>
      <c r="BE119" t="b">
        <v>0</v>
      </c>
      <c r="BF119" t="b">
        <v>1</v>
      </c>
      <c r="BG119" t="b">
        <v>1</v>
      </c>
      <c r="BH119" t="b">
        <v>1</v>
      </c>
      <c r="BI119" t="b">
        <v>1</v>
      </c>
      <c r="BJ119" t="b">
        <v>1</v>
      </c>
      <c r="BK119" t="b">
        <v>1</v>
      </c>
      <c r="BL119" t="b">
        <v>1</v>
      </c>
      <c r="BM119" t="b">
        <v>1</v>
      </c>
      <c r="BN119" t="b">
        <v>0</v>
      </c>
      <c r="BO119" t="b">
        <v>0</v>
      </c>
      <c r="BP119" t="b">
        <v>0</v>
      </c>
      <c r="BQ119" t="b">
        <v>0</v>
      </c>
      <c r="BR119" t="b">
        <v>0</v>
      </c>
      <c r="BS119" t="b">
        <v>0</v>
      </c>
      <c r="BT119" t="b">
        <v>0</v>
      </c>
      <c r="BU119" t="b">
        <v>0</v>
      </c>
      <c r="BV119" t="b">
        <v>0</v>
      </c>
      <c r="BW119" t="b">
        <v>0</v>
      </c>
      <c r="BX119" t="b">
        <v>0</v>
      </c>
      <c r="BY119" t="b">
        <v>0</v>
      </c>
      <c r="BZ119" t="b">
        <v>0</v>
      </c>
      <c r="CA119" t="b">
        <v>0</v>
      </c>
      <c r="CB119" t="b">
        <v>0</v>
      </c>
      <c r="CC119" t="s">
        <v>1512</v>
      </c>
      <c r="CD119" t="s">
        <v>1492</v>
      </c>
      <c r="CE119" t="s">
        <v>1513</v>
      </c>
      <c r="CF119" t="s">
        <v>1495</v>
      </c>
      <c r="CG119" t="b">
        <v>0</v>
      </c>
      <c r="CH119">
        <v>0</v>
      </c>
      <c r="CI119" t="s">
        <v>1662</v>
      </c>
      <c r="CJ119" t="s">
        <v>1727</v>
      </c>
      <c r="CK119" t="s">
        <v>1251</v>
      </c>
      <c r="CL119" t="s">
        <v>1729</v>
      </c>
    </row>
    <row r="120" spans="1:90">
      <c r="A120">
        <v>461</v>
      </c>
      <c r="B120">
        <v>99998</v>
      </c>
      <c r="C120" t="s">
        <v>1250</v>
      </c>
      <c r="D120">
        <v>2</v>
      </c>
      <c r="E120" t="s">
        <v>1492</v>
      </c>
      <c r="F120">
        <v>30</v>
      </c>
      <c r="G120">
        <v>1</v>
      </c>
      <c r="H120">
        <v>2</v>
      </c>
      <c r="I120" t="s">
        <v>1003</v>
      </c>
      <c r="J120" t="s">
        <v>1297</v>
      </c>
      <c r="K120" t="s">
        <v>15</v>
      </c>
      <c r="L120" t="s">
        <v>1511</v>
      </c>
      <c r="M120" t="s">
        <v>1492</v>
      </c>
      <c r="N120" t="s">
        <v>1492</v>
      </c>
      <c r="O120" t="s">
        <v>1302</v>
      </c>
      <c r="P120" t="s">
        <v>1379</v>
      </c>
      <c r="Q120" t="s">
        <v>1302</v>
      </c>
      <c r="R120" t="s">
        <v>1379</v>
      </c>
      <c r="S120" t="s">
        <v>1302</v>
      </c>
      <c r="T120" t="s">
        <v>1379</v>
      </c>
      <c r="U120" t="s">
        <v>1285</v>
      </c>
      <c r="V120" t="s">
        <v>1379</v>
      </c>
      <c r="W120" t="s">
        <v>1285</v>
      </c>
      <c r="X120" t="s">
        <v>1372</v>
      </c>
      <c r="Y120" t="s">
        <v>1257</v>
      </c>
      <c r="Z120" t="s">
        <v>1257</v>
      </c>
      <c r="AA120" t="s">
        <v>1257</v>
      </c>
      <c r="AB120" t="s">
        <v>1257</v>
      </c>
      <c r="AC120" t="b">
        <v>0</v>
      </c>
      <c r="AD120" t="b">
        <v>0</v>
      </c>
      <c r="AE120" t="b">
        <v>0</v>
      </c>
      <c r="AF120" t="b">
        <v>0</v>
      </c>
      <c r="AG120" t="b">
        <v>0</v>
      </c>
      <c r="AH120" t="b">
        <v>0</v>
      </c>
      <c r="AI120" t="b">
        <v>0</v>
      </c>
      <c r="AJ120" t="b">
        <v>0</v>
      </c>
      <c r="AK120" t="b">
        <v>0</v>
      </c>
      <c r="AL120" t="b">
        <v>0</v>
      </c>
      <c r="AM120" t="b">
        <v>0</v>
      </c>
      <c r="AN120" t="b">
        <v>0</v>
      </c>
      <c r="AO120" t="b">
        <v>0</v>
      </c>
      <c r="AP120" t="b">
        <v>0</v>
      </c>
      <c r="AQ120" t="b">
        <v>0</v>
      </c>
      <c r="AR120" t="b">
        <v>0</v>
      </c>
      <c r="AS120" t="b">
        <v>0</v>
      </c>
      <c r="AT120" t="b">
        <v>0</v>
      </c>
      <c r="AU120" t="b">
        <v>0</v>
      </c>
      <c r="AV120" t="b">
        <v>0</v>
      </c>
      <c r="AW120" t="b">
        <v>0</v>
      </c>
      <c r="AX120" t="b">
        <v>0</v>
      </c>
      <c r="AY120" t="b">
        <v>0</v>
      </c>
      <c r="AZ120" t="b">
        <v>0</v>
      </c>
      <c r="BA120" t="b">
        <v>0</v>
      </c>
      <c r="BB120" t="b">
        <v>0</v>
      </c>
      <c r="BC120" t="b">
        <v>0</v>
      </c>
      <c r="BD120" t="b">
        <v>0</v>
      </c>
      <c r="BE120" t="b">
        <v>0</v>
      </c>
      <c r="BF120" t="b">
        <v>0</v>
      </c>
      <c r="BG120" t="b">
        <v>0</v>
      </c>
      <c r="BH120" t="b">
        <v>0</v>
      </c>
      <c r="BI120" t="b">
        <v>0</v>
      </c>
      <c r="BJ120" t="b">
        <v>0</v>
      </c>
      <c r="BK120" t="b">
        <v>0</v>
      </c>
      <c r="BL120" t="b">
        <v>0</v>
      </c>
      <c r="BM120" t="b">
        <v>0</v>
      </c>
      <c r="BN120" t="b">
        <v>0</v>
      </c>
      <c r="BO120" t="b">
        <v>0</v>
      </c>
      <c r="BP120" t="b">
        <v>0</v>
      </c>
      <c r="BQ120" t="b">
        <v>0</v>
      </c>
      <c r="BR120" t="b">
        <v>0</v>
      </c>
      <c r="BS120" t="b">
        <v>0</v>
      </c>
      <c r="BT120" t="b">
        <v>0</v>
      </c>
      <c r="BU120" t="b">
        <v>0</v>
      </c>
      <c r="BV120" t="b">
        <v>0</v>
      </c>
      <c r="BW120" t="b">
        <v>0</v>
      </c>
      <c r="BX120" t="b">
        <v>0</v>
      </c>
      <c r="BY120" t="b">
        <v>0</v>
      </c>
      <c r="BZ120" t="b">
        <v>0</v>
      </c>
      <c r="CA120" t="b">
        <v>0</v>
      </c>
      <c r="CB120" t="b">
        <v>0</v>
      </c>
      <c r="CC120" t="s">
        <v>1253</v>
      </c>
      <c r="CD120" t="s">
        <v>1492</v>
      </c>
      <c r="CE120" t="s">
        <v>1518</v>
      </c>
      <c r="CF120" t="s">
        <v>1495</v>
      </c>
      <c r="CG120" t="b">
        <v>0</v>
      </c>
      <c r="CH120">
        <v>0</v>
      </c>
      <c r="CI120" t="s">
        <v>1662</v>
      </c>
      <c r="CJ120" t="s">
        <v>1730</v>
      </c>
      <c r="CK120" t="s">
        <v>1251</v>
      </c>
      <c r="CL120" t="s">
        <v>1731</v>
      </c>
    </row>
    <row r="121" spans="1:90">
      <c r="A121">
        <v>462</v>
      </c>
      <c r="B121">
        <v>99998</v>
      </c>
      <c r="C121" t="s">
        <v>1250</v>
      </c>
      <c r="D121">
        <v>2</v>
      </c>
      <c r="E121" t="s">
        <v>1492</v>
      </c>
      <c r="F121">
        <v>30</v>
      </c>
      <c r="G121">
        <v>1</v>
      </c>
      <c r="H121">
        <v>2</v>
      </c>
      <c r="I121" t="s">
        <v>1003</v>
      </c>
      <c r="J121" t="s">
        <v>1297</v>
      </c>
      <c r="K121" t="s">
        <v>15</v>
      </c>
      <c r="L121" t="s">
        <v>1511</v>
      </c>
      <c r="M121" t="s">
        <v>1492</v>
      </c>
      <c r="N121" t="s">
        <v>1492</v>
      </c>
      <c r="O121" t="s">
        <v>1285</v>
      </c>
      <c r="P121" t="s">
        <v>1379</v>
      </c>
      <c r="Q121" t="s">
        <v>1285</v>
      </c>
      <c r="R121" t="s">
        <v>1379</v>
      </c>
      <c r="S121" t="s">
        <v>1285</v>
      </c>
      <c r="T121" t="s">
        <v>1379</v>
      </c>
      <c r="U121" t="s">
        <v>1285</v>
      </c>
      <c r="V121" t="s">
        <v>1379</v>
      </c>
      <c r="W121" t="s">
        <v>1285</v>
      </c>
      <c r="X121" t="s">
        <v>1372</v>
      </c>
      <c r="Y121" t="s">
        <v>1257</v>
      </c>
      <c r="Z121" t="s">
        <v>1257</v>
      </c>
      <c r="AA121" t="s">
        <v>1257</v>
      </c>
      <c r="AB121" t="s">
        <v>1257</v>
      </c>
      <c r="AC121" t="b">
        <v>0</v>
      </c>
      <c r="AD121" t="b">
        <v>0</v>
      </c>
      <c r="AE121" t="b">
        <v>0</v>
      </c>
      <c r="AF121" t="b">
        <v>0</v>
      </c>
      <c r="AG121" t="b">
        <v>0</v>
      </c>
      <c r="AH121" t="b">
        <v>0</v>
      </c>
      <c r="AI121" t="b">
        <v>0</v>
      </c>
      <c r="AJ121" t="b">
        <v>0</v>
      </c>
      <c r="AK121" t="b">
        <v>0</v>
      </c>
      <c r="AL121" t="b">
        <v>0</v>
      </c>
      <c r="AM121" t="b">
        <v>0</v>
      </c>
      <c r="AN121" t="b">
        <v>0</v>
      </c>
      <c r="AO121" t="b">
        <v>0</v>
      </c>
      <c r="AP121" t="b">
        <v>0</v>
      </c>
      <c r="AQ121" t="b">
        <v>0</v>
      </c>
      <c r="AR121" t="b">
        <v>0</v>
      </c>
      <c r="AS121" t="b">
        <v>0</v>
      </c>
      <c r="AT121" t="b">
        <v>0</v>
      </c>
      <c r="AU121" t="b">
        <v>0</v>
      </c>
      <c r="AV121" t="b">
        <v>0</v>
      </c>
      <c r="AW121" t="b">
        <v>0</v>
      </c>
      <c r="AX121" t="b">
        <v>0</v>
      </c>
      <c r="AY121" t="b">
        <v>0</v>
      </c>
      <c r="AZ121" t="b">
        <v>0</v>
      </c>
      <c r="BA121" t="b">
        <v>0</v>
      </c>
      <c r="BB121" t="b">
        <v>0</v>
      </c>
      <c r="BC121" t="b">
        <v>0</v>
      </c>
      <c r="BD121" t="b">
        <v>0</v>
      </c>
      <c r="BE121" t="b">
        <v>0</v>
      </c>
      <c r="BF121" t="b">
        <v>0</v>
      </c>
      <c r="BG121" t="b">
        <v>0</v>
      </c>
      <c r="BH121" t="b">
        <v>0</v>
      </c>
      <c r="BI121" t="b">
        <v>0</v>
      </c>
      <c r="BJ121" t="b">
        <v>0</v>
      </c>
      <c r="BK121" t="b">
        <v>0</v>
      </c>
      <c r="BL121" t="b">
        <v>0</v>
      </c>
      <c r="BM121" t="b">
        <v>0</v>
      </c>
      <c r="BN121" t="b">
        <v>0</v>
      </c>
      <c r="BO121" t="b">
        <v>0</v>
      </c>
      <c r="BP121" t="b">
        <v>0</v>
      </c>
      <c r="BQ121" t="b">
        <v>0</v>
      </c>
      <c r="BR121" t="b">
        <v>0</v>
      </c>
      <c r="BS121" t="b">
        <v>0</v>
      </c>
      <c r="BT121" t="b">
        <v>0</v>
      </c>
      <c r="BU121" t="b">
        <v>0</v>
      </c>
      <c r="BV121" t="b">
        <v>0</v>
      </c>
      <c r="BW121" t="b">
        <v>0</v>
      </c>
      <c r="BX121" t="b">
        <v>0</v>
      </c>
      <c r="BY121" t="b">
        <v>0</v>
      </c>
      <c r="BZ121" t="b">
        <v>0</v>
      </c>
      <c r="CA121" t="b">
        <v>0</v>
      </c>
      <c r="CB121" t="b">
        <v>0</v>
      </c>
      <c r="CC121" t="s">
        <v>1253</v>
      </c>
      <c r="CD121" t="s">
        <v>1492</v>
      </c>
      <c r="CE121" t="s">
        <v>1518</v>
      </c>
      <c r="CF121" t="s">
        <v>1495</v>
      </c>
      <c r="CG121" t="b">
        <v>0</v>
      </c>
      <c r="CH121">
        <v>0</v>
      </c>
      <c r="CI121" t="s">
        <v>1662</v>
      </c>
      <c r="CJ121" t="s">
        <v>1730</v>
      </c>
      <c r="CK121" t="s">
        <v>1251</v>
      </c>
      <c r="CL121" t="s">
        <v>1731</v>
      </c>
    </row>
    <row r="122" spans="1:90">
      <c r="A122">
        <v>424</v>
      </c>
      <c r="B122">
        <v>632</v>
      </c>
      <c r="C122" t="s">
        <v>1250</v>
      </c>
      <c r="D122">
        <v>1</v>
      </c>
      <c r="E122" t="s">
        <v>1492</v>
      </c>
      <c r="F122">
        <v>10</v>
      </c>
      <c r="G122">
        <v>1</v>
      </c>
      <c r="H122">
        <v>2</v>
      </c>
      <c r="I122" t="s">
        <v>580</v>
      </c>
      <c r="J122" t="s">
        <v>1297</v>
      </c>
      <c r="K122" t="s">
        <v>16</v>
      </c>
      <c r="L122" t="s">
        <v>1522</v>
      </c>
      <c r="M122" t="s">
        <v>1492</v>
      </c>
      <c r="N122" t="s">
        <v>1492</v>
      </c>
      <c r="O122" t="s">
        <v>1302</v>
      </c>
      <c r="P122" t="s">
        <v>1379</v>
      </c>
      <c r="Q122" t="s">
        <v>1302</v>
      </c>
      <c r="R122" t="s">
        <v>1379</v>
      </c>
      <c r="S122" t="s">
        <v>1302</v>
      </c>
      <c r="T122" t="s">
        <v>1379</v>
      </c>
      <c r="U122" t="s">
        <v>1302</v>
      </c>
      <c r="V122" t="s">
        <v>1379</v>
      </c>
      <c r="W122" t="s">
        <v>1302</v>
      </c>
      <c r="X122" t="s">
        <v>1372</v>
      </c>
      <c r="Y122" t="s">
        <v>1257</v>
      </c>
      <c r="Z122" t="s">
        <v>1257</v>
      </c>
      <c r="AA122" t="s">
        <v>1257</v>
      </c>
      <c r="AB122" t="s">
        <v>1257</v>
      </c>
      <c r="AC122" t="b">
        <v>0</v>
      </c>
      <c r="AD122" t="b">
        <v>0</v>
      </c>
      <c r="AE122" t="b">
        <v>0</v>
      </c>
      <c r="AF122" t="b">
        <v>0</v>
      </c>
      <c r="AG122" t="b">
        <v>0</v>
      </c>
      <c r="AH122" t="b">
        <v>0</v>
      </c>
      <c r="AI122" t="b">
        <v>0</v>
      </c>
      <c r="AJ122" t="b">
        <v>0</v>
      </c>
      <c r="AK122" t="b">
        <v>0</v>
      </c>
      <c r="AL122" t="b">
        <v>0</v>
      </c>
      <c r="AM122" t="b">
        <v>0</v>
      </c>
      <c r="AN122" t="b">
        <v>0</v>
      </c>
      <c r="AO122" t="b">
        <v>0</v>
      </c>
      <c r="AP122" t="b">
        <v>0</v>
      </c>
      <c r="AQ122" t="b">
        <v>0</v>
      </c>
      <c r="AR122" t="b">
        <v>0</v>
      </c>
      <c r="AS122" t="b">
        <v>0</v>
      </c>
      <c r="AT122" t="b">
        <v>0</v>
      </c>
      <c r="AU122" t="b">
        <v>0</v>
      </c>
      <c r="AV122" t="b">
        <v>0</v>
      </c>
      <c r="AW122" t="b">
        <v>0</v>
      </c>
      <c r="AX122" t="b">
        <v>0</v>
      </c>
      <c r="AY122" t="b">
        <v>0</v>
      </c>
      <c r="AZ122" t="b">
        <v>0</v>
      </c>
      <c r="BA122" t="b">
        <v>0</v>
      </c>
      <c r="BB122" t="b">
        <v>0</v>
      </c>
      <c r="BC122" t="b">
        <v>0</v>
      </c>
      <c r="BD122" t="b">
        <v>0</v>
      </c>
      <c r="BE122" t="b">
        <v>0</v>
      </c>
      <c r="BF122" t="b">
        <v>1</v>
      </c>
      <c r="BG122" t="b">
        <v>1</v>
      </c>
      <c r="BH122" t="b">
        <v>1</v>
      </c>
      <c r="BI122" t="b">
        <v>1</v>
      </c>
      <c r="BJ122" t="b">
        <v>1</v>
      </c>
      <c r="BK122" t="b">
        <v>1</v>
      </c>
      <c r="BL122" t="b">
        <v>1</v>
      </c>
      <c r="BM122" t="b">
        <v>1</v>
      </c>
      <c r="BN122" t="b">
        <v>0</v>
      </c>
      <c r="BO122" t="b">
        <v>0</v>
      </c>
      <c r="BP122" t="b">
        <v>0</v>
      </c>
      <c r="BQ122" t="b">
        <v>0</v>
      </c>
      <c r="BR122" t="b">
        <v>0</v>
      </c>
      <c r="BS122" t="b">
        <v>0</v>
      </c>
      <c r="BT122" t="b">
        <v>0</v>
      </c>
      <c r="BU122" t="b">
        <v>0</v>
      </c>
      <c r="BV122" t="b">
        <v>0</v>
      </c>
      <c r="BW122" t="b">
        <v>0</v>
      </c>
      <c r="BX122" t="b">
        <v>0</v>
      </c>
      <c r="BY122" t="b">
        <v>0</v>
      </c>
      <c r="BZ122" t="b">
        <v>0</v>
      </c>
      <c r="CA122" t="b">
        <v>0</v>
      </c>
      <c r="CB122" t="b">
        <v>0</v>
      </c>
      <c r="CC122" t="s">
        <v>1512</v>
      </c>
      <c r="CD122" t="s">
        <v>1492</v>
      </c>
      <c r="CE122" t="s">
        <v>1518</v>
      </c>
      <c r="CF122" t="s">
        <v>1495</v>
      </c>
      <c r="CG122" t="b">
        <v>0</v>
      </c>
      <c r="CH122">
        <v>0</v>
      </c>
      <c r="CI122" t="s">
        <v>1662</v>
      </c>
      <c r="CJ122" t="s">
        <v>1732</v>
      </c>
      <c r="CK122" t="s">
        <v>1251</v>
      </c>
      <c r="CL122" t="s">
        <v>1733</v>
      </c>
    </row>
    <row r="123" spans="1:90">
      <c r="A123">
        <v>423</v>
      </c>
      <c r="B123">
        <v>632</v>
      </c>
      <c r="C123" t="s">
        <v>1250</v>
      </c>
      <c r="D123">
        <v>2</v>
      </c>
      <c r="E123" t="s">
        <v>1492</v>
      </c>
      <c r="F123">
        <v>10</v>
      </c>
      <c r="G123">
        <v>1</v>
      </c>
      <c r="H123">
        <v>2</v>
      </c>
      <c r="I123" t="s">
        <v>580</v>
      </c>
      <c r="J123" t="s">
        <v>1297</v>
      </c>
      <c r="K123" t="s">
        <v>16</v>
      </c>
      <c r="L123" t="s">
        <v>1522</v>
      </c>
      <c r="M123" t="s">
        <v>1492</v>
      </c>
      <c r="N123" t="s">
        <v>1492</v>
      </c>
      <c r="O123" t="s">
        <v>1302</v>
      </c>
      <c r="P123" t="s">
        <v>1379</v>
      </c>
      <c r="Q123" t="s">
        <v>1302</v>
      </c>
      <c r="R123" t="s">
        <v>1379</v>
      </c>
      <c r="S123" t="s">
        <v>1302</v>
      </c>
      <c r="T123" t="s">
        <v>1379</v>
      </c>
      <c r="U123" t="s">
        <v>1302</v>
      </c>
      <c r="V123" t="s">
        <v>1379</v>
      </c>
      <c r="W123" t="s">
        <v>1302</v>
      </c>
      <c r="X123" t="s">
        <v>1372</v>
      </c>
      <c r="Y123" t="s">
        <v>1257</v>
      </c>
      <c r="Z123" t="s">
        <v>1257</v>
      </c>
      <c r="AA123" t="s">
        <v>1257</v>
      </c>
      <c r="AB123" t="s">
        <v>1257</v>
      </c>
      <c r="AC123" t="b">
        <v>0</v>
      </c>
      <c r="AD123" t="b">
        <v>0</v>
      </c>
      <c r="AE123" t="b">
        <v>0</v>
      </c>
      <c r="AF123" t="b">
        <v>0</v>
      </c>
      <c r="AG123" t="b">
        <v>0</v>
      </c>
      <c r="AH123" t="b">
        <v>0</v>
      </c>
      <c r="AI123" t="b">
        <v>0</v>
      </c>
      <c r="AJ123" t="b">
        <v>0</v>
      </c>
      <c r="AK123" t="b">
        <v>0</v>
      </c>
      <c r="AL123" t="b">
        <v>0</v>
      </c>
      <c r="AM123" t="b">
        <v>0</v>
      </c>
      <c r="AN123" t="b">
        <v>0</v>
      </c>
      <c r="AO123" t="b">
        <v>0</v>
      </c>
      <c r="AP123" t="b">
        <v>0</v>
      </c>
      <c r="AQ123" t="b">
        <v>0</v>
      </c>
      <c r="AR123" t="b">
        <v>0</v>
      </c>
      <c r="AS123" t="b">
        <v>0</v>
      </c>
      <c r="AT123" t="b">
        <v>0</v>
      </c>
      <c r="AU123" t="b">
        <v>0</v>
      </c>
      <c r="AV123" t="b">
        <v>0</v>
      </c>
      <c r="AW123" t="b">
        <v>0</v>
      </c>
      <c r="AX123" t="b">
        <v>0</v>
      </c>
      <c r="AY123" t="b">
        <v>0</v>
      </c>
      <c r="AZ123" t="b">
        <v>0</v>
      </c>
      <c r="BA123" t="b">
        <v>0</v>
      </c>
      <c r="BB123" t="b">
        <v>0</v>
      </c>
      <c r="BC123" t="b">
        <v>0</v>
      </c>
      <c r="BD123" t="b">
        <v>0</v>
      </c>
      <c r="BE123" t="b">
        <v>0</v>
      </c>
      <c r="BF123" t="b">
        <v>1</v>
      </c>
      <c r="BG123" t="b">
        <v>1</v>
      </c>
      <c r="BH123" t="b">
        <v>1</v>
      </c>
      <c r="BI123" t="b">
        <v>1</v>
      </c>
      <c r="BJ123" t="b">
        <v>1</v>
      </c>
      <c r="BK123" t="b">
        <v>1</v>
      </c>
      <c r="BL123" t="b">
        <v>1</v>
      </c>
      <c r="BM123" t="b">
        <v>1</v>
      </c>
      <c r="BN123" t="b">
        <v>0</v>
      </c>
      <c r="BO123" t="b">
        <v>0</v>
      </c>
      <c r="BP123" t="b">
        <v>0</v>
      </c>
      <c r="BQ123" t="b">
        <v>0</v>
      </c>
      <c r="BR123" t="b">
        <v>0</v>
      </c>
      <c r="BS123" t="b">
        <v>0</v>
      </c>
      <c r="BT123" t="b">
        <v>0</v>
      </c>
      <c r="BU123" t="b">
        <v>0</v>
      </c>
      <c r="BV123" t="b">
        <v>0</v>
      </c>
      <c r="BW123" t="b">
        <v>0</v>
      </c>
      <c r="BX123" t="b">
        <v>0</v>
      </c>
      <c r="BY123" t="b">
        <v>0</v>
      </c>
      <c r="BZ123" t="b">
        <v>0</v>
      </c>
      <c r="CA123" t="b">
        <v>0</v>
      </c>
      <c r="CB123" t="b">
        <v>0</v>
      </c>
      <c r="CC123" t="s">
        <v>1512</v>
      </c>
      <c r="CD123" t="s">
        <v>1492</v>
      </c>
      <c r="CE123" t="s">
        <v>1518</v>
      </c>
      <c r="CF123" t="s">
        <v>1495</v>
      </c>
      <c r="CG123" t="b">
        <v>0</v>
      </c>
      <c r="CH123">
        <v>0</v>
      </c>
      <c r="CI123" t="s">
        <v>1662</v>
      </c>
      <c r="CJ123" t="s">
        <v>1732</v>
      </c>
      <c r="CK123" t="s">
        <v>1251</v>
      </c>
      <c r="CL123" t="s">
        <v>1734</v>
      </c>
    </row>
    <row r="124" spans="1:90">
      <c r="A124">
        <v>414</v>
      </c>
      <c r="B124">
        <v>625</v>
      </c>
      <c r="C124" t="s">
        <v>1250</v>
      </c>
      <c r="D124">
        <v>1</v>
      </c>
      <c r="E124" t="s">
        <v>1492</v>
      </c>
      <c r="F124">
        <v>30</v>
      </c>
      <c r="G124">
        <v>1</v>
      </c>
      <c r="H124">
        <v>2</v>
      </c>
      <c r="I124" t="s">
        <v>975</v>
      </c>
      <c r="J124" t="s">
        <v>1297</v>
      </c>
      <c r="K124" t="s">
        <v>15</v>
      </c>
      <c r="L124" t="s">
        <v>1511</v>
      </c>
      <c r="M124" t="s">
        <v>1492</v>
      </c>
      <c r="N124" t="s">
        <v>1492</v>
      </c>
      <c r="O124" t="s">
        <v>1285</v>
      </c>
      <c r="P124" t="s">
        <v>1379</v>
      </c>
      <c r="Q124" t="s">
        <v>1285</v>
      </c>
      <c r="R124" t="s">
        <v>1379</v>
      </c>
      <c r="S124" t="s">
        <v>1285</v>
      </c>
      <c r="T124" t="s">
        <v>1379</v>
      </c>
      <c r="U124" t="s">
        <v>1285</v>
      </c>
      <c r="V124" t="s">
        <v>1379</v>
      </c>
      <c r="W124" t="s">
        <v>1285</v>
      </c>
      <c r="X124" t="s">
        <v>1372</v>
      </c>
      <c r="Y124" t="s">
        <v>1257</v>
      </c>
      <c r="Z124" t="s">
        <v>1257</v>
      </c>
      <c r="AA124" t="s">
        <v>1257</v>
      </c>
      <c r="AB124" t="s">
        <v>1257</v>
      </c>
      <c r="AC124" t="b">
        <v>0</v>
      </c>
      <c r="AD124" t="b">
        <v>0</v>
      </c>
      <c r="AE124" t="b">
        <v>0</v>
      </c>
      <c r="AF124" t="b">
        <v>0</v>
      </c>
      <c r="AG124" t="b">
        <v>0</v>
      </c>
      <c r="AH124" t="b">
        <v>0</v>
      </c>
      <c r="AI124" t="b">
        <v>0</v>
      </c>
      <c r="AJ124" t="b">
        <v>1</v>
      </c>
      <c r="AK124" t="b">
        <v>1</v>
      </c>
      <c r="AL124" t="b">
        <v>1</v>
      </c>
      <c r="AM124" t="b">
        <v>1</v>
      </c>
      <c r="AN124" t="b">
        <v>1</v>
      </c>
      <c r="AO124" t="b">
        <v>1</v>
      </c>
      <c r="AP124" t="b">
        <v>1</v>
      </c>
      <c r="AQ124" t="b">
        <v>1</v>
      </c>
      <c r="AR124" t="b">
        <v>0</v>
      </c>
      <c r="AS124" t="b">
        <v>0</v>
      </c>
      <c r="AT124" t="b">
        <v>0</v>
      </c>
      <c r="AU124" t="b">
        <v>0</v>
      </c>
      <c r="AV124" t="b">
        <v>0</v>
      </c>
      <c r="AW124" t="b">
        <v>0</v>
      </c>
      <c r="AX124" t="b">
        <v>0</v>
      </c>
      <c r="AY124" t="b">
        <v>0</v>
      </c>
      <c r="AZ124" t="b">
        <v>0</v>
      </c>
      <c r="BA124" t="b">
        <v>0</v>
      </c>
      <c r="BB124" t="b">
        <v>0</v>
      </c>
      <c r="BC124" t="b">
        <v>0</v>
      </c>
      <c r="BD124" t="b">
        <v>0</v>
      </c>
      <c r="BE124" t="b">
        <v>0</v>
      </c>
      <c r="BF124" t="b">
        <v>0</v>
      </c>
      <c r="BG124" t="b">
        <v>0</v>
      </c>
      <c r="BH124" t="b">
        <v>0</v>
      </c>
      <c r="BI124" t="b">
        <v>0</v>
      </c>
      <c r="BJ124" t="b">
        <v>0</v>
      </c>
      <c r="BK124" t="b">
        <v>0</v>
      </c>
      <c r="BL124" t="b">
        <v>0</v>
      </c>
      <c r="BM124" t="b">
        <v>0</v>
      </c>
      <c r="BN124" t="b">
        <v>0</v>
      </c>
      <c r="BO124" t="b">
        <v>0</v>
      </c>
      <c r="BP124" t="b">
        <v>0</v>
      </c>
      <c r="BQ124" t="b">
        <v>0</v>
      </c>
      <c r="BR124" t="b">
        <v>0</v>
      </c>
      <c r="BS124" t="b">
        <v>0</v>
      </c>
      <c r="BT124" t="b">
        <v>0</v>
      </c>
      <c r="BU124" t="b">
        <v>0</v>
      </c>
      <c r="BV124" t="b">
        <v>0</v>
      </c>
      <c r="BW124" t="b">
        <v>0</v>
      </c>
      <c r="BX124" t="b">
        <v>0</v>
      </c>
      <c r="BY124" t="b">
        <v>0</v>
      </c>
      <c r="BZ124" t="b">
        <v>0</v>
      </c>
      <c r="CA124" t="b">
        <v>0</v>
      </c>
      <c r="CB124" t="b">
        <v>0</v>
      </c>
      <c r="CC124" t="s">
        <v>1512</v>
      </c>
      <c r="CD124" t="s">
        <v>1492</v>
      </c>
      <c r="CE124" t="s">
        <v>1513</v>
      </c>
      <c r="CF124" t="s">
        <v>1495</v>
      </c>
      <c r="CG124" t="b">
        <v>0</v>
      </c>
      <c r="CH124">
        <v>0</v>
      </c>
      <c r="CI124" t="s">
        <v>1662</v>
      </c>
      <c r="CJ124" t="s">
        <v>1735</v>
      </c>
      <c r="CK124" t="s">
        <v>1251</v>
      </c>
      <c r="CL124" t="s">
        <v>1736</v>
      </c>
    </row>
    <row r="125" spans="1:90">
      <c r="A125">
        <v>413</v>
      </c>
      <c r="B125">
        <v>625</v>
      </c>
      <c r="C125" t="s">
        <v>1250</v>
      </c>
      <c r="D125">
        <v>2</v>
      </c>
      <c r="E125" t="s">
        <v>1492</v>
      </c>
      <c r="F125">
        <v>30</v>
      </c>
      <c r="G125">
        <v>1</v>
      </c>
      <c r="H125">
        <v>2</v>
      </c>
      <c r="I125" t="s">
        <v>975</v>
      </c>
      <c r="J125" t="s">
        <v>1297</v>
      </c>
      <c r="K125" t="s">
        <v>15</v>
      </c>
      <c r="L125" t="s">
        <v>1511</v>
      </c>
      <c r="M125" t="s">
        <v>1492</v>
      </c>
      <c r="N125" t="s">
        <v>1492</v>
      </c>
      <c r="O125" t="s">
        <v>1285</v>
      </c>
      <c r="P125" t="s">
        <v>1379</v>
      </c>
      <c r="Q125" t="s">
        <v>1285</v>
      </c>
      <c r="R125" t="s">
        <v>1379</v>
      </c>
      <c r="S125" t="s">
        <v>1285</v>
      </c>
      <c r="T125" t="s">
        <v>1379</v>
      </c>
      <c r="U125" t="s">
        <v>1285</v>
      </c>
      <c r="V125" t="s">
        <v>1379</v>
      </c>
      <c r="W125" t="s">
        <v>1285</v>
      </c>
      <c r="X125" t="s">
        <v>1372</v>
      </c>
      <c r="Y125" t="s">
        <v>1257</v>
      </c>
      <c r="Z125" t="s">
        <v>1257</v>
      </c>
      <c r="AA125" t="s">
        <v>1257</v>
      </c>
      <c r="AB125" t="s">
        <v>1257</v>
      </c>
      <c r="AC125" t="b">
        <v>0</v>
      </c>
      <c r="AD125" t="b">
        <v>0</v>
      </c>
      <c r="AE125" t="b">
        <v>0</v>
      </c>
      <c r="AF125" t="b">
        <v>0</v>
      </c>
      <c r="AG125" t="b">
        <v>0</v>
      </c>
      <c r="AH125" t="b">
        <v>0</v>
      </c>
      <c r="AI125" t="b">
        <v>0</v>
      </c>
      <c r="AJ125" t="b">
        <v>1</v>
      </c>
      <c r="AK125" t="b">
        <v>1</v>
      </c>
      <c r="AL125" t="b">
        <v>1</v>
      </c>
      <c r="AM125" t="b">
        <v>1</v>
      </c>
      <c r="AN125" t="b">
        <v>1</v>
      </c>
      <c r="AO125" t="b">
        <v>1</v>
      </c>
      <c r="AP125" t="b">
        <v>1</v>
      </c>
      <c r="AQ125" t="b">
        <v>1</v>
      </c>
      <c r="AR125" t="b">
        <v>0</v>
      </c>
      <c r="AS125" t="b">
        <v>0</v>
      </c>
      <c r="AT125" t="b">
        <v>0</v>
      </c>
      <c r="AU125" t="b">
        <v>0</v>
      </c>
      <c r="AV125" t="b">
        <v>0</v>
      </c>
      <c r="AW125" t="b">
        <v>0</v>
      </c>
      <c r="AX125" t="b">
        <v>0</v>
      </c>
      <c r="AY125" t="b">
        <v>0</v>
      </c>
      <c r="AZ125" t="b">
        <v>0</v>
      </c>
      <c r="BA125" t="b">
        <v>0</v>
      </c>
      <c r="BB125" t="b">
        <v>0</v>
      </c>
      <c r="BC125" t="b">
        <v>0</v>
      </c>
      <c r="BD125" t="b">
        <v>0</v>
      </c>
      <c r="BE125" t="b">
        <v>0</v>
      </c>
      <c r="BF125" t="b">
        <v>0</v>
      </c>
      <c r="BG125" t="b">
        <v>0</v>
      </c>
      <c r="BH125" t="b">
        <v>0</v>
      </c>
      <c r="BI125" t="b">
        <v>0</v>
      </c>
      <c r="BJ125" t="b">
        <v>0</v>
      </c>
      <c r="BK125" t="b">
        <v>0</v>
      </c>
      <c r="BL125" t="b">
        <v>0</v>
      </c>
      <c r="BM125" t="b">
        <v>0</v>
      </c>
      <c r="BN125" t="b">
        <v>0</v>
      </c>
      <c r="BO125" t="b">
        <v>0</v>
      </c>
      <c r="BP125" t="b">
        <v>0</v>
      </c>
      <c r="BQ125" t="b">
        <v>0</v>
      </c>
      <c r="BR125" t="b">
        <v>0</v>
      </c>
      <c r="BS125" t="b">
        <v>0</v>
      </c>
      <c r="BT125" t="b">
        <v>0</v>
      </c>
      <c r="BU125" t="b">
        <v>0</v>
      </c>
      <c r="BV125" t="b">
        <v>0</v>
      </c>
      <c r="BW125" t="b">
        <v>0</v>
      </c>
      <c r="BX125" t="b">
        <v>0</v>
      </c>
      <c r="BY125" t="b">
        <v>0</v>
      </c>
      <c r="BZ125" t="b">
        <v>0</v>
      </c>
      <c r="CA125" t="b">
        <v>0</v>
      </c>
      <c r="CB125" t="b">
        <v>0</v>
      </c>
      <c r="CC125" t="s">
        <v>1512</v>
      </c>
      <c r="CD125" t="s">
        <v>1492</v>
      </c>
      <c r="CE125" t="s">
        <v>1513</v>
      </c>
      <c r="CF125" t="s">
        <v>1495</v>
      </c>
      <c r="CG125" t="b">
        <v>0</v>
      </c>
      <c r="CH125">
        <v>0</v>
      </c>
      <c r="CI125" t="s">
        <v>1662</v>
      </c>
      <c r="CJ125" t="s">
        <v>1735</v>
      </c>
      <c r="CK125" t="s">
        <v>1251</v>
      </c>
      <c r="CL125" t="s">
        <v>1737</v>
      </c>
    </row>
    <row r="126" spans="1:90">
      <c r="A126">
        <v>463</v>
      </c>
      <c r="B126">
        <v>99999</v>
      </c>
      <c r="C126" t="s">
        <v>1250</v>
      </c>
      <c r="D126">
        <v>1</v>
      </c>
      <c r="E126" t="s">
        <v>1492</v>
      </c>
      <c r="F126">
        <v>30</v>
      </c>
      <c r="G126">
        <v>1</v>
      </c>
      <c r="H126">
        <v>2</v>
      </c>
      <c r="I126" t="s">
        <v>975</v>
      </c>
      <c r="J126" t="s">
        <v>1297</v>
      </c>
      <c r="K126" t="s">
        <v>15</v>
      </c>
      <c r="L126" t="s">
        <v>1511</v>
      </c>
      <c r="M126" t="s">
        <v>1492</v>
      </c>
      <c r="N126" t="s">
        <v>1492</v>
      </c>
      <c r="O126" t="s">
        <v>1285</v>
      </c>
      <c r="P126" t="s">
        <v>1379</v>
      </c>
      <c r="Q126" t="s">
        <v>1285</v>
      </c>
      <c r="R126" t="s">
        <v>1379</v>
      </c>
      <c r="S126" t="s">
        <v>1285</v>
      </c>
      <c r="T126" t="s">
        <v>1379</v>
      </c>
      <c r="U126" t="s">
        <v>1285</v>
      </c>
      <c r="V126" t="s">
        <v>1379</v>
      </c>
      <c r="W126" t="s">
        <v>1285</v>
      </c>
      <c r="X126" t="s">
        <v>1372</v>
      </c>
      <c r="Y126" t="s">
        <v>1257</v>
      </c>
      <c r="Z126" t="s">
        <v>1257</v>
      </c>
      <c r="AA126" t="s">
        <v>1257</v>
      </c>
      <c r="AB126" t="s">
        <v>1257</v>
      </c>
      <c r="AC126" t="b">
        <v>0</v>
      </c>
      <c r="AD126" t="b">
        <v>0</v>
      </c>
      <c r="AE126" t="b">
        <v>0</v>
      </c>
      <c r="AF126" t="b">
        <v>0</v>
      </c>
      <c r="AG126" t="b">
        <v>0</v>
      </c>
      <c r="AH126" t="b">
        <v>0</v>
      </c>
      <c r="AI126" t="b">
        <v>0</v>
      </c>
      <c r="AJ126" t="b">
        <v>0</v>
      </c>
      <c r="AK126" t="b">
        <v>0</v>
      </c>
      <c r="AL126" t="b">
        <v>0</v>
      </c>
      <c r="AM126" t="b">
        <v>0</v>
      </c>
      <c r="AN126" t="b">
        <v>0</v>
      </c>
      <c r="AO126" t="b">
        <v>0</v>
      </c>
      <c r="AP126" t="b">
        <v>0</v>
      </c>
      <c r="AQ126" t="b">
        <v>0</v>
      </c>
      <c r="AR126" t="b">
        <v>0</v>
      </c>
      <c r="AS126" t="b">
        <v>0</v>
      </c>
      <c r="AT126" t="b">
        <v>0</v>
      </c>
      <c r="AU126" t="b">
        <v>0</v>
      </c>
      <c r="AV126" t="b">
        <v>0</v>
      </c>
      <c r="AW126" t="b">
        <v>0</v>
      </c>
      <c r="AX126" t="b">
        <v>0</v>
      </c>
      <c r="AY126" t="b">
        <v>0</v>
      </c>
      <c r="AZ126" t="b">
        <v>0</v>
      </c>
      <c r="BA126" t="b">
        <v>0</v>
      </c>
      <c r="BB126" t="b">
        <v>0</v>
      </c>
      <c r="BC126" t="b">
        <v>0</v>
      </c>
      <c r="BD126" t="b">
        <v>0</v>
      </c>
      <c r="BE126" t="b">
        <v>0</v>
      </c>
      <c r="BF126" t="b">
        <v>0</v>
      </c>
      <c r="BG126" t="b">
        <v>0</v>
      </c>
      <c r="BH126" t="b">
        <v>0</v>
      </c>
      <c r="BI126" t="b">
        <v>0</v>
      </c>
      <c r="BJ126" t="b">
        <v>0</v>
      </c>
      <c r="BK126" t="b">
        <v>0</v>
      </c>
      <c r="BL126" t="b">
        <v>0</v>
      </c>
      <c r="BM126" t="b">
        <v>0</v>
      </c>
      <c r="BN126" t="b">
        <v>0</v>
      </c>
      <c r="BO126" t="b">
        <v>0</v>
      </c>
      <c r="BP126" t="b">
        <v>0</v>
      </c>
      <c r="BQ126" t="b">
        <v>0</v>
      </c>
      <c r="BR126" t="b">
        <v>0</v>
      </c>
      <c r="BS126" t="b">
        <v>0</v>
      </c>
      <c r="BT126" t="b">
        <v>0</v>
      </c>
      <c r="BU126" t="b">
        <v>0</v>
      </c>
      <c r="BV126" t="b">
        <v>0</v>
      </c>
      <c r="BW126" t="b">
        <v>0</v>
      </c>
      <c r="BX126" t="b">
        <v>0</v>
      </c>
      <c r="BY126" t="b">
        <v>0</v>
      </c>
      <c r="BZ126" t="b">
        <v>0</v>
      </c>
      <c r="CA126" t="b">
        <v>0</v>
      </c>
      <c r="CB126" t="b">
        <v>0</v>
      </c>
      <c r="CC126" t="s">
        <v>1253</v>
      </c>
      <c r="CD126" t="s">
        <v>1492</v>
      </c>
      <c r="CE126" t="s">
        <v>1518</v>
      </c>
      <c r="CF126" t="s">
        <v>1495</v>
      </c>
      <c r="CG126" t="b">
        <v>0</v>
      </c>
      <c r="CH126">
        <v>0</v>
      </c>
      <c r="CI126" t="s">
        <v>1662</v>
      </c>
      <c r="CJ126" t="s">
        <v>1738</v>
      </c>
      <c r="CK126" t="s">
        <v>1251</v>
      </c>
      <c r="CL126" t="s">
        <v>1739</v>
      </c>
    </row>
    <row r="127" spans="1:90">
      <c r="A127">
        <v>464</v>
      </c>
      <c r="B127">
        <v>99999</v>
      </c>
      <c r="C127" t="s">
        <v>1250</v>
      </c>
      <c r="D127">
        <v>2</v>
      </c>
      <c r="E127" t="s">
        <v>1492</v>
      </c>
      <c r="F127">
        <v>30</v>
      </c>
      <c r="G127">
        <v>1</v>
      </c>
      <c r="H127">
        <v>2</v>
      </c>
      <c r="I127" t="s">
        <v>975</v>
      </c>
      <c r="J127" t="s">
        <v>1297</v>
      </c>
      <c r="K127" t="s">
        <v>15</v>
      </c>
      <c r="L127" t="s">
        <v>1511</v>
      </c>
      <c r="M127" t="s">
        <v>1492</v>
      </c>
      <c r="N127" t="s">
        <v>1492</v>
      </c>
      <c r="O127" t="s">
        <v>1285</v>
      </c>
      <c r="P127" t="s">
        <v>1379</v>
      </c>
      <c r="Q127" t="s">
        <v>1285</v>
      </c>
      <c r="R127" t="s">
        <v>1379</v>
      </c>
      <c r="S127" t="s">
        <v>1285</v>
      </c>
      <c r="T127" t="s">
        <v>1379</v>
      </c>
      <c r="U127" t="s">
        <v>1285</v>
      </c>
      <c r="V127" t="s">
        <v>1379</v>
      </c>
      <c r="W127" t="s">
        <v>1285</v>
      </c>
      <c r="X127" t="s">
        <v>1372</v>
      </c>
      <c r="Y127" t="s">
        <v>1257</v>
      </c>
      <c r="Z127" t="s">
        <v>1257</v>
      </c>
      <c r="AA127" t="s">
        <v>1257</v>
      </c>
      <c r="AB127" t="s">
        <v>1257</v>
      </c>
      <c r="AC127" t="b">
        <v>0</v>
      </c>
      <c r="AD127" t="b">
        <v>0</v>
      </c>
      <c r="AE127" t="b">
        <v>0</v>
      </c>
      <c r="AF127" t="b">
        <v>0</v>
      </c>
      <c r="AG127" t="b">
        <v>0</v>
      </c>
      <c r="AH127" t="b">
        <v>0</v>
      </c>
      <c r="AI127" t="b">
        <v>0</v>
      </c>
      <c r="AJ127" t="b">
        <v>0</v>
      </c>
      <c r="AK127" t="b">
        <v>0</v>
      </c>
      <c r="AL127" t="b">
        <v>0</v>
      </c>
      <c r="AM127" t="b">
        <v>0</v>
      </c>
      <c r="AN127" t="b">
        <v>0</v>
      </c>
      <c r="AO127" t="b">
        <v>0</v>
      </c>
      <c r="AP127" t="b">
        <v>0</v>
      </c>
      <c r="AQ127" t="b">
        <v>0</v>
      </c>
      <c r="AR127" t="b">
        <v>0</v>
      </c>
      <c r="AS127" t="b">
        <v>0</v>
      </c>
      <c r="AT127" t="b">
        <v>0</v>
      </c>
      <c r="AU127" t="b">
        <v>0</v>
      </c>
      <c r="AV127" t="b">
        <v>0</v>
      </c>
      <c r="AW127" t="b">
        <v>0</v>
      </c>
      <c r="AX127" t="b">
        <v>0</v>
      </c>
      <c r="AY127" t="b">
        <v>0</v>
      </c>
      <c r="AZ127" t="b">
        <v>0</v>
      </c>
      <c r="BA127" t="b">
        <v>0</v>
      </c>
      <c r="BB127" t="b">
        <v>0</v>
      </c>
      <c r="BC127" t="b">
        <v>0</v>
      </c>
      <c r="BD127" t="b">
        <v>0</v>
      </c>
      <c r="BE127" t="b">
        <v>0</v>
      </c>
      <c r="BF127" t="b">
        <v>0</v>
      </c>
      <c r="BG127" t="b">
        <v>0</v>
      </c>
      <c r="BH127" t="b">
        <v>0</v>
      </c>
      <c r="BI127" t="b">
        <v>0</v>
      </c>
      <c r="BJ127" t="b">
        <v>0</v>
      </c>
      <c r="BK127" t="b">
        <v>0</v>
      </c>
      <c r="BL127" t="b">
        <v>0</v>
      </c>
      <c r="BM127" t="b">
        <v>0</v>
      </c>
      <c r="BN127" t="b">
        <v>0</v>
      </c>
      <c r="BO127" t="b">
        <v>0</v>
      </c>
      <c r="BP127" t="b">
        <v>0</v>
      </c>
      <c r="BQ127" t="b">
        <v>0</v>
      </c>
      <c r="BR127" t="b">
        <v>0</v>
      </c>
      <c r="BS127" t="b">
        <v>0</v>
      </c>
      <c r="BT127" t="b">
        <v>0</v>
      </c>
      <c r="BU127" t="b">
        <v>0</v>
      </c>
      <c r="BV127" t="b">
        <v>0</v>
      </c>
      <c r="BW127" t="b">
        <v>0</v>
      </c>
      <c r="BX127" t="b">
        <v>0</v>
      </c>
      <c r="BY127" t="b">
        <v>0</v>
      </c>
      <c r="BZ127" t="b">
        <v>0</v>
      </c>
      <c r="CA127" t="b">
        <v>0</v>
      </c>
      <c r="CB127" t="b">
        <v>0</v>
      </c>
      <c r="CC127" t="s">
        <v>1253</v>
      </c>
      <c r="CD127" t="s">
        <v>1492</v>
      </c>
      <c r="CE127" t="s">
        <v>1518</v>
      </c>
      <c r="CF127" t="s">
        <v>1495</v>
      </c>
      <c r="CG127" t="b">
        <v>0</v>
      </c>
      <c r="CH127">
        <v>0</v>
      </c>
      <c r="CI127" t="s">
        <v>1662</v>
      </c>
      <c r="CJ127" t="s">
        <v>1738</v>
      </c>
      <c r="CK127" t="s">
        <v>1251</v>
      </c>
      <c r="CL127" t="s">
        <v>1740</v>
      </c>
    </row>
    <row r="128" spans="1:90">
      <c r="A128">
        <v>415</v>
      </c>
      <c r="B128">
        <v>626</v>
      </c>
      <c r="C128" t="s">
        <v>1250</v>
      </c>
      <c r="D128">
        <v>1</v>
      </c>
      <c r="E128" t="s">
        <v>1492</v>
      </c>
      <c r="F128">
        <v>12</v>
      </c>
      <c r="G128">
        <v>1</v>
      </c>
      <c r="H128">
        <v>2</v>
      </c>
      <c r="I128" t="s">
        <v>580</v>
      </c>
      <c r="J128" t="s">
        <v>1297</v>
      </c>
      <c r="K128" t="s">
        <v>16</v>
      </c>
      <c r="L128" t="s">
        <v>1522</v>
      </c>
      <c r="M128" t="s">
        <v>1492</v>
      </c>
      <c r="N128" t="s">
        <v>1492</v>
      </c>
      <c r="O128" t="s">
        <v>1302</v>
      </c>
      <c r="P128" t="s">
        <v>1379</v>
      </c>
      <c r="Q128" t="s">
        <v>1302</v>
      </c>
      <c r="R128" t="s">
        <v>1379</v>
      </c>
      <c r="S128" t="s">
        <v>1302</v>
      </c>
      <c r="T128" t="s">
        <v>1379</v>
      </c>
      <c r="U128" t="s">
        <v>1302</v>
      </c>
      <c r="V128" t="s">
        <v>1379</v>
      </c>
      <c r="W128" t="s">
        <v>1302</v>
      </c>
      <c r="X128" t="s">
        <v>1372</v>
      </c>
      <c r="Y128" t="s">
        <v>1257</v>
      </c>
      <c r="Z128" t="s">
        <v>1257</v>
      </c>
      <c r="AA128" t="s">
        <v>1257</v>
      </c>
      <c r="AB128" t="s">
        <v>1257</v>
      </c>
      <c r="AC128" t="b">
        <v>0</v>
      </c>
      <c r="AD128" t="b">
        <v>0</v>
      </c>
      <c r="AE128" t="b">
        <v>0</v>
      </c>
      <c r="AF128" t="b">
        <v>0</v>
      </c>
      <c r="AG128" t="b">
        <v>0</v>
      </c>
      <c r="AH128" t="b">
        <v>0</v>
      </c>
      <c r="AI128" t="b">
        <v>0</v>
      </c>
      <c r="AJ128" t="b">
        <v>1</v>
      </c>
      <c r="AK128" t="b">
        <v>1</v>
      </c>
      <c r="AL128" t="b">
        <v>1</v>
      </c>
      <c r="AM128" t="b">
        <v>1</v>
      </c>
      <c r="AN128" t="b">
        <v>1</v>
      </c>
      <c r="AO128" t="b">
        <v>1</v>
      </c>
      <c r="AP128" t="b">
        <v>1</v>
      </c>
      <c r="AQ128" t="b">
        <v>1</v>
      </c>
      <c r="AR128" t="b">
        <v>0</v>
      </c>
      <c r="AS128" t="b">
        <v>0</v>
      </c>
      <c r="AT128" t="b">
        <v>0</v>
      </c>
      <c r="AU128" t="b">
        <v>0</v>
      </c>
      <c r="AV128" t="b">
        <v>0</v>
      </c>
      <c r="AW128" t="b">
        <v>0</v>
      </c>
      <c r="AX128" t="b">
        <v>0</v>
      </c>
      <c r="AY128" t="b">
        <v>0</v>
      </c>
      <c r="AZ128" t="b">
        <v>0</v>
      </c>
      <c r="BA128" t="b">
        <v>0</v>
      </c>
      <c r="BB128" t="b">
        <v>0</v>
      </c>
      <c r="BC128" t="b">
        <v>0</v>
      </c>
      <c r="BD128" t="b">
        <v>0</v>
      </c>
      <c r="BE128" t="b">
        <v>0</v>
      </c>
      <c r="BF128" t="b">
        <v>0</v>
      </c>
      <c r="BG128" t="b">
        <v>0</v>
      </c>
      <c r="BH128" t="b">
        <v>0</v>
      </c>
      <c r="BI128" t="b">
        <v>0</v>
      </c>
      <c r="BJ128" t="b">
        <v>0</v>
      </c>
      <c r="BK128" t="b">
        <v>0</v>
      </c>
      <c r="BL128" t="b">
        <v>0</v>
      </c>
      <c r="BM128" t="b">
        <v>0</v>
      </c>
      <c r="BN128" t="b">
        <v>0</v>
      </c>
      <c r="BO128" t="b">
        <v>0</v>
      </c>
      <c r="BP128" t="b">
        <v>0</v>
      </c>
      <c r="BQ128" t="b">
        <v>0</v>
      </c>
      <c r="BR128" t="b">
        <v>0</v>
      </c>
      <c r="BS128" t="b">
        <v>0</v>
      </c>
      <c r="BT128" t="b">
        <v>0</v>
      </c>
      <c r="BU128" t="b">
        <v>0</v>
      </c>
      <c r="BV128" t="b">
        <v>0</v>
      </c>
      <c r="BW128" t="b">
        <v>0</v>
      </c>
      <c r="BX128" t="b">
        <v>0</v>
      </c>
      <c r="BY128" t="b">
        <v>0</v>
      </c>
      <c r="BZ128" t="b">
        <v>0</v>
      </c>
      <c r="CA128" t="b">
        <v>0</v>
      </c>
      <c r="CB128" t="b">
        <v>0</v>
      </c>
      <c r="CC128" t="s">
        <v>1512</v>
      </c>
      <c r="CD128" t="s">
        <v>1492</v>
      </c>
      <c r="CE128" t="s">
        <v>1513</v>
      </c>
      <c r="CF128" t="s">
        <v>1495</v>
      </c>
      <c r="CG128" t="b">
        <v>0</v>
      </c>
      <c r="CH128">
        <v>0</v>
      </c>
      <c r="CI128" t="s">
        <v>1662</v>
      </c>
      <c r="CJ128" t="s">
        <v>1741</v>
      </c>
      <c r="CK128" t="s">
        <v>1251</v>
      </c>
      <c r="CL128" t="s">
        <v>1742</v>
      </c>
    </row>
    <row r="129" spans="1:90">
      <c r="A129">
        <v>416</v>
      </c>
      <c r="B129">
        <v>626</v>
      </c>
      <c r="C129" t="s">
        <v>1250</v>
      </c>
      <c r="D129">
        <v>2</v>
      </c>
      <c r="E129" t="s">
        <v>1492</v>
      </c>
      <c r="F129">
        <v>12</v>
      </c>
      <c r="G129">
        <v>1</v>
      </c>
      <c r="H129">
        <v>2</v>
      </c>
      <c r="I129" t="s">
        <v>580</v>
      </c>
      <c r="J129" t="s">
        <v>1297</v>
      </c>
      <c r="K129" t="s">
        <v>16</v>
      </c>
      <c r="L129" t="s">
        <v>1522</v>
      </c>
      <c r="M129" t="s">
        <v>1492</v>
      </c>
      <c r="N129" t="s">
        <v>1492</v>
      </c>
      <c r="O129" t="s">
        <v>1302</v>
      </c>
      <c r="P129" t="s">
        <v>1379</v>
      </c>
      <c r="Q129" t="s">
        <v>1302</v>
      </c>
      <c r="R129" t="s">
        <v>1379</v>
      </c>
      <c r="S129" t="s">
        <v>1302</v>
      </c>
      <c r="T129" t="s">
        <v>1379</v>
      </c>
      <c r="U129" t="s">
        <v>1302</v>
      </c>
      <c r="V129" t="s">
        <v>1379</v>
      </c>
      <c r="W129" t="s">
        <v>1302</v>
      </c>
      <c r="X129" t="s">
        <v>1372</v>
      </c>
      <c r="Y129" t="s">
        <v>1257</v>
      </c>
      <c r="Z129" t="s">
        <v>1257</v>
      </c>
      <c r="AA129" t="s">
        <v>1257</v>
      </c>
      <c r="AB129" t="s">
        <v>1257</v>
      </c>
      <c r="AC129" t="b">
        <v>0</v>
      </c>
      <c r="AD129" t="b">
        <v>0</v>
      </c>
      <c r="AE129" t="b">
        <v>0</v>
      </c>
      <c r="AF129" t="b">
        <v>0</v>
      </c>
      <c r="AG129" t="b">
        <v>0</v>
      </c>
      <c r="AH129" t="b">
        <v>0</v>
      </c>
      <c r="AI129" t="b">
        <v>0</v>
      </c>
      <c r="AJ129" t="b">
        <v>1</v>
      </c>
      <c r="AK129" t="b">
        <v>1</v>
      </c>
      <c r="AL129" t="b">
        <v>1</v>
      </c>
      <c r="AM129" t="b">
        <v>1</v>
      </c>
      <c r="AN129" t="b">
        <v>1</v>
      </c>
      <c r="AO129" t="b">
        <v>1</v>
      </c>
      <c r="AP129" t="b">
        <v>1</v>
      </c>
      <c r="AQ129" t="b">
        <v>1</v>
      </c>
      <c r="AR129" t="b">
        <v>0</v>
      </c>
      <c r="AS129" t="b">
        <v>0</v>
      </c>
      <c r="AT129" t="b">
        <v>0</v>
      </c>
      <c r="AU129" t="b">
        <v>0</v>
      </c>
      <c r="AV129" t="b">
        <v>0</v>
      </c>
      <c r="AW129" t="b">
        <v>0</v>
      </c>
      <c r="AX129" t="b">
        <v>0</v>
      </c>
      <c r="AY129" t="b">
        <v>0</v>
      </c>
      <c r="AZ129" t="b">
        <v>0</v>
      </c>
      <c r="BA129" t="b">
        <v>0</v>
      </c>
      <c r="BB129" t="b">
        <v>0</v>
      </c>
      <c r="BC129" t="b">
        <v>0</v>
      </c>
      <c r="BD129" t="b">
        <v>0</v>
      </c>
      <c r="BE129" t="b">
        <v>0</v>
      </c>
      <c r="BF129" t="b">
        <v>0</v>
      </c>
      <c r="BG129" t="b">
        <v>0</v>
      </c>
      <c r="BH129" t="b">
        <v>0</v>
      </c>
      <c r="BI129" t="b">
        <v>0</v>
      </c>
      <c r="BJ129" t="b">
        <v>0</v>
      </c>
      <c r="BK129" t="b">
        <v>0</v>
      </c>
      <c r="BL129" t="b">
        <v>0</v>
      </c>
      <c r="BM129" t="b">
        <v>0</v>
      </c>
      <c r="BN129" t="b">
        <v>0</v>
      </c>
      <c r="BO129" t="b">
        <v>0</v>
      </c>
      <c r="BP129" t="b">
        <v>0</v>
      </c>
      <c r="BQ129" t="b">
        <v>0</v>
      </c>
      <c r="BR129" t="b">
        <v>0</v>
      </c>
      <c r="BS129" t="b">
        <v>0</v>
      </c>
      <c r="BT129" t="b">
        <v>0</v>
      </c>
      <c r="BU129" t="b">
        <v>0</v>
      </c>
      <c r="BV129" t="b">
        <v>0</v>
      </c>
      <c r="BW129" t="b">
        <v>0</v>
      </c>
      <c r="BX129" t="b">
        <v>0</v>
      </c>
      <c r="BY129" t="b">
        <v>0</v>
      </c>
      <c r="BZ129" t="b">
        <v>0</v>
      </c>
      <c r="CA129" t="b">
        <v>0</v>
      </c>
      <c r="CB129" t="b">
        <v>0</v>
      </c>
      <c r="CC129" t="s">
        <v>1512</v>
      </c>
      <c r="CD129" t="s">
        <v>1492</v>
      </c>
      <c r="CE129" t="s">
        <v>1513</v>
      </c>
      <c r="CF129" t="s">
        <v>1495</v>
      </c>
      <c r="CG129" t="b">
        <v>0</v>
      </c>
      <c r="CH129">
        <v>0</v>
      </c>
      <c r="CI129" t="s">
        <v>1662</v>
      </c>
      <c r="CJ129" t="s">
        <v>1741</v>
      </c>
      <c r="CK129" t="s">
        <v>1251</v>
      </c>
      <c r="CL129" t="s">
        <v>1743</v>
      </c>
    </row>
    <row r="130" spans="1:90">
      <c r="A130">
        <v>418</v>
      </c>
      <c r="B130">
        <v>627</v>
      </c>
      <c r="C130" t="s">
        <v>1250</v>
      </c>
      <c r="D130">
        <v>1</v>
      </c>
      <c r="E130" t="s">
        <v>1492</v>
      </c>
      <c r="F130">
        <v>30</v>
      </c>
      <c r="G130">
        <v>1</v>
      </c>
      <c r="H130">
        <v>2</v>
      </c>
      <c r="I130" t="s">
        <v>844</v>
      </c>
      <c r="J130" t="s">
        <v>1297</v>
      </c>
      <c r="K130" t="s">
        <v>15</v>
      </c>
      <c r="L130" t="s">
        <v>1511</v>
      </c>
      <c r="M130" t="s">
        <v>1492</v>
      </c>
      <c r="N130" t="s">
        <v>1492</v>
      </c>
      <c r="O130" t="s">
        <v>1285</v>
      </c>
      <c r="P130" t="s">
        <v>1379</v>
      </c>
      <c r="Q130" t="s">
        <v>1285</v>
      </c>
      <c r="R130" t="s">
        <v>1379</v>
      </c>
      <c r="S130" t="s">
        <v>1285</v>
      </c>
      <c r="T130" t="s">
        <v>1379</v>
      </c>
      <c r="U130" t="s">
        <v>1285</v>
      </c>
      <c r="V130" t="s">
        <v>1379</v>
      </c>
      <c r="W130" t="s">
        <v>1285</v>
      </c>
      <c r="X130" t="s">
        <v>1372</v>
      </c>
      <c r="Y130" t="s">
        <v>1257</v>
      </c>
      <c r="Z130" t="s">
        <v>1257</v>
      </c>
      <c r="AA130" t="s">
        <v>1257</v>
      </c>
      <c r="AB130" t="s">
        <v>1257</v>
      </c>
      <c r="AC130" t="b">
        <v>0</v>
      </c>
      <c r="AD130" t="b">
        <v>0</v>
      </c>
      <c r="AE130" t="b">
        <v>0</v>
      </c>
      <c r="AF130" t="b">
        <v>0</v>
      </c>
      <c r="AG130" t="b">
        <v>0</v>
      </c>
      <c r="AH130" t="b">
        <v>0</v>
      </c>
      <c r="AI130" t="b">
        <v>0</v>
      </c>
      <c r="AJ130" t="b">
        <v>0</v>
      </c>
      <c r="AK130" t="b">
        <v>0</v>
      </c>
      <c r="AL130" t="b">
        <v>0</v>
      </c>
      <c r="AM130" t="b">
        <v>0</v>
      </c>
      <c r="AN130" t="b">
        <v>0</v>
      </c>
      <c r="AO130" t="b">
        <v>0</v>
      </c>
      <c r="AP130" t="b">
        <v>0</v>
      </c>
      <c r="AQ130" t="b">
        <v>0</v>
      </c>
      <c r="AR130" t="b">
        <v>0</v>
      </c>
      <c r="AS130" t="b">
        <v>0</v>
      </c>
      <c r="AT130" t="b">
        <v>0</v>
      </c>
      <c r="AU130" t="b">
        <v>1</v>
      </c>
      <c r="AV130" t="b">
        <v>1</v>
      </c>
      <c r="AW130" t="b">
        <v>1</v>
      </c>
      <c r="AX130" t="b">
        <v>1</v>
      </c>
      <c r="AY130" t="b">
        <v>1</v>
      </c>
      <c r="AZ130" t="b">
        <v>1</v>
      </c>
      <c r="BA130" t="b">
        <v>1</v>
      </c>
      <c r="BB130" t="b">
        <v>1</v>
      </c>
      <c r="BC130" t="b">
        <v>0</v>
      </c>
      <c r="BD130" t="b">
        <v>0</v>
      </c>
      <c r="BE130" t="b">
        <v>0</v>
      </c>
      <c r="BF130" t="b">
        <v>0</v>
      </c>
      <c r="BG130" t="b">
        <v>0</v>
      </c>
      <c r="BH130" t="b">
        <v>0</v>
      </c>
      <c r="BI130" t="b">
        <v>0</v>
      </c>
      <c r="BJ130" t="b">
        <v>0</v>
      </c>
      <c r="BK130" t="b">
        <v>0</v>
      </c>
      <c r="BL130" t="b">
        <v>0</v>
      </c>
      <c r="BM130" t="b">
        <v>0</v>
      </c>
      <c r="BN130" t="b">
        <v>0</v>
      </c>
      <c r="BO130" t="b">
        <v>0</v>
      </c>
      <c r="BP130" t="b">
        <v>0</v>
      </c>
      <c r="BQ130" t="b">
        <v>0</v>
      </c>
      <c r="BR130" t="b">
        <v>0</v>
      </c>
      <c r="BS130" t="b">
        <v>0</v>
      </c>
      <c r="BT130" t="b">
        <v>0</v>
      </c>
      <c r="BU130" t="b">
        <v>0</v>
      </c>
      <c r="BV130" t="b">
        <v>0</v>
      </c>
      <c r="BW130" t="b">
        <v>0</v>
      </c>
      <c r="BX130" t="b">
        <v>0</v>
      </c>
      <c r="BY130" t="b">
        <v>0</v>
      </c>
      <c r="BZ130" t="b">
        <v>0</v>
      </c>
      <c r="CA130" t="b">
        <v>0</v>
      </c>
      <c r="CB130" t="b">
        <v>0</v>
      </c>
      <c r="CC130" t="s">
        <v>1512</v>
      </c>
      <c r="CD130" t="s">
        <v>1492</v>
      </c>
      <c r="CE130" t="s">
        <v>1513</v>
      </c>
      <c r="CF130" t="s">
        <v>1495</v>
      </c>
      <c r="CG130" t="b">
        <v>0</v>
      </c>
      <c r="CH130">
        <v>0</v>
      </c>
      <c r="CI130" t="s">
        <v>1662</v>
      </c>
      <c r="CJ130" t="s">
        <v>1744</v>
      </c>
      <c r="CK130" t="s">
        <v>1251</v>
      </c>
      <c r="CL130" t="s">
        <v>1745</v>
      </c>
    </row>
    <row r="131" spans="1:90">
      <c r="A131">
        <v>417</v>
      </c>
      <c r="B131">
        <v>627</v>
      </c>
      <c r="C131" t="s">
        <v>1250</v>
      </c>
      <c r="D131">
        <v>2</v>
      </c>
      <c r="E131" t="s">
        <v>1492</v>
      </c>
      <c r="F131">
        <v>30</v>
      </c>
      <c r="G131">
        <v>1</v>
      </c>
      <c r="H131">
        <v>2</v>
      </c>
      <c r="I131" t="s">
        <v>844</v>
      </c>
      <c r="J131" t="s">
        <v>1297</v>
      </c>
      <c r="K131" t="s">
        <v>15</v>
      </c>
      <c r="L131" t="s">
        <v>1511</v>
      </c>
      <c r="M131" t="s">
        <v>1492</v>
      </c>
      <c r="N131" t="s">
        <v>1492</v>
      </c>
      <c r="O131" t="s">
        <v>1285</v>
      </c>
      <c r="P131" t="s">
        <v>1379</v>
      </c>
      <c r="Q131" t="s">
        <v>1285</v>
      </c>
      <c r="R131" t="s">
        <v>1379</v>
      </c>
      <c r="S131" t="s">
        <v>1285</v>
      </c>
      <c r="T131" t="s">
        <v>1379</v>
      </c>
      <c r="U131" t="s">
        <v>1285</v>
      </c>
      <c r="V131" t="s">
        <v>1379</v>
      </c>
      <c r="W131" t="s">
        <v>1285</v>
      </c>
      <c r="X131" t="s">
        <v>1372</v>
      </c>
      <c r="Y131" t="s">
        <v>1257</v>
      </c>
      <c r="Z131" t="s">
        <v>1257</v>
      </c>
      <c r="AA131" t="s">
        <v>1257</v>
      </c>
      <c r="AB131" t="s">
        <v>1257</v>
      </c>
      <c r="AC131" t="b">
        <v>0</v>
      </c>
      <c r="AD131" t="b">
        <v>0</v>
      </c>
      <c r="AE131" t="b">
        <v>0</v>
      </c>
      <c r="AF131" t="b">
        <v>0</v>
      </c>
      <c r="AG131" t="b">
        <v>0</v>
      </c>
      <c r="AH131" t="b">
        <v>0</v>
      </c>
      <c r="AI131" t="b">
        <v>0</v>
      </c>
      <c r="AJ131" t="b">
        <v>0</v>
      </c>
      <c r="AK131" t="b">
        <v>0</v>
      </c>
      <c r="AL131" t="b">
        <v>0</v>
      </c>
      <c r="AM131" t="b">
        <v>0</v>
      </c>
      <c r="AN131" t="b">
        <v>0</v>
      </c>
      <c r="AO131" t="b">
        <v>0</v>
      </c>
      <c r="AP131" t="b">
        <v>0</v>
      </c>
      <c r="AQ131" t="b">
        <v>0</v>
      </c>
      <c r="AR131" t="b">
        <v>0</v>
      </c>
      <c r="AS131" t="b">
        <v>0</v>
      </c>
      <c r="AT131" t="b">
        <v>0</v>
      </c>
      <c r="AU131" t="b">
        <v>1</v>
      </c>
      <c r="AV131" t="b">
        <v>1</v>
      </c>
      <c r="AW131" t="b">
        <v>1</v>
      </c>
      <c r="AX131" t="b">
        <v>1</v>
      </c>
      <c r="AY131" t="b">
        <v>1</v>
      </c>
      <c r="AZ131" t="b">
        <v>1</v>
      </c>
      <c r="BA131" t="b">
        <v>1</v>
      </c>
      <c r="BB131" t="b">
        <v>1</v>
      </c>
      <c r="BC131" t="b">
        <v>0</v>
      </c>
      <c r="BD131" t="b">
        <v>0</v>
      </c>
      <c r="BE131" t="b">
        <v>0</v>
      </c>
      <c r="BF131" t="b">
        <v>0</v>
      </c>
      <c r="BG131" t="b">
        <v>0</v>
      </c>
      <c r="BH131" t="b">
        <v>0</v>
      </c>
      <c r="BI131" t="b">
        <v>0</v>
      </c>
      <c r="BJ131" t="b">
        <v>0</v>
      </c>
      <c r="BK131" t="b">
        <v>0</v>
      </c>
      <c r="BL131" t="b">
        <v>0</v>
      </c>
      <c r="BM131" t="b">
        <v>0</v>
      </c>
      <c r="BN131" t="b">
        <v>0</v>
      </c>
      <c r="BO131" t="b">
        <v>0</v>
      </c>
      <c r="BP131" t="b">
        <v>0</v>
      </c>
      <c r="BQ131" t="b">
        <v>0</v>
      </c>
      <c r="BR131" t="b">
        <v>0</v>
      </c>
      <c r="BS131" t="b">
        <v>0</v>
      </c>
      <c r="BT131" t="b">
        <v>0</v>
      </c>
      <c r="BU131" t="b">
        <v>0</v>
      </c>
      <c r="BV131" t="b">
        <v>0</v>
      </c>
      <c r="BW131" t="b">
        <v>0</v>
      </c>
      <c r="BX131" t="b">
        <v>0</v>
      </c>
      <c r="BY131" t="b">
        <v>0</v>
      </c>
      <c r="BZ131" t="b">
        <v>0</v>
      </c>
      <c r="CA131" t="b">
        <v>0</v>
      </c>
      <c r="CB131" t="b">
        <v>0</v>
      </c>
      <c r="CC131" t="s">
        <v>1512</v>
      </c>
      <c r="CD131" t="s">
        <v>1492</v>
      </c>
      <c r="CE131" t="s">
        <v>1513</v>
      </c>
      <c r="CF131" t="s">
        <v>1495</v>
      </c>
      <c r="CG131" t="b">
        <v>1</v>
      </c>
      <c r="CH131">
        <v>0</v>
      </c>
      <c r="CI131" t="s">
        <v>1662</v>
      </c>
      <c r="CJ131" t="s">
        <v>1744</v>
      </c>
      <c r="CK131" t="s">
        <v>1251</v>
      </c>
      <c r="CL131" t="s">
        <v>1746</v>
      </c>
    </row>
    <row r="132" spans="1:90">
      <c r="A132">
        <v>465</v>
      </c>
      <c r="B132">
        <v>100000</v>
      </c>
      <c r="C132" t="s">
        <v>1250</v>
      </c>
      <c r="D132">
        <v>1</v>
      </c>
      <c r="E132" t="s">
        <v>1492</v>
      </c>
      <c r="F132">
        <v>30</v>
      </c>
      <c r="G132">
        <v>1</v>
      </c>
      <c r="H132">
        <v>2</v>
      </c>
      <c r="I132" t="s">
        <v>844</v>
      </c>
      <c r="J132" t="s">
        <v>1297</v>
      </c>
      <c r="K132" t="s">
        <v>15</v>
      </c>
      <c r="L132" t="s">
        <v>1511</v>
      </c>
      <c r="M132" t="s">
        <v>1492</v>
      </c>
      <c r="N132" t="s">
        <v>1492</v>
      </c>
      <c r="O132" t="s">
        <v>1285</v>
      </c>
      <c r="P132" t="s">
        <v>1379</v>
      </c>
      <c r="Q132" t="s">
        <v>1285</v>
      </c>
      <c r="R132" t="s">
        <v>1379</v>
      </c>
      <c r="S132" t="s">
        <v>1285</v>
      </c>
      <c r="T132" t="s">
        <v>1379</v>
      </c>
      <c r="U132" t="s">
        <v>1285</v>
      </c>
      <c r="V132" t="s">
        <v>1379</v>
      </c>
      <c r="W132" t="s">
        <v>1285</v>
      </c>
      <c r="X132" t="s">
        <v>1372</v>
      </c>
      <c r="Y132" t="s">
        <v>1257</v>
      </c>
      <c r="Z132" t="s">
        <v>1257</v>
      </c>
      <c r="AA132" t="s">
        <v>1257</v>
      </c>
      <c r="AB132" t="s">
        <v>1257</v>
      </c>
      <c r="AC132" t="b">
        <v>0</v>
      </c>
      <c r="AD132" t="b">
        <v>0</v>
      </c>
      <c r="AE132" t="b">
        <v>0</v>
      </c>
      <c r="AF132" t="b">
        <v>0</v>
      </c>
      <c r="AG132" t="b">
        <v>0</v>
      </c>
      <c r="AH132" t="b">
        <v>0</v>
      </c>
      <c r="AI132" t="b">
        <v>0</v>
      </c>
      <c r="AJ132" t="b">
        <v>0</v>
      </c>
      <c r="AK132" t="b">
        <v>0</v>
      </c>
      <c r="AL132" t="b">
        <v>0</v>
      </c>
      <c r="AM132" t="b">
        <v>0</v>
      </c>
      <c r="AN132" t="b">
        <v>0</v>
      </c>
      <c r="AO132" t="b">
        <v>0</v>
      </c>
      <c r="AP132" t="b">
        <v>0</v>
      </c>
      <c r="AQ132" t="b">
        <v>0</v>
      </c>
      <c r="AR132" t="b">
        <v>0</v>
      </c>
      <c r="AS132" t="b">
        <v>0</v>
      </c>
      <c r="AT132" t="b">
        <v>0</v>
      </c>
      <c r="AU132" t="b">
        <v>0</v>
      </c>
      <c r="AV132" t="b">
        <v>0</v>
      </c>
      <c r="AW132" t="b">
        <v>0</v>
      </c>
      <c r="AX132" t="b">
        <v>0</v>
      </c>
      <c r="AY132" t="b">
        <v>0</v>
      </c>
      <c r="AZ132" t="b">
        <v>0</v>
      </c>
      <c r="BA132" t="b">
        <v>0</v>
      </c>
      <c r="BB132" t="b">
        <v>0</v>
      </c>
      <c r="BC132" t="b">
        <v>0</v>
      </c>
      <c r="BD132" t="b">
        <v>0</v>
      </c>
      <c r="BE132" t="b">
        <v>0</v>
      </c>
      <c r="BF132" t="b">
        <v>0</v>
      </c>
      <c r="BG132" t="b">
        <v>0</v>
      </c>
      <c r="BH132" t="b">
        <v>0</v>
      </c>
      <c r="BI132" t="b">
        <v>0</v>
      </c>
      <c r="BJ132" t="b">
        <v>0</v>
      </c>
      <c r="BK132" t="b">
        <v>0</v>
      </c>
      <c r="BL132" t="b">
        <v>0</v>
      </c>
      <c r="BM132" t="b">
        <v>0</v>
      </c>
      <c r="BN132" t="b">
        <v>0</v>
      </c>
      <c r="BO132" t="b">
        <v>0</v>
      </c>
      <c r="BP132" t="b">
        <v>0</v>
      </c>
      <c r="BQ132" t="b">
        <v>0</v>
      </c>
      <c r="BR132" t="b">
        <v>0</v>
      </c>
      <c r="BS132" t="b">
        <v>0</v>
      </c>
      <c r="BT132" t="b">
        <v>0</v>
      </c>
      <c r="BU132" t="b">
        <v>0</v>
      </c>
      <c r="BV132" t="b">
        <v>0</v>
      </c>
      <c r="BW132" t="b">
        <v>0</v>
      </c>
      <c r="BX132" t="b">
        <v>0</v>
      </c>
      <c r="BY132" t="b">
        <v>0</v>
      </c>
      <c r="BZ132" t="b">
        <v>0</v>
      </c>
      <c r="CA132" t="b">
        <v>0</v>
      </c>
      <c r="CB132" t="b">
        <v>0</v>
      </c>
      <c r="CC132" t="s">
        <v>1253</v>
      </c>
      <c r="CD132" t="s">
        <v>1492</v>
      </c>
      <c r="CE132" t="s">
        <v>1518</v>
      </c>
      <c r="CF132" t="s">
        <v>1495</v>
      </c>
      <c r="CG132" t="b">
        <v>0</v>
      </c>
      <c r="CH132">
        <v>0</v>
      </c>
      <c r="CI132" t="s">
        <v>1662</v>
      </c>
      <c r="CJ132" t="s">
        <v>1747</v>
      </c>
      <c r="CK132" t="s">
        <v>1251</v>
      </c>
      <c r="CL132" t="s">
        <v>1748</v>
      </c>
    </row>
    <row r="133" spans="1:90">
      <c r="A133">
        <v>466</v>
      </c>
      <c r="B133">
        <v>100000</v>
      </c>
      <c r="C133" t="s">
        <v>1250</v>
      </c>
      <c r="D133">
        <v>2</v>
      </c>
      <c r="E133" t="s">
        <v>1492</v>
      </c>
      <c r="F133">
        <v>30</v>
      </c>
      <c r="G133">
        <v>1</v>
      </c>
      <c r="H133">
        <v>2</v>
      </c>
      <c r="I133" t="s">
        <v>844</v>
      </c>
      <c r="J133" t="s">
        <v>1297</v>
      </c>
      <c r="K133" t="s">
        <v>15</v>
      </c>
      <c r="L133" t="s">
        <v>1511</v>
      </c>
      <c r="M133" t="s">
        <v>1492</v>
      </c>
      <c r="N133" t="s">
        <v>1492</v>
      </c>
      <c r="O133" t="s">
        <v>1285</v>
      </c>
      <c r="P133" t="s">
        <v>1379</v>
      </c>
      <c r="Q133" t="s">
        <v>1285</v>
      </c>
      <c r="R133" t="s">
        <v>1379</v>
      </c>
      <c r="S133" t="s">
        <v>1285</v>
      </c>
      <c r="T133" t="s">
        <v>1379</v>
      </c>
      <c r="U133" t="s">
        <v>1285</v>
      </c>
      <c r="V133" t="s">
        <v>1379</v>
      </c>
      <c r="W133" t="s">
        <v>1285</v>
      </c>
      <c r="X133" t="s">
        <v>1372</v>
      </c>
      <c r="Y133" t="s">
        <v>1257</v>
      </c>
      <c r="Z133" t="s">
        <v>1257</v>
      </c>
      <c r="AA133" t="s">
        <v>1257</v>
      </c>
      <c r="AB133" t="s">
        <v>1257</v>
      </c>
      <c r="AC133" t="b">
        <v>0</v>
      </c>
      <c r="AD133" t="b">
        <v>0</v>
      </c>
      <c r="AE133" t="b">
        <v>0</v>
      </c>
      <c r="AF133" t="b">
        <v>0</v>
      </c>
      <c r="AG133" t="b">
        <v>0</v>
      </c>
      <c r="AH133" t="b">
        <v>0</v>
      </c>
      <c r="AI133" t="b">
        <v>0</v>
      </c>
      <c r="AJ133" t="b">
        <v>0</v>
      </c>
      <c r="AK133" t="b">
        <v>0</v>
      </c>
      <c r="AL133" t="b">
        <v>0</v>
      </c>
      <c r="AM133" t="b">
        <v>0</v>
      </c>
      <c r="AN133" t="b">
        <v>0</v>
      </c>
      <c r="AO133" t="b">
        <v>0</v>
      </c>
      <c r="AP133" t="b">
        <v>0</v>
      </c>
      <c r="AQ133" t="b">
        <v>0</v>
      </c>
      <c r="AR133" t="b">
        <v>0</v>
      </c>
      <c r="AS133" t="b">
        <v>0</v>
      </c>
      <c r="AT133" t="b">
        <v>0</v>
      </c>
      <c r="AU133" t="b">
        <v>0</v>
      </c>
      <c r="AV133" t="b">
        <v>0</v>
      </c>
      <c r="AW133" t="b">
        <v>0</v>
      </c>
      <c r="AX133" t="b">
        <v>0</v>
      </c>
      <c r="AY133" t="b">
        <v>0</v>
      </c>
      <c r="AZ133" t="b">
        <v>0</v>
      </c>
      <c r="BA133" t="b">
        <v>0</v>
      </c>
      <c r="BB133" t="b">
        <v>0</v>
      </c>
      <c r="BC133" t="b">
        <v>0</v>
      </c>
      <c r="BD133" t="b">
        <v>0</v>
      </c>
      <c r="BE133" t="b">
        <v>0</v>
      </c>
      <c r="BF133" t="b">
        <v>0</v>
      </c>
      <c r="BG133" t="b">
        <v>0</v>
      </c>
      <c r="BH133" t="b">
        <v>0</v>
      </c>
      <c r="BI133" t="b">
        <v>0</v>
      </c>
      <c r="BJ133" t="b">
        <v>0</v>
      </c>
      <c r="BK133" t="b">
        <v>0</v>
      </c>
      <c r="BL133" t="b">
        <v>0</v>
      </c>
      <c r="BM133" t="b">
        <v>0</v>
      </c>
      <c r="BN133" t="b">
        <v>0</v>
      </c>
      <c r="BO133" t="b">
        <v>0</v>
      </c>
      <c r="BP133" t="b">
        <v>0</v>
      </c>
      <c r="BQ133" t="b">
        <v>0</v>
      </c>
      <c r="BR133" t="b">
        <v>0</v>
      </c>
      <c r="BS133" t="b">
        <v>0</v>
      </c>
      <c r="BT133" t="b">
        <v>0</v>
      </c>
      <c r="BU133" t="b">
        <v>0</v>
      </c>
      <c r="BV133" t="b">
        <v>0</v>
      </c>
      <c r="BW133" t="b">
        <v>0</v>
      </c>
      <c r="BX133" t="b">
        <v>0</v>
      </c>
      <c r="BY133" t="b">
        <v>0</v>
      </c>
      <c r="BZ133" t="b">
        <v>0</v>
      </c>
      <c r="CA133" t="b">
        <v>0</v>
      </c>
      <c r="CB133" t="b">
        <v>0</v>
      </c>
      <c r="CC133" t="s">
        <v>1253</v>
      </c>
      <c r="CD133" t="s">
        <v>1492</v>
      </c>
      <c r="CE133" t="s">
        <v>1518</v>
      </c>
      <c r="CF133" t="s">
        <v>1495</v>
      </c>
      <c r="CG133" t="b">
        <v>0</v>
      </c>
      <c r="CH133">
        <v>0</v>
      </c>
      <c r="CI133" t="s">
        <v>1662</v>
      </c>
      <c r="CJ133" t="s">
        <v>1747</v>
      </c>
      <c r="CK133" t="s">
        <v>1251</v>
      </c>
      <c r="CL133" t="s">
        <v>1749</v>
      </c>
    </row>
    <row r="134" spans="1:90">
      <c r="A134">
        <v>420</v>
      </c>
      <c r="B134">
        <v>628</v>
      </c>
      <c r="C134" t="s">
        <v>1250</v>
      </c>
      <c r="D134">
        <v>1</v>
      </c>
      <c r="E134" t="s">
        <v>1492</v>
      </c>
      <c r="F134">
        <v>12</v>
      </c>
      <c r="G134">
        <v>1</v>
      </c>
      <c r="H134">
        <v>2</v>
      </c>
      <c r="I134" t="s">
        <v>580</v>
      </c>
      <c r="J134" t="s">
        <v>1297</v>
      </c>
      <c r="K134" t="s">
        <v>16</v>
      </c>
      <c r="L134" t="s">
        <v>1522</v>
      </c>
      <c r="M134" t="s">
        <v>1492</v>
      </c>
      <c r="N134" t="s">
        <v>1492</v>
      </c>
      <c r="O134" t="s">
        <v>1302</v>
      </c>
      <c r="P134" t="s">
        <v>1379</v>
      </c>
      <c r="Q134" t="s">
        <v>1302</v>
      </c>
      <c r="R134" t="s">
        <v>1379</v>
      </c>
      <c r="S134" t="s">
        <v>1302</v>
      </c>
      <c r="T134" t="s">
        <v>1379</v>
      </c>
      <c r="U134" t="s">
        <v>1302</v>
      </c>
      <c r="V134" t="s">
        <v>1379</v>
      </c>
      <c r="W134" t="s">
        <v>1302</v>
      </c>
      <c r="X134" t="s">
        <v>1372</v>
      </c>
      <c r="Y134" t="s">
        <v>1257</v>
      </c>
      <c r="Z134" t="s">
        <v>1257</v>
      </c>
      <c r="AA134" t="s">
        <v>1257</v>
      </c>
      <c r="AB134" t="s">
        <v>1257</v>
      </c>
      <c r="AC134" t="b">
        <v>0</v>
      </c>
      <c r="AD134" t="b">
        <v>0</v>
      </c>
      <c r="AE134" t="b">
        <v>0</v>
      </c>
      <c r="AF134" t="b">
        <v>0</v>
      </c>
      <c r="AG134" t="b">
        <v>0</v>
      </c>
      <c r="AH134" t="b">
        <v>0</v>
      </c>
      <c r="AI134" t="b">
        <v>0</v>
      </c>
      <c r="AJ134" t="b">
        <v>0</v>
      </c>
      <c r="AK134" t="b">
        <v>0</v>
      </c>
      <c r="AL134" t="b">
        <v>0</v>
      </c>
      <c r="AM134" t="b">
        <v>0</v>
      </c>
      <c r="AN134" t="b">
        <v>0</v>
      </c>
      <c r="AO134" t="b">
        <v>0</v>
      </c>
      <c r="AP134" t="b">
        <v>0</v>
      </c>
      <c r="AQ134" t="b">
        <v>0</v>
      </c>
      <c r="AR134" t="b">
        <v>0</v>
      </c>
      <c r="AS134" t="b">
        <v>0</v>
      </c>
      <c r="AT134" t="b">
        <v>0</v>
      </c>
      <c r="AU134" t="b">
        <v>1</v>
      </c>
      <c r="AV134" t="b">
        <v>1</v>
      </c>
      <c r="AW134" t="b">
        <v>1</v>
      </c>
      <c r="AX134" t="b">
        <v>1</v>
      </c>
      <c r="AY134" t="b">
        <v>1</v>
      </c>
      <c r="AZ134" t="b">
        <v>1</v>
      </c>
      <c r="BA134" t="b">
        <v>1</v>
      </c>
      <c r="BB134" t="b">
        <v>1</v>
      </c>
      <c r="BC134" t="b">
        <v>0</v>
      </c>
      <c r="BD134" t="b">
        <v>0</v>
      </c>
      <c r="BE134" t="b">
        <v>0</v>
      </c>
      <c r="BF134" t="b">
        <v>0</v>
      </c>
      <c r="BG134" t="b">
        <v>0</v>
      </c>
      <c r="BH134" t="b">
        <v>0</v>
      </c>
      <c r="BI134" t="b">
        <v>0</v>
      </c>
      <c r="BJ134" t="b">
        <v>0</v>
      </c>
      <c r="BK134" t="b">
        <v>0</v>
      </c>
      <c r="BL134" t="b">
        <v>0</v>
      </c>
      <c r="BM134" t="b">
        <v>0</v>
      </c>
      <c r="BN134" t="b">
        <v>0</v>
      </c>
      <c r="BO134" t="b">
        <v>0</v>
      </c>
      <c r="BP134" t="b">
        <v>0</v>
      </c>
      <c r="BQ134" t="b">
        <v>0</v>
      </c>
      <c r="BR134" t="b">
        <v>0</v>
      </c>
      <c r="BS134" t="b">
        <v>0</v>
      </c>
      <c r="BT134" t="b">
        <v>0</v>
      </c>
      <c r="BU134" t="b">
        <v>0</v>
      </c>
      <c r="BV134" t="b">
        <v>0</v>
      </c>
      <c r="BW134" t="b">
        <v>0</v>
      </c>
      <c r="BX134" t="b">
        <v>0</v>
      </c>
      <c r="BY134" t="b">
        <v>0</v>
      </c>
      <c r="BZ134" t="b">
        <v>0</v>
      </c>
      <c r="CA134" t="b">
        <v>0</v>
      </c>
      <c r="CB134" t="b">
        <v>0</v>
      </c>
      <c r="CC134" t="s">
        <v>1512</v>
      </c>
      <c r="CD134" t="s">
        <v>1492</v>
      </c>
      <c r="CE134" t="s">
        <v>1513</v>
      </c>
      <c r="CF134" t="s">
        <v>1495</v>
      </c>
      <c r="CG134" t="b">
        <v>0</v>
      </c>
      <c r="CH134">
        <v>0</v>
      </c>
      <c r="CI134" t="s">
        <v>1662</v>
      </c>
      <c r="CJ134" t="s">
        <v>1750</v>
      </c>
      <c r="CK134" t="s">
        <v>1251</v>
      </c>
      <c r="CL134" t="s">
        <v>1751</v>
      </c>
    </row>
    <row r="135" spans="1:90">
      <c r="A135">
        <v>419</v>
      </c>
      <c r="B135">
        <v>628</v>
      </c>
      <c r="C135" t="s">
        <v>1250</v>
      </c>
      <c r="D135">
        <v>2</v>
      </c>
      <c r="E135" t="s">
        <v>1492</v>
      </c>
      <c r="F135">
        <v>12</v>
      </c>
      <c r="G135">
        <v>1</v>
      </c>
      <c r="H135">
        <v>2</v>
      </c>
      <c r="I135" t="s">
        <v>580</v>
      </c>
      <c r="J135" t="s">
        <v>1297</v>
      </c>
      <c r="K135" t="s">
        <v>16</v>
      </c>
      <c r="L135" t="s">
        <v>1522</v>
      </c>
      <c r="M135" t="s">
        <v>1492</v>
      </c>
      <c r="N135" t="s">
        <v>1492</v>
      </c>
      <c r="O135" t="s">
        <v>1285</v>
      </c>
      <c r="P135" t="s">
        <v>1379</v>
      </c>
      <c r="Q135" t="s">
        <v>1285</v>
      </c>
      <c r="R135" t="s">
        <v>1379</v>
      </c>
      <c r="S135" t="s">
        <v>1285</v>
      </c>
      <c r="T135" t="s">
        <v>1379</v>
      </c>
      <c r="U135" t="s">
        <v>1285</v>
      </c>
      <c r="V135" t="s">
        <v>1379</v>
      </c>
      <c r="W135" t="s">
        <v>1285</v>
      </c>
      <c r="X135" t="s">
        <v>1372</v>
      </c>
      <c r="Y135" t="s">
        <v>1257</v>
      </c>
      <c r="Z135" t="s">
        <v>1257</v>
      </c>
      <c r="AA135" t="s">
        <v>1257</v>
      </c>
      <c r="AB135" t="s">
        <v>1257</v>
      </c>
      <c r="AC135" t="b">
        <v>0</v>
      </c>
      <c r="AD135" t="b">
        <v>0</v>
      </c>
      <c r="AE135" t="b">
        <v>0</v>
      </c>
      <c r="AF135" t="b">
        <v>0</v>
      </c>
      <c r="AG135" t="b">
        <v>0</v>
      </c>
      <c r="AH135" t="b">
        <v>0</v>
      </c>
      <c r="AI135" t="b">
        <v>0</v>
      </c>
      <c r="AJ135" t="b">
        <v>0</v>
      </c>
      <c r="AK135" t="b">
        <v>0</v>
      </c>
      <c r="AL135" t="b">
        <v>0</v>
      </c>
      <c r="AM135" t="b">
        <v>0</v>
      </c>
      <c r="AN135" t="b">
        <v>0</v>
      </c>
      <c r="AO135" t="b">
        <v>0</v>
      </c>
      <c r="AP135" t="b">
        <v>0</v>
      </c>
      <c r="AQ135" t="b">
        <v>0</v>
      </c>
      <c r="AR135" t="b">
        <v>0</v>
      </c>
      <c r="AS135" t="b">
        <v>0</v>
      </c>
      <c r="AT135" t="b">
        <v>0</v>
      </c>
      <c r="AU135" t="b">
        <v>1</v>
      </c>
      <c r="AV135" t="b">
        <v>1</v>
      </c>
      <c r="AW135" t="b">
        <v>1</v>
      </c>
      <c r="AX135" t="b">
        <v>1</v>
      </c>
      <c r="AY135" t="b">
        <v>1</v>
      </c>
      <c r="AZ135" t="b">
        <v>1</v>
      </c>
      <c r="BA135" t="b">
        <v>1</v>
      </c>
      <c r="BB135" t="b">
        <v>1</v>
      </c>
      <c r="BC135" t="b">
        <v>0</v>
      </c>
      <c r="BD135" t="b">
        <v>0</v>
      </c>
      <c r="BE135" t="b">
        <v>0</v>
      </c>
      <c r="BF135" t="b">
        <v>0</v>
      </c>
      <c r="BG135" t="b">
        <v>0</v>
      </c>
      <c r="BH135" t="b">
        <v>0</v>
      </c>
      <c r="BI135" t="b">
        <v>0</v>
      </c>
      <c r="BJ135" t="b">
        <v>0</v>
      </c>
      <c r="BK135" t="b">
        <v>0</v>
      </c>
      <c r="BL135" t="b">
        <v>0</v>
      </c>
      <c r="BM135" t="b">
        <v>0</v>
      </c>
      <c r="BN135" t="b">
        <v>0</v>
      </c>
      <c r="BO135" t="b">
        <v>0</v>
      </c>
      <c r="BP135" t="b">
        <v>0</v>
      </c>
      <c r="BQ135" t="b">
        <v>0</v>
      </c>
      <c r="BR135" t="b">
        <v>0</v>
      </c>
      <c r="BS135" t="b">
        <v>0</v>
      </c>
      <c r="BT135" t="b">
        <v>0</v>
      </c>
      <c r="BU135" t="b">
        <v>0</v>
      </c>
      <c r="BV135" t="b">
        <v>0</v>
      </c>
      <c r="BW135" t="b">
        <v>0</v>
      </c>
      <c r="BX135" t="b">
        <v>0</v>
      </c>
      <c r="BY135" t="b">
        <v>0</v>
      </c>
      <c r="BZ135" t="b">
        <v>0</v>
      </c>
      <c r="CA135" t="b">
        <v>0</v>
      </c>
      <c r="CB135" t="b">
        <v>0</v>
      </c>
      <c r="CC135" t="s">
        <v>1512</v>
      </c>
      <c r="CD135" t="s">
        <v>1492</v>
      </c>
      <c r="CE135" t="s">
        <v>1513</v>
      </c>
      <c r="CF135" t="s">
        <v>1495</v>
      </c>
      <c r="CG135" t="b">
        <v>1</v>
      </c>
      <c r="CH135">
        <v>0</v>
      </c>
      <c r="CI135" t="s">
        <v>1662</v>
      </c>
      <c r="CJ135" t="s">
        <v>1750</v>
      </c>
      <c r="CK135" t="s">
        <v>1251</v>
      </c>
      <c r="CL135" t="s">
        <v>1752</v>
      </c>
    </row>
    <row r="136" spans="1:90">
      <c r="A136">
        <v>426</v>
      </c>
      <c r="B136">
        <v>634</v>
      </c>
      <c r="C136" t="s">
        <v>1250</v>
      </c>
      <c r="D136">
        <v>1</v>
      </c>
      <c r="E136" t="s">
        <v>1492</v>
      </c>
      <c r="F136">
        <v>30</v>
      </c>
      <c r="G136">
        <v>1</v>
      </c>
      <c r="H136">
        <v>2</v>
      </c>
      <c r="I136" t="s">
        <v>1492</v>
      </c>
      <c r="J136" t="s">
        <v>1297</v>
      </c>
      <c r="K136" t="s">
        <v>15</v>
      </c>
      <c r="L136" t="s">
        <v>1511</v>
      </c>
      <c r="M136" t="s">
        <v>1492</v>
      </c>
      <c r="N136" t="s">
        <v>1492</v>
      </c>
      <c r="O136" t="s">
        <v>1285</v>
      </c>
      <c r="P136" t="s">
        <v>1379</v>
      </c>
      <c r="Q136" t="s">
        <v>1285</v>
      </c>
      <c r="R136" t="s">
        <v>1379</v>
      </c>
      <c r="S136" t="s">
        <v>1285</v>
      </c>
      <c r="T136" t="s">
        <v>1379</v>
      </c>
      <c r="U136" t="s">
        <v>1285</v>
      </c>
      <c r="V136" t="s">
        <v>1379</v>
      </c>
      <c r="W136" t="s">
        <v>1285</v>
      </c>
      <c r="X136" t="s">
        <v>1372</v>
      </c>
      <c r="Y136" t="s">
        <v>1257</v>
      </c>
      <c r="Z136" t="s">
        <v>1257</v>
      </c>
      <c r="AA136" t="s">
        <v>1257</v>
      </c>
      <c r="AB136" t="s">
        <v>1257</v>
      </c>
      <c r="AC136" t="b">
        <v>0</v>
      </c>
      <c r="AD136" t="b">
        <v>0</v>
      </c>
      <c r="AE136" t="b">
        <v>0</v>
      </c>
      <c r="AF136" t="b">
        <v>0</v>
      </c>
      <c r="AG136" t="b">
        <v>0</v>
      </c>
      <c r="AH136" t="b">
        <v>0</v>
      </c>
      <c r="AI136" t="b">
        <v>0</v>
      </c>
      <c r="AJ136" t="b">
        <v>0</v>
      </c>
      <c r="AK136" t="b">
        <v>0</v>
      </c>
      <c r="AL136" t="b">
        <v>0</v>
      </c>
      <c r="AM136" t="b">
        <v>0</v>
      </c>
      <c r="AN136" t="b">
        <v>0</v>
      </c>
      <c r="AO136" t="b">
        <v>0</v>
      </c>
      <c r="AP136" t="b">
        <v>0</v>
      </c>
      <c r="AQ136" t="b">
        <v>0</v>
      </c>
      <c r="AR136" t="b">
        <v>0</v>
      </c>
      <c r="AS136" t="b">
        <v>0</v>
      </c>
      <c r="AT136" t="b">
        <v>0</v>
      </c>
      <c r="AU136" t="b">
        <v>0</v>
      </c>
      <c r="AV136" t="b">
        <v>0</v>
      </c>
      <c r="AW136" t="b">
        <v>0</v>
      </c>
      <c r="AX136" t="b">
        <v>0</v>
      </c>
      <c r="AY136" t="b">
        <v>0</v>
      </c>
      <c r="AZ136" t="b">
        <v>0</v>
      </c>
      <c r="BA136" t="b">
        <v>0</v>
      </c>
      <c r="BB136" t="b">
        <v>0</v>
      </c>
      <c r="BC136" t="b">
        <v>0</v>
      </c>
      <c r="BD136" t="b">
        <v>0</v>
      </c>
      <c r="BE136" t="b">
        <v>0</v>
      </c>
      <c r="BF136" t="b">
        <v>0</v>
      </c>
      <c r="BG136" t="b">
        <v>0</v>
      </c>
      <c r="BH136" t="b">
        <v>0</v>
      </c>
      <c r="BI136" t="b">
        <v>0</v>
      </c>
      <c r="BJ136" t="b">
        <v>0</v>
      </c>
      <c r="BK136" t="b">
        <v>0</v>
      </c>
      <c r="BL136" t="b">
        <v>0</v>
      </c>
      <c r="BM136" t="b">
        <v>0</v>
      </c>
      <c r="BN136" t="b">
        <v>0</v>
      </c>
      <c r="BO136" t="b">
        <v>0</v>
      </c>
      <c r="BP136" t="b">
        <v>0</v>
      </c>
      <c r="BQ136" t="b">
        <v>1</v>
      </c>
      <c r="BR136" t="b">
        <v>1</v>
      </c>
      <c r="BS136" t="b">
        <v>1</v>
      </c>
      <c r="BT136" t="b">
        <v>1</v>
      </c>
      <c r="BU136" t="b">
        <v>1</v>
      </c>
      <c r="BV136" t="b">
        <v>1</v>
      </c>
      <c r="BW136" t="b">
        <v>1</v>
      </c>
      <c r="BX136" t="b">
        <v>1</v>
      </c>
      <c r="BY136" t="b">
        <v>0</v>
      </c>
      <c r="BZ136" t="b">
        <v>0</v>
      </c>
      <c r="CA136" t="b">
        <v>0</v>
      </c>
      <c r="CB136" t="b">
        <v>0</v>
      </c>
      <c r="CC136" t="s">
        <v>1512</v>
      </c>
      <c r="CD136" t="s">
        <v>1492</v>
      </c>
      <c r="CE136" t="s">
        <v>1513</v>
      </c>
      <c r="CF136" t="s">
        <v>1495</v>
      </c>
      <c r="CG136" t="b">
        <v>0</v>
      </c>
      <c r="CH136">
        <v>0</v>
      </c>
      <c r="CI136" t="s">
        <v>1662</v>
      </c>
      <c r="CJ136" t="s">
        <v>1753</v>
      </c>
      <c r="CK136" t="s">
        <v>1251</v>
      </c>
      <c r="CL136" t="s">
        <v>1754</v>
      </c>
    </row>
    <row r="137" spans="1:90">
      <c r="A137">
        <v>425</v>
      </c>
      <c r="B137">
        <v>634</v>
      </c>
      <c r="C137" t="s">
        <v>1250</v>
      </c>
      <c r="D137">
        <v>2</v>
      </c>
      <c r="E137" t="s">
        <v>1492</v>
      </c>
      <c r="F137">
        <v>30</v>
      </c>
      <c r="G137">
        <v>1</v>
      </c>
      <c r="H137">
        <v>2</v>
      </c>
      <c r="I137" t="s">
        <v>1492</v>
      </c>
      <c r="J137" t="s">
        <v>1297</v>
      </c>
      <c r="K137" t="s">
        <v>15</v>
      </c>
      <c r="L137" t="s">
        <v>1511</v>
      </c>
      <c r="M137" t="s">
        <v>1492</v>
      </c>
      <c r="N137" t="s">
        <v>1492</v>
      </c>
      <c r="O137" t="s">
        <v>1285</v>
      </c>
      <c r="P137" t="s">
        <v>1379</v>
      </c>
      <c r="Q137" t="s">
        <v>1285</v>
      </c>
      <c r="R137" t="s">
        <v>1379</v>
      </c>
      <c r="S137" t="s">
        <v>1285</v>
      </c>
      <c r="T137" t="s">
        <v>1379</v>
      </c>
      <c r="U137" t="s">
        <v>1285</v>
      </c>
      <c r="V137" t="s">
        <v>1379</v>
      </c>
      <c r="W137" t="s">
        <v>1285</v>
      </c>
      <c r="X137" t="s">
        <v>1372</v>
      </c>
      <c r="Y137" t="s">
        <v>1257</v>
      </c>
      <c r="Z137" t="s">
        <v>1257</v>
      </c>
      <c r="AA137" t="s">
        <v>1257</v>
      </c>
      <c r="AB137" t="s">
        <v>1257</v>
      </c>
      <c r="AC137" t="b">
        <v>0</v>
      </c>
      <c r="AD137" t="b">
        <v>0</v>
      </c>
      <c r="AE137" t="b">
        <v>0</v>
      </c>
      <c r="AF137" t="b">
        <v>0</v>
      </c>
      <c r="AG137" t="b">
        <v>0</v>
      </c>
      <c r="AH137" t="b">
        <v>0</v>
      </c>
      <c r="AI137" t="b">
        <v>0</v>
      </c>
      <c r="AJ137" t="b">
        <v>0</v>
      </c>
      <c r="AK137" t="b">
        <v>0</v>
      </c>
      <c r="AL137" t="b">
        <v>0</v>
      </c>
      <c r="AM137" t="b">
        <v>0</v>
      </c>
      <c r="AN137" t="b">
        <v>0</v>
      </c>
      <c r="AO137" t="b">
        <v>0</v>
      </c>
      <c r="AP137" t="b">
        <v>0</v>
      </c>
      <c r="AQ137" t="b">
        <v>0</v>
      </c>
      <c r="AR137" t="b">
        <v>0</v>
      </c>
      <c r="AS137" t="b">
        <v>0</v>
      </c>
      <c r="AT137" t="b">
        <v>0</v>
      </c>
      <c r="AU137" t="b">
        <v>0</v>
      </c>
      <c r="AV137" t="b">
        <v>0</v>
      </c>
      <c r="AW137" t="b">
        <v>0</v>
      </c>
      <c r="AX137" t="b">
        <v>0</v>
      </c>
      <c r="AY137" t="b">
        <v>0</v>
      </c>
      <c r="AZ137" t="b">
        <v>0</v>
      </c>
      <c r="BA137" t="b">
        <v>0</v>
      </c>
      <c r="BB137" t="b">
        <v>0</v>
      </c>
      <c r="BC137" t="b">
        <v>0</v>
      </c>
      <c r="BD137" t="b">
        <v>0</v>
      </c>
      <c r="BE137" t="b">
        <v>0</v>
      </c>
      <c r="BF137" t="b">
        <v>0</v>
      </c>
      <c r="BG137" t="b">
        <v>0</v>
      </c>
      <c r="BH137" t="b">
        <v>0</v>
      </c>
      <c r="BI137" t="b">
        <v>0</v>
      </c>
      <c r="BJ137" t="b">
        <v>0</v>
      </c>
      <c r="BK137" t="b">
        <v>0</v>
      </c>
      <c r="BL137" t="b">
        <v>0</v>
      </c>
      <c r="BM137" t="b">
        <v>0</v>
      </c>
      <c r="BN137" t="b">
        <v>0</v>
      </c>
      <c r="BO137" t="b">
        <v>0</v>
      </c>
      <c r="BP137" t="b">
        <v>0</v>
      </c>
      <c r="BQ137" t="b">
        <v>1</v>
      </c>
      <c r="BR137" t="b">
        <v>1</v>
      </c>
      <c r="BS137" t="b">
        <v>1</v>
      </c>
      <c r="BT137" t="b">
        <v>1</v>
      </c>
      <c r="BU137" t="b">
        <v>1</v>
      </c>
      <c r="BV137" t="b">
        <v>1</v>
      </c>
      <c r="BW137" t="b">
        <v>1</v>
      </c>
      <c r="BX137" t="b">
        <v>1</v>
      </c>
      <c r="BY137" t="b">
        <v>0</v>
      </c>
      <c r="BZ137" t="b">
        <v>0</v>
      </c>
      <c r="CA137" t="b">
        <v>0</v>
      </c>
      <c r="CB137" t="b">
        <v>0</v>
      </c>
      <c r="CC137" t="s">
        <v>1512</v>
      </c>
      <c r="CD137" t="s">
        <v>1492</v>
      </c>
      <c r="CE137" t="s">
        <v>1513</v>
      </c>
      <c r="CF137" t="s">
        <v>1495</v>
      </c>
      <c r="CG137" t="b">
        <v>0</v>
      </c>
      <c r="CH137">
        <v>0</v>
      </c>
      <c r="CI137" t="s">
        <v>1662</v>
      </c>
      <c r="CJ137" t="s">
        <v>1753</v>
      </c>
      <c r="CK137" t="s">
        <v>1251</v>
      </c>
      <c r="CL137" t="s">
        <v>1755</v>
      </c>
    </row>
    <row r="138" spans="1:90">
      <c r="A138">
        <v>469</v>
      </c>
      <c r="B138">
        <v>100002</v>
      </c>
      <c r="C138" t="s">
        <v>1250</v>
      </c>
      <c r="D138">
        <v>1</v>
      </c>
      <c r="E138" t="s">
        <v>1492</v>
      </c>
      <c r="F138">
        <v>30</v>
      </c>
      <c r="G138">
        <v>1</v>
      </c>
      <c r="H138">
        <v>2</v>
      </c>
      <c r="I138" t="s">
        <v>1492</v>
      </c>
      <c r="J138" t="s">
        <v>1297</v>
      </c>
      <c r="K138" t="s">
        <v>15</v>
      </c>
      <c r="L138" t="s">
        <v>1511</v>
      </c>
      <c r="M138" t="s">
        <v>1492</v>
      </c>
      <c r="N138" t="s">
        <v>1492</v>
      </c>
      <c r="O138" t="s">
        <v>1285</v>
      </c>
      <c r="P138" t="s">
        <v>1379</v>
      </c>
      <c r="Q138" t="s">
        <v>1285</v>
      </c>
      <c r="R138" t="s">
        <v>1379</v>
      </c>
      <c r="S138" t="s">
        <v>1285</v>
      </c>
      <c r="T138" t="s">
        <v>1379</v>
      </c>
      <c r="U138" t="s">
        <v>1285</v>
      </c>
      <c r="V138" t="s">
        <v>1379</v>
      </c>
      <c r="W138" t="s">
        <v>1285</v>
      </c>
      <c r="X138" t="s">
        <v>1372</v>
      </c>
      <c r="Y138" t="s">
        <v>1257</v>
      </c>
      <c r="Z138" t="s">
        <v>1257</v>
      </c>
      <c r="AA138" t="s">
        <v>1257</v>
      </c>
      <c r="AB138" t="s">
        <v>1257</v>
      </c>
      <c r="AC138" t="b">
        <v>0</v>
      </c>
      <c r="AD138" t="b">
        <v>0</v>
      </c>
      <c r="AE138" t="b">
        <v>0</v>
      </c>
      <c r="AF138" t="b">
        <v>0</v>
      </c>
      <c r="AG138" t="b">
        <v>0</v>
      </c>
      <c r="AH138" t="b">
        <v>0</v>
      </c>
      <c r="AI138" t="b">
        <v>0</v>
      </c>
      <c r="AJ138" t="b">
        <v>0</v>
      </c>
      <c r="AK138" t="b">
        <v>0</v>
      </c>
      <c r="AL138" t="b">
        <v>0</v>
      </c>
      <c r="AM138" t="b">
        <v>0</v>
      </c>
      <c r="AN138" t="b">
        <v>0</v>
      </c>
      <c r="AO138" t="b">
        <v>0</v>
      </c>
      <c r="AP138" t="b">
        <v>0</v>
      </c>
      <c r="AQ138" t="b">
        <v>0</v>
      </c>
      <c r="AR138" t="b">
        <v>0</v>
      </c>
      <c r="AS138" t="b">
        <v>0</v>
      </c>
      <c r="AT138" t="b">
        <v>0</v>
      </c>
      <c r="AU138" t="b">
        <v>0</v>
      </c>
      <c r="AV138" t="b">
        <v>0</v>
      </c>
      <c r="AW138" t="b">
        <v>0</v>
      </c>
      <c r="AX138" t="b">
        <v>0</v>
      </c>
      <c r="AY138" t="b">
        <v>0</v>
      </c>
      <c r="AZ138" t="b">
        <v>0</v>
      </c>
      <c r="BA138" t="b">
        <v>0</v>
      </c>
      <c r="BB138" t="b">
        <v>0</v>
      </c>
      <c r="BC138" t="b">
        <v>0</v>
      </c>
      <c r="BD138" t="b">
        <v>0</v>
      </c>
      <c r="BE138" t="b">
        <v>0</v>
      </c>
      <c r="BF138" t="b">
        <v>0</v>
      </c>
      <c r="BG138" t="b">
        <v>0</v>
      </c>
      <c r="BH138" t="b">
        <v>0</v>
      </c>
      <c r="BI138" t="b">
        <v>0</v>
      </c>
      <c r="BJ138" t="b">
        <v>0</v>
      </c>
      <c r="BK138" t="b">
        <v>0</v>
      </c>
      <c r="BL138" t="b">
        <v>0</v>
      </c>
      <c r="BM138" t="b">
        <v>0</v>
      </c>
      <c r="BN138" t="b">
        <v>0</v>
      </c>
      <c r="BO138" t="b">
        <v>0</v>
      </c>
      <c r="BP138" t="b">
        <v>0</v>
      </c>
      <c r="BQ138" t="b">
        <v>0</v>
      </c>
      <c r="BR138" t="b">
        <v>0</v>
      </c>
      <c r="BS138" t="b">
        <v>0</v>
      </c>
      <c r="BT138" t="b">
        <v>0</v>
      </c>
      <c r="BU138" t="b">
        <v>0</v>
      </c>
      <c r="BV138" t="b">
        <v>0</v>
      </c>
      <c r="BW138" t="b">
        <v>0</v>
      </c>
      <c r="BX138" t="b">
        <v>0</v>
      </c>
      <c r="BY138" t="b">
        <v>0</v>
      </c>
      <c r="BZ138" t="b">
        <v>0</v>
      </c>
      <c r="CA138" t="b">
        <v>0</v>
      </c>
      <c r="CB138" t="b">
        <v>0</v>
      </c>
      <c r="CC138" t="s">
        <v>1253</v>
      </c>
      <c r="CD138" t="s">
        <v>1492</v>
      </c>
      <c r="CE138" t="s">
        <v>1518</v>
      </c>
      <c r="CF138" t="s">
        <v>1495</v>
      </c>
      <c r="CG138" t="b">
        <v>0</v>
      </c>
      <c r="CH138">
        <v>0</v>
      </c>
      <c r="CI138" t="s">
        <v>1662</v>
      </c>
      <c r="CJ138" t="s">
        <v>1756</v>
      </c>
      <c r="CK138" t="s">
        <v>1251</v>
      </c>
      <c r="CL138" t="s">
        <v>1757</v>
      </c>
    </row>
    <row r="139" spans="1:90">
      <c r="A139">
        <v>470</v>
      </c>
      <c r="B139">
        <v>100002</v>
      </c>
      <c r="C139" t="s">
        <v>1250</v>
      </c>
      <c r="D139">
        <v>2</v>
      </c>
      <c r="E139" t="s">
        <v>1492</v>
      </c>
      <c r="F139">
        <v>30</v>
      </c>
      <c r="G139">
        <v>1</v>
      </c>
      <c r="H139">
        <v>2</v>
      </c>
      <c r="I139" t="s">
        <v>1492</v>
      </c>
      <c r="J139" t="s">
        <v>1297</v>
      </c>
      <c r="K139" t="s">
        <v>15</v>
      </c>
      <c r="L139" t="s">
        <v>1511</v>
      </c>
      <c r="M139" t="s">
        <v>1492</v>
      </c>
      <c r="N139" t="s">
        <v>1492</v>
      </c>
      <c r="O139" t="s">
        <v>1285</v>
      </c>
      <c r="P139" t="s">
        <v>1379</v>
      </c>
      <c r="Q139" t="s">
        <v>1285</v>
      </c>
      <c r="R139" t="s">
        <v>1379</v>
      </c>
      <c r="S139" t="s">
        <v>1285</v>
      </c>
      <c r="T139" t="s">
        <v>1379</v>
      </c>
      <c r="U139" t="s">
        <v>1285</v>
      </c>
      <c r="V139" t="s">
        <v>1379</v>
      </c>
      <c r="W139" t="s">
        <v>1285</v>
      </c>
      <c r="X139" t="s">
        <v>1372</v>
      </c>
      <c r="Y139" t="s">
        <v>1257</v>
      </c>
      <c r="Z139" t="s">
        <v>1257</v>
      </c>
      <c r="AA139" t="s">
        <v>1257</v>
      </c>
      <c r="AB139" t="s">
        <v>1257</v>
      </c>
      <c r="AC139" t="b">
        <v>0</v>
      </c>
      <c r="AD139" t="b">
        <v>0</v>
      </c>
      <c r="AE139" t="b">
        <v>0</v>
      </c>
      <c r="AF139" t="b">
        <v>0</v>
      </c>
      <c r="AG139" t="b">
        <v>0</v>
      </c>
      <c r="AH139" t="b">
        <v>0</v>
      </c>
      <c r="AI139" t="b">
        <v>0</v>
      </c>
      <c r="AJ139" t="b">
        <v>0</v>
      </c>
      <c r="AK139" t="b">
        <v>0</v>
      </c>
      <c r="AL139" t="b">
        <v>0</v>
      </c>
      <c r="AM139" t="b">
        <v>0</v>
      </c>
      <c r="AN139" t="b">
        <v>0</v>
      </c>
      <c r="AO139" t="b">
        <v>0</v>
      </c>
      <c r="AP139" t="b">
        <v>0</v>
      </c>
      <c r="AQ139" t="b">
        <v>0</v>
      </c>
      <c r="AR139" t="b">
        <v>0</v>
      </c>
      <c r="AS139" t="b">
        <v>0</v>
      </c>
      <c r="AT139" t="b">
        <v>0</v>
      </c>
      <c r="AU139" t="b">
        <v>0</v>
      </c>
      <c r="AV139" t="b">
        <v>0</v>
      </c>
      <c r="AW139" t="b">
        <v>0</v>
      </c>
      <c r="AX139" t="b">
        <v>0</v>
      </c>
      <c r="AY139" t="b">
        <v>0</v>
      </c>
      <c r="AZ139" t="b">
        <v>0</v>
      </c>
      <c r="BA139" t="b">
        <v>0</v>
      </c>
      <c r="BB139" t="b">
        <v>0</v>
      </c>
      <c r="BC139" t="b">
        <v>0</v>
      </c>
      <c r="BD139" t="b">
        <v>0</v>
      </c>
      <c r="BE139" t="b">
        <v>0</v>
      </c>
      <c r="BF139" t="b">
        <v>0</v>
      </c>
      <c r="BG139" t="b">
        <v>0</v>
      </c>
      <c r="BH139" t="b">
        <v>0</v>
      </c>
      <c r="BI139" t="b">
        <v>0</v>
      </c>
      <c r="BJ139" t="b">
        <v>0</v>
      </c>
      <c r="BK139" t="b">
        <v>0</v>
      </c>
      <c r="BL139" t="b">
        <v>0</v>
      </c>
      <c r="BM139" t="b">
        <v>0</v>
      </c>
      <c r="BN139" t="b">
        <v>0</v>
      </c>
      <c r="BO139" t="b">
        <v>0</v>
      </c>
      <c r="BP139" t="b">
        <v>0</v>
      </c>
      <c r="BQ139" t="b">
        <v>0</v>
      </c>
      <c r="BR139" t="b">
        <v>0</v>
      </c>
      <c r="BS139" t="b">
        <v>0</v>
      </c>
      <c r="BT139" t="b">
        <v>0</v>
      </c>
      <c r="BU139" t="b">
        <v>0</v>
      </c>
      <c r="BV139" t="b">
        <v>0</v>
      </c>
      <c r="BW139" t="b">
        <v>0</v>
      </c>
      <c r="BX139" t="b">
        <v>0</v>
      </c>
      <c r="BY139" t="b">
        <v>0</v>
      </c>
      <c r="BZ139" t="b">
        <v>0</v>
      </c>
      <c r="CA139" t="b">
        <v>0</v>
      </c>
      <c r="CB139" t="b">
        <v>0</v>
      </c>
      <c r="CC139" t="s">
        <v>1253</v>
      </c>
      <c r="CD139" t="s">
        <v>1492</v>
      </c>
      <c r="CE139" t="s">
        <v>1518</v>
      </c>
      <c r="CF139" t="s">
        <v>1495</v>
      </c>
      <c r="CG139" t="b">
        <v>0</v>
      </c>
      <c r="CH139">
        <v>0</v>
      </c>
      <c r="CI139" t="s">
        <v>1662</v>
      </c>
      <c r="CJ139" t="s">
        <v>1756</v>
      </c>
      <c r="CK139" t="s">
        <v>1251</v>
      </c>
      <c r="CL139" t="s">
        <v>1758</v>
      </c>
    </row>
    <row r="140" spans="1:90">
      <c r="A140">
        <v>428</v>
      </c>
      <c r="B140">
        <v>635</v>
      </c>
      <c r="C140" t="s">
        <v>1250</v>
      </c>
      <c r="D140">
        <v>1</v>
      </c>
      <c r="E140" t="s">
        <v>1492</v>
      </c>
      <c r="F140">
        <v>12</v>
      </c>
      <c r="G140">
        <v>1</v>
      </c>
      <c r="H140">
        <v>2</v>
      </c>
      <c r="I140" t="s">
        <v>564</v>
      </c>
      <c r="J140" t="s">
        <v>1297</v>
      </c>
      <c r="K140" t="s">
        <v>16</v>
      </c>
      <c r="L140" t="s">
        <v>1522</v>
      </c>
      <c r="M140" t="s">
        <v>1492</v>
      </c>
      <c r="N140" t="s">
        <v>1492</v>
      </c>
      <c r="O140" t="s">
        <v>1302</v>
      </c>
      <c r="P140" t="s">
        <v>1379</v>
      </c>
      <c r="Q140" t="s">
        <v>1302</v>
      </c>
      <c r="R140" t="s">
        <v>1379</v>
      </c>
      <c r="S140" t="s">
        <v>1302</v>
      </c>
      <c r="T140" t="s">
        <v>1379</v>
      </c>
      <c r="U140" t="s">
        <v>1302</v>
      </c>
      <c r="V140" t="s">
        <v>1379</v>
      </c>
      <c r="W140" t="s">
        <v>1302</v>
      </c>
      <c r="X140" t="s">
        <v>1372</v>
      </c>
      <c r="Y140" t="s">
        <v>1257</v>
      </c>
      <c r="Z140" t="s">
        <v>1257</v>
      </c>
      <c r="AA140" t="s">
        <v>1257</v>
      </c>
      <c r="AB140" t="s">
        <v>1257</v>
      </c>
      <c r="AC140" t="b">
        <v>0</v>
      </c>
      <c r="AD140" t="b">
        <v>0</v>
      </c>
      <c r="AE140" t="b">
        <v>0</v>
      </c>
      <c r="AF140" t="b">
        <v>0</v>
      </c>
      <c r="AG140" t="b">
        <v>0</v>
      </c>
      <c r="AH140" t="b">
        <v>0</v>
      </c>
      <c r="AI140" t="b">
        <v>0</v>
      </c>
      <c r="AJ140" t="b">
        <v>0</v>
      </c>
      <c r="AK140" t="b">
        <v>0</v>
      </c>
      <c r="AL140" t="b">
        <v>0</v>
      </c>
      <c r="AM140" t="b">
        <v>0</v>
      </c>
      <c r="AN140" t="b">
        <v>0</v>
      </c>
      <c r="AO140" t="b">
        <v>0</v>
      </c>
      <c r="AP140" t="b">
        <v>0</v>
      </c>
      <c r="AQ140" t="b">
        <v>0</v>
      </c>
      <c r="AR140" t="b">
        <v>0</v>
      </c>
      <c r="AS140" t="b">
        <v>0</v>
      </c>
      <c r="AT140" t="b">
        <v>0</v>
      </c>
      <c r="AU140" t="b">
        <v>0</v>
      </c>
      <c r="AV140" t="b">
        <v>0</v>
      </c>
      <c r="AW140" t="b">
        <v>0</v>
      </c>
      <c r="AX140" t="b">
        <v>0</v>
      </c>
      <c r="AY140" t="b">
        <v>0</v>
      </c>
      <c r="AZ140" t="b">
        <v>0</v>
      </c>
      <c r="BA140" t="b">
        <v>0</v>
      </c>
      <c r="BB140" t="b">
        <v>0</v>
      </c>
      <c r="BC140" t="b">
        <v>0</v>
      </c>
      <c r="BD140" t="b">
        <v>0</v>
      </c>
      <c r="BE140" t="b">
        <v>0</v>
      </c>
      <c r="BF140" t="b">
        <v>0</v>
      </c>
      <c r="BG140" t="b">
        <v>0</v>
      </c>
      <c r="BH140" t="b">
        <v>0</v>
      </c>
      <c r="BI140" t="b">
        <v>0</v>
      </c>
      <c r="BJ140" t="b">
        <v>0</v>
      </c>
      <c r="BK140" t="b">
        <v>0</v>
      </c>
      <c r="BL140" t="b">
        <v>0</v>
      </c>
      <c r="BM140" t="b">
        <v>0</v>
      </c>
      <c r="BN140" t="b">
        <v>0</v>
      </c>
      <c r="BO140" t="b">
        <v>0</v>
      </c>
      <c r="BP140" t="b">
        <v>0</v>
      </c>
      <c r="BQ140" t="b">
        <v>1</v>
      </c>
      <c r="BR140" t="b">
        <v>1</v>
      </c>
      <c r="BS140" t="b">
        <v>1</v>
      </c>
      <c r="BT140" t="b">
        <v>1</v>
      </c>
      <c r="BU140" t="b">
        <v>1</v>
      </c>
      <c r="BV140" t="b">
        <v>1</v>
      </c>
      <c r="BW140" t="b">
        <v>1</v>
      </c>
      <c r="BX140" t="b">
        <v>1</v>
      </c>
      <c r="BY140" t="b">
        <v>0</v>
      </c>
      <c r="BZ140" t="b">
        <v>0</v>
      </c>
      <c r="CA140" t="b">
        <v>0</v>
      </c>
      <c r="CB140" t="b">
        <v>0</v>
      </c>
      <c r="CC140" t="s">
        <v>1512</v>
      </c>
      <c r="CD140" t="s">
        <v>1492</v>
      </c>
      <c r="CE140" t="s">
        <v>1518</v>
      </c>
      <c r="CF140" t="s">
        <v>1495</v>
      </c>
      <c r="CG140" t="b">
        <v>0</v>
      </c>
      <c r="CH140">
        <v>0</v>
      </c>
      <c r="CI140" t="s">
        <v>1662</v>
      </c>
      <c r="CJ140" t="s">
        <v>1759</v>
      </c>
      <c r="CK140" t="s">
        <v>1251</v>
      </c>
      <c r="CL140" t="s">
        <v>1760</v>
      </c>
    </row>
    <row r="141" spans="1:90">
      <c r="A141">
        <v>427</v>
      </c>
      <c r="B141">
        <v>635</v>
      </c>
      <c r="C141" t="s">
        <v>1250</v>
      </c>
      <c r="D141">
        <v>2</v>
      </c>
      <c r="E141" t="s">
        <v>1492</v>
      </c>
      <c r="F141">
        <v>12</v>
      </c>
      <c r="G141">
        <v>1</v>
      </c>
      <c r="H141">
        <v>2</v>
      </c>
      <c r="I141" t="s">
        <v>564</v>
      </c>
      <c r="J141" t="s">
        <v>1297</v>
      </c>
      <c r="K141" t="s">
        <v>16</v>
      </c>
      <c r="L141" t="s">
        <v>1522</v>
      </c>
      <c r="M141" t="s">
        <v>1492</v>
      </c>
      <c r="N141" t="s">
        <v>1492</v>
      </c>
      <c r="O141" t="s">
        <v>1302</v>
      </c>
      <c r="P141" t="s">
        <v>1379</v>
      </c>
      <c r="Q141" t="s">
        <v>1302</v>
      </c>
      <c r="R141" t="s">
        <v>1379</v>
      </c>
      <c r="S141" t="s">
        <v>1302</v>
      </c>
      <c r="T141" t="s">
        <v>1379</v>
      </c>
      <c r="U141" t="s">
        <v>1302</v>
      </c>
      <c r="V141" t="s">
        <v>1379</v>
      </c>
      <c r="W141" t="s">
        <v>1302</v>
      </c>
      <c r="X141" t="s">
        <v>1372</v>
      </c>
      <c r="Y141" t="s">
        <v>1257</v>
      </c>
      <c r="Z141" t="s">
        <v>1257</v>
      </c>
      <c r="AA141" t="s">
        <v>1257</v>
      </c>
      <c r="AB141" t="s">
        <v>1257</v>
      </c>
      <c r="AC141" t="b">
        <v>0</v>
      </c>
      <c r="AD141" t="b">
        <v>0</v>
      </c>
      <c r="AE141" t="b">
        <v>0</v>
      </c>
      <c r="AF141" t="b">
        <v>0</v>
      </c>
      <c r="AG141" t="b">
        <v>0</v>
      </c>
      <c r="AH141" t="b">
        <v>0</v>
      </c>
      <c r="AI141" t="b">
        <v>0</v>
      </c>
      <c r="AJ141" t="b">
        <v>0</v>
      </c>
      <c r="AK141" t="b">
        <v>0</v>
      </c>
      <c r="AL141" t="b">
        <v>0</v>
      </c>
      <c r="AM141" t="b">
        <v>0</v>
      </c>
      <c r="AN141" t="b">
        <v>0</v>
      </c>
      <c r="AO141" t="b">
        <v>0</v>
      </c>
      <c r="AP141" t="b">
        <v>0</v>
      </c>
      <c r="AQ141" t="b">
        <v>0</v>
      </c>
      <c r="AR141" t="b">
        <v>0</v>
      </c>
      <c r="AS141" t="b">
        <v>0</v>
      </c>
      <c r="AT141" t="b">
        <v>0</v>
      </c>
      <c r="AU141" t="b">
        <v>0</v>
      </c>
      <c r="AV141" t="b">
        <v>0</v>
      </c>
      <c r="AW141" t="b">
        <v>0</v>
      </c>
      <c r="AX141" t="b">
        <v>0</v>
      </c>
      <c r="AY141" t="b">
        <v>0</v>
      </c>
      <c r="AZ141" t="b">
        <v>0</v>
      </c>
      <c r="BA141" t="b">
        <v>0</v>
      </c>
      <c r="BB141" t="b">
        <v>0</v>
      </c>
      <c r="BC141" t="b">
        <v>0</v>
      </c>
      <c r="BD141" t="b">
        <v>0</v>
      </c>
      <c r="BE141" t="b">
        <v>0</v>
      </c>
      <c r="BF141" t="b">
        <v>0</v>
      </c>
      <c r="BG141" t="b">
        <v>0</v>
      </c>
      <c r="BH141" t="b">
        <v>0</v>
      </c>
      <c r="BI141" t="b">
        <v>0</v>
      </c>
      <c r="BJ141" t="b">
        <v>0</v>
      </c>
      <c r="BK141" t="b">
        <v>0</v>
      </c>
      <c r="BL141" t="b">
        <v>0</v>
      </c>
      <c r="BM141" t="b">
        <v>0</v>
      </c>
      <c r="BN141" t="b">
        <v>0</v>
      </c>
      <c r="BO141" t="b">
        <v>0</v>
      </c>
      <c r="BP141" t="b">
        <v>0</v>
      </c>
      <c r="BQ141" t="b">
        <v>1</v>
      </c>
      <c r="BR141" t="b">
        <v>1</v>
      </c>
      <c r="BS141" t="b">
        <v>1</v>
      </c>
      <c r="BT141" t="b">
        <v>1</v>
      </c>
      <c r="BU141" t="b">
        <v>1</v>
      </c>
      <c r="BV141" t="b">
        <v>1</v>
      </c>
      <c r="BW141" t="b">
        <v>1</v>
      </c>
      <c r="BX141" t="b">
        <v>1</v>
      </c>
      <c r="BY141" t="b">
        <v>0</v>
      </c>
      <c r="BZ141" t="b">
        <v>0</v>
      </c>
      <c r="CA141" t="b">
        <v>0</v>
      </c>
      <c r="CB141" t="b">
        <v>0</v>
      </c>
      <c r="CC141" t="s">
        <v>1512</v>
      </c>
      <c r="CD141" t="s">
        <v>1492</v>
      </c>
      <c r="CE141" t="s">
        <v>1518</v>
      </c>
      <c r="CF141" t="s">
        <v>1495</v>
      </c>
      <c r="CG141" t="b">
        <v>0</v>
      </c>
      <c r="CH141">
        <v>0</v>
      </c>
      <c r="CI141" t="s">
        <v>1662</v>
      </c>
      <c r="CJ141" t="s">
        <v>1759</v>
      </c>
      <c r="CK141" t="s">
        <v>1251</v>
      </c>
      <c r="CL141" t="s">
        <v>1761</v>
      </c>
    </row>
    <row r="142" spans="1:90">
      <c r="A142">
        <v>326</v>
      </c>
      <c r="B142">
        <v>474</v>
      </c>
      <c r="C142" t="s">
        <v>1328</v>
      </c>
      <c r="D142">
        <v>1</v>
      </c>
      <c r="E142" t="s">
        <v>1492</v>
      </c>
      <c r="F142">
        <v>28</v>
      </c>
      <c r="G142">
        <v>1</v>
      </c>
      <c r="H142">
        <v>2</v>
      </c>
      <c r="I142" t="s">
        <v>844</v>
      </c>
      <c r="J142" t="s">
        <v>1297</v>
      </c>
      <c r="K142" t="s">
        <v>15</v>
      </c>
      <c r="L142" t="s">
        <v>1511</v>
      </c>
      <c r="M142" t="s">
        <v>1576</v>
      </c>
      <c r="N142" t="s">
        <v>1492</v>
      </c>
      <c r="O142" t="s">
        <v>1302</v>
      </c>
      <c r="P142" t="s">
        <v>1379</v>
      </c>
      <c r="Q142" t="s">
        <v>1302</v>
      </c>
      <c r="R142" t="s">
        <v>1379</v>
      </c>
      <c r="S142" t="s">
        <v>1302</v>
      </c>
      <c r="T142" t="s">
        <v>1379</v>
      </c>
      <c r="U142" t="s">
        <v>1302</v>
      </c>
      <c r="V142" t="s">
        <v>1379</v>
      </c>
      <c r="W142" t="s">
        <v>1302</v>
      </c>
      <c r="X142" t="s">
        <v>1372</v>
      </c>
      <c r="Y142" t="s">
        <v>1257</v>
      </c>
      <c r="Z142" t="s">
        <v>1257</v>
      </c>
      <c r="AA142" t="s">
        <v>1257</v>
      </c>
      <c r="AB142" t="s">
        <v>1257</v>
      </c>
      <c r="AC142" t="b">
        <v>0</v>
      </c>
      <c r="AD142" t="b">
        <v>0</v>
      </c>
      <c r="AE142" t="b">
        <v>0</v>
      </c>
      <c r="AF142" t="b">
        <v>0</v>
      </c>
      <c r="AG142" t="b">
        <v>0</v>
      </c>
      <c r="AH142" t="b">
        <v>0</v>
      </c>
      <c r="AI142" t="b">
        <v>0</v>
      </c>
      <c r="AJ142" t="b">
        <v>0</v>
      </c>
      <c r="AK142" t="b">
        <v>0</v>
      </c>
      <c r="AL142" t="b">
        <v>0</v>
      </c>
      <c r="AM142" t="b">
        <v>0</v>
      </c>
      <c r="AN142" t="b">
        <v>0</v>
      </c>
      <c r="AO142" t="b">
        <v>0</v>
      </c>
      <c r="AP142" t="b">
        <v>0</v>
      </c>
      <c r="AQ142" t="b">
        <v>0</v>
      </c>
      <c r="AR142" t="b">
        <v>0</v>
      </c>
      <c r="AS142" t="b">
        <v>0</v>
      </c>
      <c r="AT142" t="b">
        <v>0</v>
      </c>
      <c r="AU142" t="b">
        <v>0</v>
      </c>
      <c r="AV142" t="b">
        <v>0</v>
      </c>
      <c r="AW142" t="b">
        <v>0</v>
      </c>
      <c r="AX142" t="b">
        <v>0</v>
      </c>
      <c r="AY142" t="b">
        <v>0</v>
      </c>
      <c r="AZ142" t="b">
        <v>0</v>
      </c>
      <c r="BA142" t="b">
        <v>0</v>
      </c>
      <c r="BB142" t="b">
        <v>0</v>
      </c>
      <c r="BC142" t="b">
        <v>0</v>
      </c>
      <c r="BD142" t="b">
        <v>0</v>
      </c>
      <c r="BE142" t="b">
        <v>0</v>
      </c>
      <c r="BF142" t="b">
        <v>0</v>
      </c>
      <c r="BG142" t="b">
        <v>0</v>
      </c>
      <c r="BH142" t="b">
        <v>0</v>
      </c>
      <c r="BI142" t="b">
        <v>0</v>
      </c>
      <c r="BJ142" t="b">
        <v>0</v>
      </c>
      <c r="BK142" t="b">
        <v>0</v>
      </c>
      <c r="BL142" t="b">
        <v>0</v>
      </c>
      <c r="BM142" t="b">
        <v>0</v>
      </c>
      <c r="BN142" t="b">
        <v>0</v>
      </c>
      <c r="BO142" t="b">
        <v>0</v>
      </c>
      <c r="BP142" t="b">
        <v>0</v>
      </c>
      <c r="BQ142" t="b">
        <v>1</v>
      </c>
      <c r="BR142" t="b">
        <v>1</v>
      </c>
      <c r="BS142" t="b">
        <v>1</v>
      </c>
      <c r="BT142" t="b">
        <v>1</v>
      </c>
      <c r="BU142" t="b">
        <v>1</v>
      </c>
      <c r="BV142" t="b">
        <v>1</v>
      </c>
      <c r="BW142" t="b">
        <v>1</v>
      </c>
      <c r="BX142" t="b">
        <v>1</v>
      </c>
      <c r="BY142" t="b">
        <v>1</v>
      </c>
      <c r="BZ142" t="b">
        <v>0</v>
      </c>
      <c r="CA142" t="b">
        <v>0</v>
      </c>
      <c r="CB142" t="b">
        <v>0</v>
      </c>
      <c r="CC142" t="s">
        <v>1512</v>
      </c>
      <c r="CD142" t="s">
        <v>1492</v>
      </c>
      <c r="CE142" t="s">
        <v>1513</v>
      </c>
      <c r="CF142" t="s">
        <v>1495</v>
      </c>
      <c r="CG142" t="b">
        <v>1</v>
      </c>
      <c r="CH142">
        <v>0</v>
      </c>
      <c r="CI142" t="s">
        <v>1762</v>
      </c>
      <c r="CJ142" t="s">
        <v>1763</v>
      </c>
      <c r="CK142" t="s">
        <v>1251</v>
      </c>
      <c r="CL142" t="s">
        <v>1764</v>
      </c>
    </row>
    <row r="143" spans="1:90">
      <c r="A143">
        <v>325</v>
      </c>
      <c r="B143">
        <v>474</v>
      </c>
      <c r="C143" t="s">
        <v>1250</v>
      </c>
      <c r="D143">
        <v>2</v>
      </c>
      <c r="E143" t="s">
        <v>1492</v>
      </c>
      <c r="F143">
        <v>28</v>
      </c>
      <c r="G143">
        <v>1</v>
      </c>
      <c r="H143">
        <v>2</v>
      </c>
      <c r="I143" t="s">
        <v>844</v>
      </c>
      <c r="J143" t="s">
        <v>1297</v>
      </c>
      <c r="K143" t="s">
        <v>15</v>
      </c>
      <c r="L143" t="s">
        <v>1511</v>
      </c>
      <c r="M143" t="s">
        <v>1576</v>
      </c>
      <c r="N143" t="s">
        <v>1492</v>
      </c>
      <c r="O143" t="s">
        <v>1302</v>
      </c>
      <c r="P143" t="s">
        <v>1379</v>
      </c>
      <c r="Q143" t="s">
        <v>1302</v>
      </c>
      <c r="R143" t="s">
        <v>1379</v>
      </c>
      <c r="S143" t="s">
        <v>1302</v>
      </c>
      <c r="T143" t="s">
        <v>1379</v>
      </c>
      <c r="U143" t="s">
        <v>1302</v>
      </c>
      <c r="V143" t="s">
        <v>1379</v>
      </c>
      <c r="W143" t="s">
        <v>1302</v>
      </c>
      <c r="X143" t="s">
        <v>1372</v>
      </c>
      <c r="Y143" t="s">
        <v>1257</v>
      </c>
      <c r="Z143" t="s">
        <v>1257</v>
      </c>
      <c r="AA143" t="s">
        <v>1257</v>
      </c>
      <c r="AB143" t="s">
        <v>1257</v>
      </c>
      <c r="AC143" t="b">
        <v>0</v>
      </c>
      <c r="AD143" t="b">
        <v>0</v>
      </c>
      <c r="AE143" t="b">
        <v>0</v>
      </c>
      <c r="AF143" t="b">
        <v>0</v>
      </c>
      <c r="AG143" t="b">
        <v>0</v>
      </c>
      <c r="AH143" t="b">
        <v>0</v>
      </c>
      <c r="AI143" t="b">
        <v>0</v>
      </c>
      <c r="AJ143" t="b">
        <v>0</v>
      </c>
      <c r="AK143" t="b">
        <v>0</v>
      </c>
      <c r="AL143" t="b">
        <v>0</v>
      </c>
      <c r="AM143" t="b">
        <v>0</v>
      </c>
      <c r="AN143" t="b">
        <v>0</v>
      </c>
      <c r="AO143" t="b">
        <v>0</v>
      </c>
      <c r="AP143" t="b">
        <v>0</v>
      </c>
      <c r="AQ143" t="b">
        <v>0</v>
      </c>
      <c r="AR143" t="b">
        <v>0</v>
      </c>
      <c r="AS143" t="b">
        <v>0</v>
      </c>
      <c r="AT143" t="b">
        <v>0</v>
      </c>
      <c r="AU143" t="b">
        <v>0</v>
      </c>
      <c r="AV143" t="b">
        <v>0</v>
      </c>
      <c r="AW143" t="b">
        <v>0</v>
      </c>
      <c r="AX143" t="b">
        <v>0</v>
      </c>
      <c r="AY143" t="b">
        <v>0</v>
      </c>
      <c r="AZ143" t="b">
        <v>0</v>
      </c>
      <c r="BA143" t="b">
        <v>0</v>
      </c>
      <c r="BB143" t="b">
        <v>0</v>
      </c>
      <c r="BC143" t="b">
        <v>0</v>
      </c>
      <c r="BD143" t="b">
        <v>0</v>
      </c>
      <c r="BE143" t="b">
        <v>0</v>
      </c>
      <c r="BF143" t="b">
        <v>0</v>
      </c>
      <c r="BG143" t="b">
        <v>0</v>
      </c>
      <c r="BH143" t="b">
        <v>0</v>
      </c>
      <c r="BI143" t="b">
        <v>0</v>
      </c>
      <c r="BJ143" t="b">
        <v>0</v>
      </c>
      <c r="BK143" t="b">
        <v>0</v>
      </c>
      <c r="BL143" t="b">
        <v>0</v>
      </c>
      <c r="BM143" t="b">
        <v>0</v>
      </c>
      <c r="BN143" t="b">
        <v>0</v>
      </c>
      <c r="BO143" t="b">
        <v>0</v>
      </c>
      <c r="BP143" t="b">
        <v>0</v>
      </c>
      <c r="BQ143" t="b">
        <v>1</v>
      </c>
      <c r="BR143" t="b">
        <v>1</v>
      </c>
      <c r="BS143" t="b">
        <v>1</v>
      </c>
      <c r="BT143" t="b">
        <v>1</v>
      </c>
      <c r="BU143" t="b">
        <v>1</v>
      </c>
      <c r="BV143" t="b">
        <v>1</v>
      </c>
      <c r="BW143" t="b">
        <v>1</v>
      </c>
      <c r="BX143" t="b">
        <v>1</v>
      </c>
      <c r="BY143" t="b">
        <v>1</v>
      </c>
      <c r="BZ143" t="b">
        <v>0</v>
      </c>
      <c r="CA143" t="b">
        <v>0</v>
      </c>
      <c r="CB143" t="b">
        <v>0</v>
      </c>
      <c r="CC143" t="s">
        <v>1512</v>
      </c>
      <c r="CD143" t="s">
        <v>1492</v>
      </c>
      <c r="CE143" t="s">
        <v>1513</v>
      </c>
      <c r="CF143" t="s">
        <v>1495</v>
      </c>
      <c r="CG143" t="b">
        <v>1</v>
      </c>
      <c r="CH143">
        <v>0</v>
      </c>
      <c r="CI143" t="s">
        <v>1762</v>
      </c>
      <c r="CJ143" t="s">
        <v>1763</v>
      </c>
      <c r="CK143" t="s">
        <v>1251</v>
      </c>
      <c r="CL143" t="s">
        <v>1765</v>
      </c>
    </row>
    <row r="144" spans="1:90">
      <c r="A144">
        <v>327</v>
      </c>
      <c r="B144">
        <v>475</v>
      </c>
      <c r="C144" t="s">
        <v>1250</v>
      </c>
      <c r="D144">
        <v>1</v>
      </c>
      <c r="E144" t="s">
        <v>1492</v>
      </c>
      <c r="F144">
        <v>5</v>
      </c>
      <c r="G144">
        <v>1</v>
      </c>
      <c r="H144">
        <v>2</v>
      </c>
      <c r="I144" t="s">
        <v>1492</v>
      </c>
      <c r="J144" t="s">
        <v>1297</v>
      </c>
      <c r="K144" t="s">
        <v>16</v>
      </c>
      <c r="L144" t="s">
        <v>1522</v>
      </c>
      <c r="M144" t="s">
        <v>1576</v>
      </c>
      <c r="N144" t="s">
        <v>1492</v>
      </c>
      <c r="O144" t="s">
        <v>1302</v>
      </c>
      <c r="P144" t="s">
        <v>1379</v>
      </c>
      <c r="Q144" t="s">
        <v>1302</v>
      </c>
      <c r="R144" t="s">
        <v>1379</v>
      </c>
      <c r="S144" t="s">
        <v>1302</v>
      </c>
      <c r="T144" t="s">
        <v>1379</v>
      </c>
      <c r="U144" t="s">
        <v>1302</v>
      </c>
      <c r="V144" t="s">
        <v>1379</v>
      </c>
      <c r="W144" t="s">
        <v>1302</v>
      </c>
      <c r="X144" t="s">
        <v>1372</v>
      </c>
      <c r="Y144" t="s">
        <v>1257</v>
      </c>
      <c r="Z144" t="s">
        <v>1257</v>
      </c>
      <c r="AA144" t="s">
        <v>1257</v>
      </c>
      <c r="AB144" t="s">
        <v>1257</v>
      </c>
      <c r="AC144" t="b">
        <v>0</v>
      </c>
      <c r="AD144" t="b">
        <v>0</v>
      </c>
      <c r="AE144" t="b">
        <v>0</v>
      </c>
      <c r="AF144" t="b">
        <v>0</v>
      </c>
      <c r="AG144" t="b">
        <v>0</v>
      </c>
      <c r="AH144" t="b">
        <v>0</v>
      </c>
      <c r="AI144" t="b">
        <v>0</v>
      </c>
      <c r="AJ144" t="b">
        <v>0</v>
      </c>
      <c r="AK144" t="b">
        <v>0</v>
      </c>
      <c r="AL144" t="b">
        <v>0</v>
      </c>
      <c r="AM144" t="b">
        <v>0</v>
      </c>
      <c r="AN144" t="b">
        <v>0</v>
      </c>
      <c r="AO144" t="b">
        <v>0</v>
      </c>
      <c r="AP144" t="b">
        <v>0</v>
      </c>
      <c r="AQ144" t="b">
        <v>0</v>
      </c>
      <c r="AR144" t="b">
        <v>0</v>
      </c>
      <c r="AS144" t="b">
        <v>0</v>
      </c>
      <c r="AT144" t="b">
        <v>0</v>
      </c>
      <c r="AU144" t="b">
        <v>0</v>
      </c>
      <c r="AV144" t="b">
        <v>0</v>
      </c>
      <c r="AW144" t="b">
        <v>0</v>
      </c>
      <c r="AX144" t="b">
        <v>0</v>
      </c>
      <c r="AY144" t="b">
        <v>0</v>
      </c>
      <c r="AZ144" t="b">
        <v>0</v>
      </c>
      <c r="BA144" t="b">
        <v>0</v>
      </c>
      <c r="BB144" t="b">
        <v>0</v>
      </c>
      <c r="BC144" t="b">
        <v>0</v>
      </c>
      <c r="BD144" t="b">
        <v>0</v>
      </c>
      <c r="BE144" t="b">
        <v>0</v>
      </c>
      <c r="BF144" t="b">
        <v>0</v>
      </c>
      <c r="BG144" t="b">
        <v>0</v>
      </c>
      <c r="BH144" t="b">
        <v>0</v>
      </c>
      <c r="BI144" t="b">
        <v>0</v>
      </c>
      <c r="BJ144" t="b">
        <v>0</v>
      </c>
      <c r="BK144" t="b">
        <v>0</v>
      </c>
      <c r="BL144" t="b">
        <v>0</v>
      </c>
      <c r="BM144" t="b">
        <v>0</v>
      </c>
      <c r="BN144" t="b">
        <v>0</v>
      </c>
      <c r="BO144" t="b">
        <v>0</v>
      </c>
      <c r="BP144" t="b">
        <v>0</v>
      </c>
      <c r="BQ144" t="b">
        <v>1</v>
      </c>
      <c r="BR144" t="b">
        <v>1</v>
      </c>
      <c r="BS144" t="b">
        <v>1</v>
      </c>
      <c r="BT144" t="b">
        <v>1</v>
      </c>
      <c r="BU144" t="b">
        <v>1</v>
      </c>
      <c r="BV144" t="b">
        <v>1</v>
      </c>
      <c r="BW144" t="b">
        <v>1</v>
      </c>
      <c r="BX144" t="b">
        <v>1</v>
      </c>
      <c r="BY144" t="b">
        <v>1</v>
      </c>
      <c r="BZ144" t="b">
        <v>0</v>
      </c>
      <c r="CA144" t="b">
        <v>0</v>
      </c>
      <c r="CB144" t="b">
        <v>0</v>
      </c>
      <c r="CC144" t="s">
        <v>1512</v>
      </c>
      <c r="CD144" t="s">
        <v>1492</v>
      </c>
      <c r="CE144" t="s">
        <v>1513</v>
      </c>
      <c r="CF144" t="s">
        <v>1766</v>
      </c>
      <c r="CG144" t="b">
        <v>1</v>
      </c>
      <c r="CH144">
        <v>0</v>
      </c>
      <c r="CI144" t="s">
        <v>1767</v>
      </c>
      <c r="CJ144" t="s">
        <v>1768</v>
      </c>
      <c r="CK144" t="s">
        <v>1251</v>
      </c>
      <c r="CL144" t="s">
        <v>1769</v>
      </c>
    </row>
    <row r="145" spans="1:90">
      <c r="A145">
        <v>328</v>
      </c>
      <c r="B145">
        <v>475</v>
      </c>
      <c r="C145" t="s">
        <v>1250</v>
      </c>
      <c r="D145">
        <v>2</v>
      </c>
      <c r="E145" t="s">
        <v>1492</v>
      </c>
      <c r="F145">
        <v>5</v>
      </c>
      <c r="G145">
        <v>1</v>
      </c>
      <c r="H145">
        <v>2</v>
      </c>
      <c r="I145" t="s">
        <v>1492</v>
      </c>
      <c r="J145" t="s">
        <v>1297</v>
      </c>
      <c r="K145" t="s">
        <v>16</v>
      </c>
      <c r="L145" t="s">
        <v>1522</v>
      </c>
      <c r="M145" t="s">
        <v>1576</v>
      </c>
      <c r="N145" t="s">
        <v>1492</v>
      </c>
      <c r="O145" t="s">
        <v>1302</v>
      </c>
      <c r="P145" t="s">
        <v>1379</v>
      </c>
      <c r="Q145" t="s">
        <v>1302</v>
      </c>
      <c r="R145" t="s">
        <v>1379</v>
      </c>
      <c r="S145" t="s">
        <v>1302</v>
      </c>
      <c r="T145" t="s">
        <v>1379</v>
      </c>
      <c r="U145" t="s">
        <v>1302</v>
      </c>
      <c r="V145" t="s">
        <v>1379</v>
      </c>
      <c r="W145" t="s">
        <v>1302</v>
      </c>
      <c r="X145" t="s">
        <v>1372</v>
      </c>
      <c r="Y145" t="s">
        <v>1257</v>
      </c>
      <c r="Z145" t="s">
        <v>1257</v>
      </c>
      <c r="AA145" t="s">
        <v>1257</v>
      </c>
      <c r="AB145" t="s">
        <v>1257</v>
      </c>
      <c r="AC145" t="b">
        <v>0</v>
      </c>
      <c r="AD145" t="b">
        <v>0</v>
      </c>
      <c r="AE145" t="b">
        <v>0</v>
      </c>
      <c r="AF145" t="b">
        <v>0</v>
      </c>
      <c r="AG145" t="b">
        <v>0</v>
      </c>
      <c r="AH145" t="b">
        <v>0</v>
      </c>
      <c r="AI145" t="b">
        <v>0</v>
      </c>
      <c r="AJ145" t="b">
        <v>0</v>
      </c>
      <c r="AK145" t="b">
        <v>0</v>
      </c>
      <c r="AL145" t="b">
        <v>0</v>
      </c>
      <c r="AM145" t="b">
        <v>0</v>
      </c>
      <c r="AN145" t="b">
        <v>0</v>
      </c>
      <c r="AO145" t="b">
        <v>0</v>
      </c>
      <c r="AP145" t="b">
        <v>0</v>
      </c>
      <c r="AQ145" t="b">
        <v>0</v>
      </c>
      <c r="AR145" t="b">
        <v>0</v>
      </c>
      <c r="AS145" t="b">
        <v>0</v>
      </c>
      <c r="AT145" t="b">
        <v>0</v>
      </c>
      <c r="AU145" t="b">
        <v>0</v>
      </c>
      <c r="AV145" t="b">
        <v>0</v>
      </c>
      <c r="AW145" t="b">
        <v>0</v>
      </c>
      <c r="AX145" t="b">
        <v>0</v>
      </c>
      <c r="AY145" t="b">
        <v>0</v>
      </c>
      <c r="AZ145" t="b">
        <v>0</v>
      </c>
      <c r="BA145" t="b">
        <v>0</v>
      </c>
      <c r="BB145" t="b">
        <v>0</v>
      </c>
      <c r="BC145" t="b">
        <v>0</v>
      </c>
      <c r="BD145" t="b">
        <v>0</v>
      </c>
      <c r="BE145" t="b">
        <v>0</v>
      </c>
      <c r="BF145" t="b">
        <v>0</v>
      </c>
      <c r="BG145" t="b">
        <v>0</v>
      </c>
      <c r="BH145" t="b">
        <v>0</v>
      </c>
      <c r="BI145" t="b">
        <v>0</v>
      </c>
      <c r="BJ145" t="b">
        <v>0</v>
      </c>
      <c r="BK145" t="b">
        <v>0</v>
      </c>
      <c r="BL145" t="b">
        <v>0</v>
      </c>
      <c r="BM145" t="b">
        <v>0</v>
      </c>
      <c r="BN145" t="b">
        <v>0</v>
      </c>
      <c r="BO145" t="b">
        <v>0</v>
      </c>
      <c r="BP145" t="b">
        <v>0</v>
      </c>
      <c r="BQ145" t="b">
        <v>1</v>
      </c>
      <c r="BR145" t="b">
        <v>1</v>
      </c>
      <c r="BS145" t="b">
        <v>1</v>
      </c>
      <c r="BT145" t="b">
        <v>1</v>
      </c>
      <c r="BU145" t="b">
        <v>1</v>
      </c>
      <c r="BV145" t="b">
        <v>1</v>
      </c>
      <c r="BW145" t="b">
        <v>1</v>
      </c>
      <c r="BX145" t="b">
        <v>1</v>
      </c>
      <c r="BY145" t="b">
        <v>1</v>
      </c>
      <c r="BZ145" t="b">
        <v>0</v>
      </c>
      <c r="CA145" t="b">
        <v>0</v>
      </c>
      <c r="CB145" t="b">
        <v>0</v>
      </c>
      <c r="CC145" t="s">
        <v>1512</v>
      </c>
      <c r="CD145" t="s">
        <v>1492</v>
      </c>
      <c r="CE145" t="s">
        <v>1513</v>
      </c>
      <c r="CF145" t="s">
        <v>1495</v>
      </c>
      <c r="CG145" t="b">
        <v>1</v>
      </c>
      <c r="CH145">
        <v>0</v>
      </c>
      <c r="CI145" t="s">
        <v>1767</v>
      </c>
      <c r="CJ145" t="s">
        <v>1768</v>
      </c>
      <c r="CK145" t="s">
        <v>1251</v>
      </c>
      <c r="CL145" t="s">
        <v>1770</v>
      </c>
    </row>
    <row r="146" spans="1:90">
      <c r="A146">
        <v>429</v>
      </c>
      <c r="B146">
        <v>693</v>
      </c>
      <c r="C146" t="s">
        <v>1250</v>
      </c>
      <c r="D146">
        <v>1</v>
      </c>
      <c r="E146" t="s">
        <v>1492</v>
      </c>
      <c r="F146">
        <v>4</v>
      </c>
      <c r="G146">
        <v>1</v>
      </c>
      <c r="H146">
        <v>2</v>
      </c>
      <c r="I146" t="s">
        <v>844</v>
      </c>
      <c r="J146" t="s">
        <v>1297</v>
      </c>
      <c r="K146" t="s">
        <v>15</v>
      </c>
      <c r="L146" t="s">
        <v>1511</v>
      </c>
      <c r="M146" t="s">
        <v>1576</v>
      </c>
      <c r="N146" t="s">
        <v>1492</v>
      </c>
      <c r="O146" t="s">
        <v>1302</v>
      </c>
      <c r="P146" t="s">
        <v>1379</v>
      </c>
      <c r="Q146" t="s">
        <v>1302</v>
      </c>
      <c r="R146" t="s">
        <v>1379</v>
      </c>
      <c r="S146" t="s">
        <v>1302</v>
      </c>
      <c r="T146" t="s">
        <v>1379</v>
      </c>
      <c r="U146" t="s">
        <v>1302</v>
      </c>
      <c r="V146" t="s">
        <v>1379</v>
      </c>
      <c r="W146" t="s">
        <v>1302</v>
      </c>
      <c r="X146" t="s">
        <v>1372</v>
      </c>
      <c r="Y146" t="s">
        <v>1257</v>
      </c>
      <c r="Z146" t="s">
        <v>1257</v>
      </c>
      <c r="AA146" t="s">
        <v>1257</v>
      </c>
      <c r="AB146" t="s">
        <v>1257</v>
      </c>
      <c r="AC146" t="b">
        <v>0</v>
      </c>
      <c r="AD146" t="b">
        <v>0</v>
      </c>
      <c r="AE146" t="b">
        <v>0</v>
      </c>
      <c r="AF146" t="b">
        <v>0</v>
      </c>
      <c r="AG146" t="b">
        <v>0</v>
      </c>
      <c r="AH146" t="b">
        <v>0</v>
      </c>
      <c r="AI146" t="b">
        <v>0</v>
      </c>
      <c r="AJ146" t="b">
        <v>0</v>
      </c>
      <c r="AK146" t="b">
        <v>0</v>
      </c>
      <c r="AL146" t="b">
        <v>0</v>
      </c>
      <c r="AM146" t="b">
        <v>0</v>
      </c>
      <c r="AN146" t="b">
        <v>0</v>
      </c>
      <c r="AO146" t="b">
        <v>0</v>
      </c>
      <c r="AP146" t="b">
        <v>0</v>
      </c>
      <c r="AQ146" t="b">
        <v>0</v>
      </c>
      <c r="AR146" t="b">
        <v>0</v>
      </c>
      <c r="AS146" t="b">
        <v>0</v>
      </c>
      <c r="AT146" t="b">
        <v>0</v>
      </c>
      <c r="AU146" t="b">
        <v>0</v>
      </c>
      <c r="AV146" t="b">
        <v>0</v>
      </c>
      <c r="AW146" t="b">
        <v>0</v>
      </c>
      <c r="AX146" t="b">
        <v>0</v>
      </c>
      <c r="AY146" t="b">
        <v>0</v>
      </c>
      <c r="AZ146" t="b">
        <v>0</v>
      </c>
      <c r="BA146" t="b">
        <v>0</v>
      </c>
      <c r="BB146" t="b">
        <v>0</v>
      </c>
      <c r="BC146" t="b">
        <v>0</v>
      </c>
      <c r="BD146" t="b">
        <v>0</v>
      </c>
      <c r="BE146" t="b">
        <v>0</v>
      </c>
      <c r="BF146" t="b">
        <v>0</v>
      </c>
      <c r="BG146" t="b">
        <v>0</v>
      </c>
      <c r="BH146" t="b">
        <v>0</v>
      </c>
      <c r="BI146" t="b">
        <v>0</v>
      </c>
      <c r="BJ146" t="b">
        <v>0</v>
      </c>
      <c r="BK146" t="b">
        <v>0</v>
      </c>
      <c r="BL146" t="b">
        <v>0</v>
      </c>
      <c r="BM146" t="b">
        <v>0</v>
      </c>
      <c r="BN146" t="b">
        <v>0</v>
      </c>
      <c r="BO146" t="b">
        <v>0</v>
      </c>
      <c r="BP146" t="b">
        <v>0</v>
      </c>
      <c r="BQ146" t="b">
        <v>0</v>
      </c>
      <c r="BR146" t="b">
        <v>0</v>
      </c>
      <c r="BS146" t="b">
        <v>0</v>
      </c>
      <c r="BT146" t="b">
        <v>0</v>
      </c>
      <c r="BU146" t="b">
        <v>0</v>
      </c>
      <c r="BV146" t="b">
        <v>0</v>
      </c>
      <c r="BW146" t="b">
        <v>0</v>
      </c>
      <c r="BX146" t="b">
        <v>0</v>
      </c>
      <c r="BY146" t="b">
        <v>0</v>
      </c>
      <c r="BZ146" t="b">
        <v>0</v>
      </c>
      <c r="CA146" t="b">
        <v>0</v>
      </c>
      <c r="CB146" t="b">
        <v>0</v>
      </c>
      <c r="CC146" t="s">
        <v>1253</v>
      </c>
      <c r="CD146" t="s">
        <v>1492</v>
      </c>
      <c r="CE146" t="s">
        <v>1518</v>
      </c>
      <c r="CF146" t="s">
        <v>1495</v>
      </c>
      <c r="CG146" t="b">
        <v>1</v>
      </c>
      <c r="CH146">
        <v>0</v>
      </c>
      <c r="CI146" t="s">
        <v>1771</v>
      </c>
      <c r="CJ146" t="s">
        <v>1772</v>
      </c>
      <c r="CK146" t="s">
        <v>1251</v>
      </c>
      <c r="CL146" t="s">
        <v>1773</v>
      </c>
    </row>
    <row r="147" spans="1:90">
      <c r="A147">
        <v>430</v>
      </c>
      <c r="B147">
        <v>693</v>
      </c>
      <c r="C147" t="s">
        <v>1250</v>
      </c>
      <c r="D147">
        <v>2</v>
      </c>
      <c r="E147" t="s">
        <v>1492</v>
      </c>
      <c r="F147">
        <v>4</v>
      </c>
      <c r="G147">
        <v>1</v>
      </c>
      <c r="H147">
        <v>2</v>
      </c>
      <c r="I147" t="s">
        <v>844</v>
      </c>
      <c r="J147" t="s">
        <v>1297</v>
      </c>
      <c r="K147" t="s">
        <v>15</v>
      </c>
      <c r="L147" t="s">
        <v>1511</v>
      </c>
      <c r="M147" t="s">
        <v>1576</v>
      </c>
      <c r="N147" t="s">
        <v>1492</v>
      </c>
      <c r="O147" t="s">
        <v>1302</v>
      </c>
      <c r="P147" t="s">
        <v>1379</v>
      </c>
      <c r="Q147" t="s">
        <v>1302</v>
      </c>
      <c r="R147" t="s">
        <v>1379</v>
      </c>
      <c r="S147" t="s">
        <v>1302</v>
      </c>
      <c r="T147" t="s">
        <v>1379</v>
      </c>
      <c r="U147" t="s">
        <v>1302</v>
      </c>
      <c r="V147" t="s">
        <v>1379</v>
      </c>
      <c r="W147" t="s">
        <v>1302</v>
      </c>
      <c r="X147" t="s">
        <v>1372</v>
      </c>
      <c r="Y147" t="s">
        <v>1257</v>
      </c>
      <c r="Z147" t="s">
        <v>1257</v>
      </c>
      <c r="AA147" t="s">
        <v>1257</v>
      </c>
      <c r="AB147" t="s">
        <v>1257</v>
      </c>
      <c r="AC147" t="b">
        <v>0</v>
      </c>
      <c r="AD147" t="b">
        <v>0</v>
      </c>
      <c r="AE147" t="b">
        <v>0</v>
      </c>
      <c r="AF147" t="b">
        <v>0</v>
      </c>
      <c r="AG147" t="b">
        <v>0</v>
      </c>
      <c r="AH147" t="b">
        <v>0</v>
      </c>
      <c r="AI147" t="b">
        <v>0</v>
      </c>
      <c r="AJ147" t="b">
        <v>0</v>
      </c>
      <c r="AK147" t="b">
        <v>0</v>
      </c>
      <c r="AL147" t="b">
        <v>0</v>
      </c>
      <c r="AM147" t="b">
        <v>0</v>
      </c>
      <c r="AN147" t="b">
        <v>0</v>
      </c>
      <c r="AO147" t="b">
        <v>0</v>
      </c>
      <c r="AP147" t="b">
        <v>0</v>
      </c>
      <c r="AQ147" t="b">
        <v>0</v>
      </c>
      <c r="AR147" t="b">
        <v>0</v>
      </c>
      <c r="AS147" t="b">
        <v>0</v>
      </c>
      <c r="AT147" t="b">
        <v>0</v>
      </c>
      <c r="AU147" t="b">
        <v>0</v>
      </c>
      <c r="AV147" t="b">
        <v>0</v>
      </c>
      <c r="AW147" t="b">
        <v>0</v>
      </c>
      <c r="AX147" t="b">
        <v>0</v>
      </c>
      <c r="AY147" t="b">
        <v>0</v>
      </c>
      <c r="AZ147" t="b">
        <v>0</v>
      </c>
      <c r="BA147" t="b">
        <v>0</v>
      </c>
      <c r="BB147" t="b">
        <v>0</v>
      </c>
      <c r="BC147" t="b">
        <v>0</v>
      </c>
      <c r="BD147" t="b">
        <v>0</v>
      </c>
      <c r="BE147" t="b">
        <v>0</v>
      </c>
      <c r="BF147" t="b">
        <v>0</v>
      </c>
      <c r="BG147" t="b">
        <v>0</v>
      </c>
      <c r="BH147" t="b">
        <v>0</v>
      </c>
      <c r="BI147" t="b">
        <v>0</v>
      </c>
      <c r="BJ147" t="b">
        <v>0</v>
      </c>
      <c r="BK147" t="b">
        <v>0</v>
      </c>
      <c r="BL147" t="b">
        <v>0</v>
      </c>
      <c r="BM147" t="b">
        <v>0</v>
      </c>
      <c r="BN147" t="b">
        <v>0</v>
      </c>
      <c r="BO147" t="b">
        <v>0</v>
      </c>
      <c r="BP147" t="b">
        <v>0</v>
      </c>
      <c r="BQ147" t="b">
        <v>0</v>
      </c>
      <c r="BR147" t="b">
        <v>0</v>
      </c>
      <c r="BS147" t="b">
        <v>0</v>
      </c>
      <c r="BT147" t="b">
        <v>0</v>
      </c>
      <c r="BU147" t="b">
        <v>0</v>
      </c>
      <c r="BV147" t="b">
        <v>0</v>
      </c>
      <c r="BW147" t="b">
        <v>0</v>
      </c>
      <c r="BX147" t="b">
        <v>0</v>
      </c>
      <c r="BY147" t="b">
        <v>0</v>
      </c>
      <c r="BZ147" t="b">
        <v>0</v>
      </c>
      <c r="CA147" t="b">
        <v>0</v>
      </c>
      <c r="CB147" t="b">
        <v>0</v>
      </c>
      <c r="CC147" t="s">
        <v>1253</v>
      </c>
      <c r="CD147" t="s">
        <v>1492</v>
      </c>
      <c r="CE147" t="s">
        <v>1518</v>
      </c>
      <c r="CF147" t="s">
        <v>1495</v>
      </c>
      <c r="CG147" t="b">
        <v>1</v>
      </c>
      <c r="CH147">
        <v>0</v>
      </c>
      <c r="CI147" t="s">
        <v>1771</v>
      </c>
      <c r="CJ147" t="s">
        <v>1772</v>
      </c>
      <c r="CK147" t="s">
        <v>1251</v>
      </c>
      <c r="CL147" t="s">
        <v>1774</v>
      </c>
    </row>
    <row r="148" spans="1:90">
      <c r="A148">
        <v>434</v>
      </c>
      <c r="B148">
        <v>696</v>
      </c>
      <c r="C148" t="s">
        <v>1250</v>
      </c>
      <c r="D148">
        <v>1</v>
      </c>
      <c r="E148" t="s">
        <v>1492</v>
      </c>
      <c r="F148">
        <v>4</v>
      </c>
      <c r="G148">
        <v>1</v>
      </c>
      <c r="H148">
        <v>2</v>
      </c>
      <c r="I148" t="s">
        <v>1492</v>
      </c>
      <c r="J148" t="s">
        <v>1297</v>
      </c>
      <c r="K148" t="s">
        <v>16</v>
      </c>
      <c r="L148" t="s">
        <v>1492</v>
      </c>
      <c r="M148" t="s">
        <v>1576</v>
      </c>
      <c r="N148" t="s">
        <v>1492</v>
      </c>
      <c r="O148" t="s">
        <v>1302</v>
      </c>
      <c r="P148" t="s">
        <v>1379</v>
      </c>
      <c r="Q148" t="s">
        <v>1302</v>
      </c>
      <c r="R148" t="s">
        <v>1379</v>
      </c>
      <c r="S148" t="s">
        <v>1302</v>
      </c>
      <c r="T148" t="s">
        <v>1379</v>
      </c>
      <c r="U148" t="s">
        <v>1302</v>
      </c>
      <c r="V148" t="s">
        <v>1379</v>
      </c>
      <c r="W148" t="s">
        <v>1302</v>
      </c>
      <c r="X148" t="s">
        <v>1372</v>
      </c>
      <c r="Y148" t="s">
        <v>1257</v>
      </c>
      <c r="Z148" t="s">
        <v>1257</v>
      </c>
      <c r="AA148" t="s">
        <v>1257</v>
      </c>
      <c r="AB148" t="s">
        <v>1257</v>
      </c>
      <c r="AC148" t="b">
        <v>0</v>
      </c>
      <c r="AD148" t="b">
        <v>0</v>
      </c>
      <c r="AE148" t="b">
        <v>0</v>
      </c>
      <c r="AF148" t="b">
        <v>0</v>
      </c>
      <c r="AG148" t="b">
        <v>0</v>
      </c>
      <c r="AH148" t="b">
        <v>0</v>
      </c>
      <c r="AI148" t="b">
        <v>0</v>
      </c>
      <c r="AJ148" t="b">
        <v>0</v>
      </c>
      <c r="AK148" t="b">
        <v>0</v>
      </c>
      <c r="AL148" t="b">
        <v>0</v>
      </c>
      <c r="AM148" t="b">
        <v>0</v>
      </c>
      <c r="AN148" t="b">
        <v>0</v>
      </c>
      <c r="AO148" t="b">
        <v>0</v>
      </c>
      <c r="AP148" t="b">
        <v>0</v>
      </c>
      <c r="AQ148" t="b">
        <v>0</v>
      </c>
      <c r="AR148" t="b">
        <v>0</v>
      </c>
      <c r="AS148" t="b">
        <v>0</v>
      </c>
      <c r="AT148" t="b">
        <v>0</v>
      </c>
      <c r="AU148" t="b">
        <v>0</v>
      </c>
      <c r="AV148" t="b">
        <v>0</v>
      </c>
      <c r="AW148" t="b">
        <v>0</v>
      </c>
      <c r="AX148" t="b">
        <v>0</v>
      </c>
      <c r="AY148" t="b">
        <v>0</v>
      </c>
      <c r="AZ148" t="b">
        <v>0</v>
      </c>
      <c r="BA148" t="b">
        <v>0</v>
      </c>
      <c r="BB148" t="b">
        <v>0</v>
      </c>
      <c r="BC148" t="b">
        <v>0</v>
      </c>
      <c r="BD148" t="b">
        <v>0</v>
      </c>
      <c r="BE148" t="b">
        <v>0</v>
      </c>
      <c r="BF148" t="b">
        <v>0</v>
      </c>
      <c r="BG148" t="b">
        <v>0</v>
      </c>
      <c r="BH148" t="b">
        <v>0</v>
      </c>
      <c r="BI148" t="b">
        <v>0</v>
      </c>
      <c r="BJ148" t="b">
        <v>0</v>
      </c>
      <c r="BK148" t="b">
        <v>0</v>
      </c>
      <c r="BL148" t="b">
        <v>0</v>
      </c>
      <c r="BM148" t="b">
        <v>0</v>
      </c>
      <c r="BN148" t="b">
        <v>0</v>
      </c>
      <c r="BO148" t="b">
        <v>0</v>
      </c>
      <c r="BP148" t="b">
        <v>0</v>
      </c>
      <c r="BQ148" t="b">
        <v>0</v>
      </c>
      <c r="BR148" t="b">
        <v>0</v>
      </c>
      <c r="BS148" t="b">
        <v>0</v>
      </c>
      <c r="BT148" t="b">
        <v>0</v>
      </c>
      <c r="BU148" t="b">
        <v>0</v>
      </c>
      <c r="BV148" t="b">
        <v>0</v>
      </c>
      <c r="BW148" t="b">
        <v>0</v>
      </c>
      <c r="BX148" t="b">
        <v>0</v>
      </c>
      <c r="BY148" t="b">
        <v>0</v>
      </c>
      <c r="BZ148" t="b">
        <v>0</v>
      </c>
      <c r="CA148" t="b">
        <v>0</v>
      </c>
      <c r="CB148" t="b">
        <v>0</v>
      </c>
      <c r="CC148" t="s">
        <v>1253</v>
      </c>
      <c r="CD148" t="s">
        <v>1492</v>
      </c>
      <c r="CE148" t="s">
        <v>1518</v>
      </c>
      <c r="CF148" t="s">
        <v>1766</v>
      </c>
      <c r="CG148" t="b">
        <v>1</v>
      </c>
      <c r="CH148">
        <v>0</v>
      </c>
      <c r="CI148" t="s">
        <v>1775</v>
      </c>
      <c r="CJ148" t="s">
        <v>1776</v>
      </c>
      <c r="CK148" t="s">
        <v>1251</v>
      </c>
      <c r="CL148" t="s">
        <v>1777</v>
      </c>
    </row>
    <row r="149" spans="1:90">
      <c r="A149">
        <v>433</v>
      </c>
      <c r="B149">
        <v>696</v>
      </c>
      <c r="C149" t="s">
        <v>1250</v>
      </c>
      <c r="D149">
        <v>2</v>
      </c>
      <c r="E149" t="s">
        <v>1492</v>
      </c>
      <c r="F149">
        <v>4</v>
      </c>
      <c r="G149">
        <v>1</v>
      </c>
      <c r="H149">
        <v>2</v>
      </c>
      <c r="I149" t="s">
        <v>1492</v>
      </c>
      <c r="J149" t="s">
        <v>1297</v>
      </c>
      <c r="K149" t="s">
        <v>16</v>
      </c>
      <c r="L149" t="s">
        <v>1492</v>
      </c>
      <c r="M149" t="s">
        <v>1576</v>
      </c>
      <c r="N149" t="s">
        <v>1492</v>
      </c>
      <c r="O149" t="s">
        <v>1302</v>
      </c>
      <c r="P149" t="s">
        <v>1379</v>
      </c>
      <c r="Q149" t="s">
        <v>1302</v>
      </c>
      <c r="R149" t="s">
        <v>1379</v>
      </c>
      <c r="S149" t="s">
        <v>1302</v>
      </c>
      <c r="T149" t="s">
        <v>1379</v>
      </c>
      <c r="U149" t="s">
        <v>1302</v>
      </c>
      <c r="V149" t="s">
        <v>1379</v>
      </c>
      <c r="W149" t="s">
        <v>1302</v>
      </c>
      <c r="X149" t="s">
        <v>1372</v>
      </c>
      <c r="Y149" t="s">
        <v>1257</v>
      </c>
      <c r="Z149" t="s">
        <v>1257</v>
      </c>
      <c r="AA149" t="s">
        <v>1257</v>
      </c>
      <c r="AB149" t="s">
        <v>1257</v>
      </c>
      <c r="AC149" t="b">
        <v>0</v>
      </c>
      <c r="AD149" t="b">
        <v>0</v>
      </c>
      <c r="AE149" t="b">
        <v>0</v>
      </c>
      <c r="AF149" t="b">
        <v>0</v>
      </c>
      <c r="AG149" t="b">
        <v>0</v>
      </c>
      <c r="AH149" t="b">
        <v>0</v>
      </c>
      <c r="AI149" t="b">
        <v>0</v>
      </c>
      <c r="AJ149" t="b">
        <v>0</v>
      </c>
      <c r="AK149" t="b">
        <v>0</v>
      </c>
      <c r="AL149" t="b">
        <v>0</v>
      </c>
      <c r="AM149" t="b">
        <v>0</v>
      </c>
      <c r="AN149" t="b">
        <v>0</v>
      </c>
      <c r="AO149" t="b">
        <v>0</v>
      </c>
      <c r="AP149" t="b">
        <v>0</v>
      </c>
      <c r="AQ149" t="b">
        <v>0</v>
      </c>
      <c r="AR149" t="b">
        <v>0</v>
      </c>
      <c r="AS149" t="b">
        <v>0</v>
      </c>
      <c r="AT149" t="b">
        <v>0</v>
      </c>
      <c r="AU149" t="b">
        <v>0</v>
      </c>
      <c r="AV149" t="b">
        <v>0</v>
      </c>
      <c r="AW149" t="b">
        <v>0</v>
      </c>
      <c r="AX149" t="b">
        <v>0</v>
      </c>
      <c r="AY149" t="b">
        <v>0</v>
      </c>
      <c r="AZ149" t="b">
        <v>0</v>
      </c>
      <c r="BA149" t="b">
        <v>0</v>
      </c>
      <c r="BB149" t="b">
        <v>0</v>
      </c>
      <c r="BC149" t="b">
        <v>0</v>
      </c>
      <c r="BD149" t="b">
        <v>0</v>
      </c>
      <c r="BE149" t="b">
        <v>0</v>
      </c>
      <c r="BF149" t="b">
        <v>0</v>
      </c>
      <c r="BG149" t="b">
        <v>0</v>
      </c>
      <c r="BH149" t="b">
        <v>0</v>
      </c>
      <c r="BI149" t="b">
        <v>0</v>
      </c>
      <c r="BJ149" t="b">
        <v>0</v>
      </c>
      <c r="BK149" t="b">
        <v>0</v>
      </c>
      <c r="BL149" t="b">
        <v>0</v>
      </c>
      <c r="BM149" t="b">
        <v>0</v>
      </c>
      <c r="BN149" t="b">
        <v>0</v>
      </c>
      <c r="BO149" t="b">
        <v>0</v>
      </c>
      <c r="BP149" t="b">
        <v>0</v>
      </c>
      <c r="BQ149" t="b">
        <v>0</v>
      </c>
      <c r="BR149" t="b">
        <v>0</v>
      </c>
      <c r="BS149" t="b">
        <v>0</v>
      </c>
      <c r="BT149" t="b">
        <v>0</v>
      </c>
      <c r="BU149" t="b">
        <v>0</v>
      </c>
      <c r="BV149" t="b">
        <v>0</v>
      </c>
      <c r="BW149" t="b">
        <v>0</v>
      </c>
      <c r="BX149" t="b">
        <v>0</v>
      </c>
      <c r="BY149" t="b">
        <v>0</v>
      </c>
      <c r="BZ149" t="b">
        <v>0</v>
      </c>
      <c r="CA149" t="b">
        <v>0</v>
      </c>
      <c r="CB149" t="b">
        <v>0</v>
      </c>
      <c r="CC149" t="s">
        <v>1253</v>
      </c>
      <c r="CD149" t="s">
        <v>1492</v>
      </c>
      <c r="CE149" t="s">
        <v>1518</v>
      </c>
      <c r="CF149" t="s">
        <v>1778</v>
      </c>
      <c r="CG149" t="b">
        <v>1</v>
      </c>
      <c r="CH149">
        <v>0</v>
      </c>
      <c r="CI149" t="s">
        <v>1775</v>
      </c>
      <c r="CJ149" t="s">
        <v>1776</v>
      </c>
      <c r="CK149" t="s">
        <v>1251</v>
      </c>
      <c r="CL149" t="s">
        <v>1779</v>
      </c>
    </row>
    <row r="150" spans="1:90">
      <c r="A150">
        <v>330</v>
      </c>
      <c r="B150">
        <v>483</v>
      </c>
      <c r="C150" t="s">
        <v>1250</v>
      </c>
      <c r="D150">
        <v>1</v>
      </c>
      <c r="E150" t="s">
        <v>1492</v>
      </c>
      <c r="F150">
        <v>2</v>
      </c>
      <c r="G150">
        <v>1</v>
      </c>
      <c r="H150">
        <v>2</v>
      </c>
      <c r="I150" t="s">
        <v>1003</v>
      </c>
      <c r="J150" t="s">
        <v>1297</v>
      </c>
      <c r="K150" t="s">
        <v>15</v>
      </c>
      <c r="L150" t="s">
        <v>1511</v>
      </c>
      <c r="M150" t="s">
        <v>1576</v>
      </c>
      <c r="N150" t="s">
        <v>1492</v>
      </c>
      <c r="O150" t="s">
        <v>1302</v>
      </c>
      <c r="P150" t="s">
        <v>1379</v>
      </c>
      <c r="Q150" t="s">
        <v>1302</v>
      </c>
      <c r="R150" t="s">
        <v>1379</v>
      </c>
      <c r="S150" t="s">
        <v>1302</v>
      </c>
      <c r="T150" t="s">
        <v>1379</v>
      </c>
      <c r="U150" t="s">
        <v>1302</v>
      </c>
      <c r="V150" t="s">
        <v>1379</v>
      </c>
      <c r="W150" t="s">
        <v>1302</v>
      </c>
      <c r="X150" t="s">
        <v>1372</v>
      </c>
      <c r="Y150" t="s">
        <v>1257</v>
      </c>
      <c r="Z150" t="s">
        <v>1257</v>
      </c>
      <c r="AA150" t="s">
        <v>1257</v>
      </c>
      <c r="AB150" t="s">
        <v>1257</v>
      </c>
      <c r="AC150" t="b">
        <v>0</v>
      </c>
      <c r="AD150" t="b">
        <v>0</v>
      </c>
      <c r="AE150" t="b">
        <v>0</v>
      </c>
      <c r="AF150" t="b">
        <v>0</v>
      </c>
      <c r="AG150" t="b">
        <v>0</v>
      </c>
      <c r="AH150" t="b">
        <v>0</v>
      </c>
      <c r="AI150" t="b">
        <v>1</v>
      </c>
      <c r="AJ150" t="b">
        <v>1</v>
      </c>
      <c r="AK150" t="b">
        <v>1</v>
      </c>
      <c r="AL150" t="b">
        <v>1</v>
      </c>
      <c r="AM150" t="b">
        <v>1</v>
      </c>
      <c r="AN150" t="b">
        <v>1</v>
      </c>
      <c r="AO150" t="b">
        <v>1</v>
      </c>
      <c r="AP150" t="b">
        <v>1</v>
      </c>
      <c r="AQ150" t="b">
        <v>1</v>
      </c>
      <c r="AR150" t="b">
        <v>0</v>
      </c>
      <c r="AS150" t="b">
        <v>0</v>
      </c>
      <c r="AT150" t="b">
        <v>0</v>
      </c>
      <c r="AU150" t="b">
        <v>0</v>
      </c>
      <c r="AV150" t="b">
        <v>0</v>
      </c>
      <c r="AW150" t="b">
        <v>0</v>
      </c>
      <c r="AX150" t="b">
        <v>0</v>
      </c>
      <c r="AY150" t="b">
        <v>0</v>
      </c>
      <c r="AZ150" t="b">
        <v>0</v>
      </c>
      <c r="BA150" t="b">
        <v>0</v>
      </c>
      <c r="BB150" t="b">
        <v>0</v>
      </c>
      <c r="BC150" t="b">
        <v>0</v>
      </c>
      <c r="BD150" t="b">
        <v>0</v>
      </c>
      <c r="BE150" t="b">
        <v>0</v>
      </c>
      <c r="BF150" t="b">
        <v>0</v>
      </c>
      <c r="BG150" t="b">
        <v>0</v>
      </c>
      <c r="BH150" t="b">
        <v>0</v>
      </c>
      <c r="BI150" t="b">
        <v>0</v>
      </c>
      <c r="BJ150" t="b">
        <v>0</v>
      </c>
      <c r="BK150" t="b">
        <v>0</v>
      </c>
      <c r="BL150" t="b">
        <v>0</v>
      </c>
      <c r="BM150" t="b">
        <v>0</v>
      </c>
      <c r="BN150" t="b">
        <v>0</v>
      </c>
      <c r="BO150" t="b">
        <v>0</v>
      </c>
      <c r="BP150" t="b">
        <v>0</v>
      </c>
      <c r="BQ150" t="b">
        <v>0</v>
      </c>
      <c r="BR150" t="b">
        <v>0</v>
      </c>
      <c r="BS150" t="b">
        <v>0</v>
      </c>
      <c r="BT150" t="b">
        <v>0</v>
      </c>
      <c r="BU150" t="b">
        <v>0</v>
      </c>
      <c r="BV150" t="b">
        <v>0</v>
      </c>
      <c r="BW150" t="b">
        <v>0</v>
      </c>
      <c r="BX150" t="b">
        <v>0</v>
      </c>
      <c r="BY150" t="b">
        <v>0</v>
      </c>
      <c r="BZ150" t="b">
        <v>0</v>
      </c>
      <c r="CA150" t="b">
        <v>0</v>
      </c>
      <c r="CB150" t="b">
        <v>0</v>
      </c>
      <c r="CC150" t="s">
        <v>1512</v>
      </c>
      <c r="CD150" t="s">
        <v>1492</v>
      </c>
      <c r="CE150" t="s">
        <v>1513</v>
      </c>
      <c r="CF150" t="s">
        <v>1495</v>
      </c>
      <c r="CG150" t="b">
        <v>1</v>
      </c>
      <c r="CH150">
        <v>0</v>
      </c>
      <c r="CI150" t="s">
        <v>1780</v>
      </c>
      <c r="CJ150" t="s">
        <v>1781</v>
      </c>
      <c r="CK150" t="s">
        <v>1251</v>
      </c>
      <c r="CL150" t="s">
        <v>1782</v>
      </c>
    </row>
    <row r="151" spans="1:90">
      <c r="A151">
        <v>329</v>
      </c>
      <c r="B151">
        <v>483</v>
      </c>
      <c r="C151" t="s">
        <v>1250</v>
      </c>
      <c r="D151">
        <v>2</v>
      </c>
      <c r="E151" t="s">
        <v>1492</v>
      </c>
      <c r="F151">
        <v>2</v>
      </c>
      <c r="G151">
        <v>1</v>
      </c>
      <c r="H151">
        <v>2</v>
      </c>
      <c r="I151" t="s">
        <v>1003</v>
      </c>
      <c r="J151" t="s">
        <v>1297</v>
      </c>
      <c r="K151" t="s">
        <v>15</v>
      </c>
      <c r="L151" t="s">
        <v>1511</v>
      </c>
      <c r="M151" t="s">
        <v>1576</v>
      </c>
      <c r="N151" t="s">
        <v>1492</v>
      </c>
      <c r="O151" t="s">
        <v>1302</v>
      </c>
      <c r="P151" t="s">
        <v>1379</v>
      </c>
      <c r="Q151" t="s">
        <v>1302</v>
      </c>
      <c r="R151" t="s">
        <v>1379</v>
      </c>
      <c r="S151" t="s">
        <v>1302</v>
      </c>
      <c r="T151" t="s">
        <v>1379</v>
      </c>
      <c r="U151" t="s">
        <v>1302</v>
      </c>
      <c r="V151" t="s">
        <v>1379</v>
      </c>
      <c r="W151" t="s">
        <v>1302</v>
      </c>
      <c r="X151" t="s">
        <v>1372</v>
      </c>
      <c r="Y151" t="s">
        <v>1257</v>
      </c>
      <c r="Z151" t="s">
        <v>1257</v>
      </c>
      <c r="AA151" t="s">
        <v>1257</v>
      </c>
      <c r="AB151" t="s">
        <v>1257</v>
      </c>
      <c r="AC151" t="b">
        <v>0</v>
      </c>
      <c r="AD151" t="b">
        <v>0</v>
      </c>
      <c r="AE151" t="b">
        <v>0</v>
      </c>
      <c r="AF151" t="b">
        <v>0</v>
      </c>
      <c r="AG151" t="b">
        <v>0</v>
      </c>
      <c r="AH151" t="b">
        <v>0</v>
      </c>
      <c r="AI151" t="b">
        <v>1</v>
      </c>
      <c r="AJ151" t="b">
        <v>1</v>
      </c>
      <c r="AK151" t="b">
        <v>1</v>
      </c>
      <c r="AL151" t="b">
        <v>1</v>
      </c>
      <c r="AM151" t="b">
        <v>1</v>
      </c>
      <c r="AN151" t="b">
        <v>1</v>
      </c>
      <c r="AO151" t="b">
        <v>1</v>
      </c>
      <c r="AP151" t="b">
        <v>1</v>
      </c>
      <c r="AQ151" t="b">
        <v>1</v>
      </c>
      <c r="AR151" t="b">
        <v>0</v>
      </c>
      <c r="AS151" t="b">
        <v>0</v>
      </c>
      <c r="AT151" t="b">
        <v>0</v>
      </c>
      <c r="AU151" t="b">
        <v>0</v>
      </c>
      <c r="AV151" t="b">
        <v>0</v>
      </c>
      <c r="AW151" t="b">
        <v>0</v>
      </c>
      <c r="AX151" t="b">
        <v>0</v>
      </c>
      <c r="AY151" t="b">
        <v>0</v>
      </c>
      <c r="AZ151" t="b">
        <v>0</v>
      </c>
      <c r="BA151" t="b">
        <v>0</v>
      </c>
      <c r="BB151" t="b">
        <v>0</v>
      </c>
      <c r="BC151" t="b">
        <v>0</v>
      </c>
      <c r="BD151" t="b">
        <v>0</v>
      </c>
      <c r="BE151" t="b">
        <v>0</v>
      </c>
      <c r="BF151" t="b">
        <v>0</v>
      </c>
      <c r="BG151" t="b">
        <v>0</v>
      </c>
      <c r="BH151" t="b">
        <v>0</v>
      </c>
      <c r="BI151" t="b">
        <v>0</v>
      </c>
      <c r="BJ151" t="b">
        <v>0</v>
      </c>
      <c r="BK151" t="b">
        <v>0</v>
      </c>
      <c r="BL151" t="b">
        <v>0</v>
      </c>
      <c r="BM151" t="b">
        <v>0</v>
      </c>
      <c r="BN151" t="b">
        <v>0</v>
      </c>
      <c r="BO151" t="b">
        <v>0</v>
      </c>
      <c r="BP151" t="b">
        <v>0</v>
      </c>
      <c r="BQ151" t="b">
        <v>0</v>
      </c>
      <c r="BR151" t="b">
        <v>0</v>
      </c>
      <c r="BS151" t="b">
        <v>0</v>
      </c>
      <c r="BT151" t="b">
        <v>0</v>
      </c>
      <c r="BU151" t="b">
        <v>0</v>
      </c>
      <c r="BV151" t="b">
        <v>0</v>
      </c>
      <c r="BW151" t="b">
        <v>0</v>
      </c>
      <c r="BX151" t="b">
        <v>0</v>
      </c>
      <c r="BY151" t="b">
        <v>0</v>
      </c>
      <c r="BZ151" t="b">
        <v>0</v>
      </c>
      <c r="CA151" t="b">
        <v>0</v>
      </c>
      <c r="CB151" t="b">
        <v>0</v>
      </c>
      <c r="CC151" t="s">
        <v>1512</v>
      </c>
      <c r="CD151" t="s">
        <v>1492</v>
      </c>
      <c r="CE151" t="s">
        <v>1513</v>
      </c>
      <c r="CF151" t="s">
        <v>1495</v>
      </c>
      <c r="CG151" t="b">
        <v>1</v>
      </c>
      <c r="CH151">
        <v>0</v>
      </c>
      <c r="CI151" t="s">
        <v>1780</v>
      </c>
      <c r="CJ151" t="s">
        <v>1781</v>
      </c>
      <c r="CK151" t="s">
        <v>1251</v>
      </c>
      <c r="CL151" t="s">
        <v>1783</v>
      </c>
    </row>
    <row r="152" spans="1:90">
      <c r="A152">
        <v>563</v>
      </c>
      <c r="B152">
        <v>100057</v>
      </c>
      <c r="C152" t="s">
        <v>1250</v>
      </c>
      <c r="D152">
        <v>1</v>
      </c>
      <c r="E152" t="s">
        <v>1492</v>
      </c>
      <c r="F152">
        <v>2</v>
      </c>
      <c r="G152">
        <v>1</v>
      </c>
      <c r="H152">
        <v>2</v>
      </c>
      <c r="I152" t="s">
        <v>1492</v>
      </c>
      <c r="J152" t="s">
        <v>1297</v>
      </c>
      <c r="K152" t="s">
        <v>16</v>
      </c>
      <c r="L152" t="s">
        <v>1492</v>
      </c>
      <c r="M152" t="s">
        <v>1576</v>
      </c>
      <c r="N152" t="s">
        <v>1492</v>
      </c>
      <c r="O152" t="s">
        <v>1302</v>
      </c>
      <c r="P152" t="s">
        <v>1379</v>
      </c>
      <c r="Q152" t="s">
        <v>1302</v>
      </c>
      <c r="R152" t="s">
        <v>1379</v>
      </c>
      <c r="S152" t="s">
        <v>1302</v>
      </c>
      <c r="T152" t="s">
        <v>1379</v>
      </c>
      <c r="U152" t="s">
        <v>1302</v>
      </c>
      <c r="V152" t="s">
        <v>1379</v>
      </c>
      <c r="W152" t="s">
        <v>1302</v>
      </c>
      <c r="X152" t="s">
        <v>1372</v>
      </c>
      <c r="Y152" t="s">
        <v>1257</v>
      </c>
      <c r="Z152" t="s">
        <v>1257</v>
      </c>
      <c r="AA152" t="s">
        <v>1257</v>
      </c>
      <c r="AB152" t="s">
        <v>1257</v>
      </c>
      <c r="AC152" t="b">
        <v>0</v>
      </c>
      <c r="AD152" t="b">
        <v>0</v>
      </c>
      <c r="AE152" t="b">
        <v>0</v>
      </c>
      <c r="AF152" t="b">
        <v>0</v>
      </c>
      <c r="AG152" t="b">
        <v>0</v>
      </c>
      <c r="AH152" t="b">
        <v>0</v>
      </c>
      <c r="AI152" t="b">
        <v>0</v>
      </c>
      <c r="AJ152" t="b">
        <v>0</v>
      </c>
      <c r="AK152" t="b">
        <v>0</v>
      </c>
      <c r="AL152" t="b">
        <v>0</v>
      </c>
      <c r="AM152" t="b">
        <v>0</v>
      </c>
      <c r="AN152" t="b">
        <v>0</v>
      </c>
      <c r="AO152" t="b">
        <v>0</v>
      </c>
      <c r="AP152" t="b">
        <v>0</v>
      </c>
      <c r="AQ152" t="b">
        <v>0</v>
      </c>
      <c r="AR152" t="b">
        <v>0</v>
      </c>
      <c r="AS152" t="b">
        <v>0</v>
      </c>
      <c r="AT152" t="b">
        <v>0</v>
      </c>
      <c r="AU152" t="b">
        <v>0</v>
      </c>
      <c r="AV152" t="b">
        <v>0</v>
      </c>
      <c r="AW152" t="b">
        <v>0</v>
      </c>
      <c r="AX152" t="b">
        <v>0</v>
      </c>
      <c r="AY152" t="b">
        <v>0</v>
      </c>
      <c r="AZ152" t="b">
        <v>0</v>
      </c>
      <c r="BA152" t="b">
        <v>0</v>
      </c>
      <c r="BB152" t="b">
        <v>0</v>
      </c>
      <c r="BC152" t="b">
        <v>0</v>
      </c>
      <c r="BD152" t="b">
        <v>0</v>
      </c>
      <c r="BE152" t="b">
        <v>0</v>
      </c>
      <c r="BF152" t="b">
        <v>0</v>
      </c>
      <c r="BG152" t="b">
        <v>0</v>
      </c>
      <c r="BH152" t="b">
        <v>0</v>
      </c>
      <c r="BI152" t="b">
        <v>0</v>
      </c>
      <c r="BJ152" t="b">
        <v>0</v>
      </c>
      <c r="BK152" t="b">
        <v>0</v>
      </c>
      <c r="BL152" t="b">
        <v>0</v>
      </c>
      <c r="BM152" t="b">
        <v>0</v>
      </c>
      <c r="BN152" t="b">
        <v>0</v>
      </c>
      <c r="BO152" t="b">
        <v>0</v>
      </c>
      <c r="BP152" t="b">
        <v>0</v>
      </c>
      <c r="BQ152" t="b">
        <v>0</v>
      </c>
      <c r="BR152" t="b">
        <v>0</v>
      </c>
      <c r="BS152" t="b">
        <v>0</v>
      </c>
      <c r="BT152" t="b">
        <v>0</v>
      </c>
      <c r="BU152" t="b">
        <v>0</v>
      </c>
      <c r="BV152" t="b">
        <v>0</v>
      </c>
      <c r="BW152" t="b">
        <v>0</v>
      </c>
      <c r="BX152" t="b">
        <v>0</v>
      </c>
      <c r="BY152" t="b">
        <v>0</v>
      </c>
      <c r="BZ152" t="b">
        <v>0</v>
      </c>
      <c r="CA152" t="b">
        <v>0</v>
      </c>
      <c r="CB152" t="b">
        <v>0</v>
      </c>
      <c r="CC152" t="s">
        <v>1253</v>
      </c>
      <c r="CD152" t="s">
        <v>1492</v>
      </c>
      <c r="CE152" t="s">
        <v>1513</v>
      </c>
      <c r="CF152" t="s">
        <v>1495</v>
      </c>
      <c r="CG152" t="b">
        <v>1</v>
      </c>
      <c r="CH152">
        <v>0</v>
      </c>
      <c r="CI152" t="s">
        <v>1784</v>
      </c>
      <c r="CJ152" t="s">
        <v>1785</v>
      </c>
      <c r="CK152" t="s">
        <v>1251</v>
      </c>
      <c r="CL152" t="s">
        <v>1786</v>
      </c>
    </row>
    <row r="153" spans="1:90">
      <c r="A153">
        <v>564</v>
      </c>
      <c r="B153">
        <v>100057</v>
      </c>
      <c r="C153" t="s">
        <v>1250</v>
      </c>
      <c r="D153">
        <v>2</v>
      </c>
      <c r="E153" t="s">
        <v>1492</v>
      </c>
      <c r="F153">
        <v>2</v>
      </c>
      <c r="G153">
        <v>1</v>
      </c>
      <c r="H153">
        <v>2</v>
      </c>
      <c r="I153" t="s">
        <v>1492</v>
      </c>
      <c r="J153" t="s">
        <v>1297</v>
      </c>
      <c r="K153" t="s">
        <v>16</v>
      </c>
      <c r="L153" t="s">
        <v>1492</v>
      </c>
      <c r="M153" t="s">
        <v>1576</v>
      </c>
      <c r="N153" t="s">
        <v>1492</v>
      </c>
      <c r="O153" t="s">
        <v>1302</v>
      </c>
      <c r="P153" t="s">
        <v>1379</v>
      </c>
      <c r="Q153" t="s">
        <v>1302</v>
      </c>
      <c r="R153" t="s">
        <v>1379</v>
      </c>
      <c r="S153" t="s">
        <v>1302</v>
      </c>
      <c r="T153" t="s">
        <v>1379</v>
      </c>
      <c r="U153" t="s">
        <v>1302</v>
      </c>
      <c r="V153" t="s">
        <v>1379</v>
      </c>
      <c r="W153" t="s">
        <v>1302</v>
      </c>
      <c r="X153" t="s">
        <v>1372</v>
      </c>
      <c r="Y153" t="s">
        <v>1257</v>
      </c>
      <c r="Z153" t="s">
        <v>1257</v>
      </c>
      <c r="AA153" t="s">
        <v>1257</v>
      </c>
      <c r="AB153" t="s">
        <v>1257</v>
      </c>
      <c r="AC153" t="b">
        <v>0</v>
      </c>
      <c r="AD153" t="b">
        <v>0</v>
      </c>
      <c r="AE153" t="b">
        <v>0</v>
      </c>
      <c r="AF153" t="b">
        <v>0</v>
      </c>
      <c r="AG153" t="b">
        <v>0</v>
      </c>
      <c r="AH153" t="b">
        <v>0</v>
      </c>
      <c r="AI153" t="b">
        <v>0</v>
      </c>
      <c r="AJ153" t="b">
        <v>0</v>
      </c>
      <c r="AK153" t="b">
        <v>0</v>
      </c>
      <c r="AL153" t="b">
        <v>0</v>
      </c>
      <c r="AM153" t="b">
        <v>0</v>
      </c>
      <c r="AN153" t="b">
        <v>0</v>
      </c>
      <c r="AO153" t="b">
        <v>0</v>
      </c>
      <c r="AP153" t="b">
        <v>0</v>
      </c>
      <c r="AQ153" t="b">
        <v>0</v>
      </c>
      <c r="AR153" t="b">
        <v>0</v>
      </c>
      <c r="AS153" t="b">
        <v>0</v>
      </c>
      <c r="AT153" t="b">
        <v>0</v>
      </c>
      <c r="AU153" t="b">
        <v>0</v>
      </c>
      <c r="AV153" t="b">
        <v>0</v>
      </c>
      <c r="AW153" t="b">
        <v>0</v>
      </c>
      <c r="AX153" t="b">
        <v>0</v>
      </c>
      <c r="AY153" t="b">
        <v>0</v>
      </c>
      <c r="AZ153" t="b">
        <v>0</v>
      </c>
      <c r="BA153" t="b">
        <v>0</v>
      </c>
      <c r="BB153" t="b">
        <v>0</v>
      </c>
      <c r="BC153" t="b">
        <v>0</v>
      </c>
      <c r="BD153" t="b">
        <v>0</v>
      </c>
      <c r="BE153" t="b">
        <v>0</v>
      </c>
      <c r="BF153" t="b">
        <v>0</v>
      </c>
      <c r="BG153" t="b">
        <v>0</v>
      </c>
      <c r="BH153" t="b">
        <v>0</v>
      </c>
      <c r="BI153" t="b">
        <v>0</v>
      </c>
      <c r="BJ153" t="b">
        <v>0</v>
      </c>
      <c r="BK153" t="b">
        <v>0</v>
      </c>
      <c r="BL153" t="b">
        <v>0</v>
      </c>
      <c r="BM153" t="b">
        <v>0</v>
      </c>
      <c r="BN153" t="b">
        <v>0</v>
      </c>
      <c r="BO153" t="b">
        <v>0</v>
      </c>
      <c r="BP153" t="b">
        <v>0</v>
      </c>
      <c r="BQ153" t="b">
        <v>0</v>
      </c>
      <c r="BR153" t="b">
        <v>0</v>
      </c>
      <c r="BS153" t="b">
        <v>0</v>
      </c>
      <c r="BT153" t="b">
        <v>0</v>
      </c>
      <c r="BU153" t="b">
        <v>0</v>
      </c>
      <c r="BV153" t="b">
        <v>0</v>
      </c>
      <c r="BW153" t="b">
        <v>0</v>
      </c>
      <c r="BX153" t="b">
        <v>0</v>
      </c>
      <c r="BY153" t="b">
        <v>0</v>
      </c>
      <c r="BZ153" t="b">
        <v>0</v>
      </c>
      <c r="CA153" t="b">
        <v>0</v>
      </c>
      <c r="CB153" t="b">
        <v>0</v>
      </c>
      <c r="CC153" t="s">
        <v>1253</v>
      </c>
      <c r="CD153" t="s">
        <v>1492</v>
      </c>
      <c r="CE153" t="s">
        <v>1513</v>
      </c>
      <c r="CF153" t="s">
        <v>1495</v>
      </c>
      <c r="CG153" t="b">
        <v>1</v>
      </c>
      <c r="CH153">
        <v>0</v>
      </c>
      <c r="CI153" t="s">
        <v>1787</v>
      </c>
      <c r="CJ153" t="s">
        <v>1785</v>
      </c>
      <c r="CK153" t="s">
        <v>1251</v>
      </c>
      <c r="CL153" t="s">
        <v>1788</v>
      </c>
    </row>
    <row r="154" spans="1:90">
      <c r="A154">
        <v>332</v>
      </c>
      <c r="B154">
        <v>490</v>
      </c>
      <c r="C154" t="s">
        <v>1250</v>
      </c>
      <c r="D154">
        <v>1</v>
      </c>
      <c r="E154" t="s">
        <v>1492</v>
      </c>
      <c r="F154">
        <v>4</v>
      </c>
      <c r="G154">
        <v>1</v>
      </c>
      <c r="H154">
        <v>2</v>
      </c>
      <c r="I154" t="s">
        <v>975</v>
      </c>
      <c r="J154" t="s">
        <v>1297</v>
      </c>
      <c r="K154" t="s">
        <v>15</v>
      </c>
      <c r="L154" t="s">
        <v>1511</v>
      </c>
      <c r="M154" t="s">
        <v>1576</v>
      </c>
      <c r="N154" t="s">
        <v>1492</v>
      </c>
      <c r="O154" t="s">
        <v>1302</v>
      </c>
      <c r="P154" t="s">
        <v>1379</v>
      </c>
      <c r="Q154" t="s">
        <v>1302</v>
      </c>
      <c r="R154" t="s">
        <v>1379</v>
      </c>
      <c r="S154" t="s">
        <v>1302</v>
      </c>
      <c r="T154" t="s">
        <v>1379</v>
      </c>
      <c r="U154" t="s">
        <v>1302</v>
      </c>
      <c r="V154" t="s">
        <v>1379</v>
      </c>
      <c r="W154" t="s">
        <v>1302</v>
      </c>
      <c r="X154" t="s">
        <v>1372</v>
      </c>
      <c r="Y154" t="s">
        <v>1257</v>
      </c>
      <c r="Z154" t="s">
        <v>1257</v>
      </c>
      <c r="AA154" t="s">
        <v>1257</v>
      </c>
      <c r="AB154" t="s">
        <v>1257</v>
      </c>
      <c r="AC154" t="b">
        <v>0</v>
      </c>
      <c r="AD154" t="b">
        <v>0</v>
      </c>
      <c r="AE154" t="b">
        <v>0</v>
      </c>
      <c r="AF154" t="b">
        <v>0</v>
      </c>
      <c r="AG154" t="b">
        <v>0</v>
      </c>
      <c r="AH154" t="b">
        <v>0</v>
      </c>
      <c r="AI154" t="b">
        <v>0</v>
      </c>
      <c r="AJ154" t="b">
        <v>0</v>
      </c>
      <c r="AK154" t="b">
        <v>0</v>
      </c>
      <c r="AL154" t="b">
        <v>0</v>
      </c>
      <c r="AM154" t="b">
        <v>0</v>
      </c>
      <c r="AN154" t="b">
        <v>0</v>
      </c>
      <c r="AO154" t="b">
        <v>0</v>
      </c>
      <c r="AP154" t="b">
        <v>0</v>
      </c>
      <c r="AQ154" t="b">
        <v>0</v>
      </c>
      <c r="AR154" t="b">
        <v>0</v>
      </c>
      <c r="AS154" t="b">
        <v>0</v>
      </c>
      <c r="AT154" t="b">
        <v>0</v>
      </c>
      <c r="AU154" t="b">
        <v>1</v>
      </c>
      <c r="AV154" t="b">
        <v>1</v>
      </c>
      <c r="AW154" t="b">
        <v>1</v>
      </c>
      <c r="AX154" t="b">
        <v>1</v>
      </c>
      <c r="AY154" t="b">
        <v>1</v>
      </c>
      <c r="AZ154" t="b">
        <v>1</v>
      </c>
      <c r="BA154" t="b">
        <v>1</v>
      </c>
      <c r="BB154" t="b">
        <v>1</v>
      </c>
      <c r="BC154" t="b">
        <v>1</v>
      </c>
      <c r="BD154" t="b">
        <v>0</v>
      </c>
      <c r="BE154" t="b">
        <v>0</v>
      </c>
      <c r="BF154" t="b">
        <v>0</v>
      </c>
      <c r="BG154" t="b">
        <v>0</v>
      </c>
      <c r="BH154" t="b">
        <v>0</v>
      </c>
      <c r="BI154" t="b">
        <v>0</v>
      </c>
      <c r="BJ154" t="b">
        <v>0</v>
      </c>
      <c r="BK154" t="b">
        <v>0</v>
      </c>
      <c r="BL154" t="b">
        <v>0</v>
      </c>
      <c r="BM154" t="b">
        <v>0</v>
      </c>
      <c r="BN154" t="b">
        <v>0</v>
      </c>
      <c r="BO154" t="b">
        <v>0</v>
      </c>
      <c r="BP154" t="b">
        <v>0</v>
      </c>
      <c r="BQ154" t="b">
        <v>0</v>
      </c>
      <c r="BR154" t="b">
        <v>0</v>
      </c>
      <c r="BS154" t="b">
        <v>0</v>
      </c>
      <c r="BT154" t="b">
        <v>0</v>
      </c>
      <c r="BU154" t="b">
        <v>0</v>
      </c>
      <c r="BV154" t="b">
        <v>0</v>
      </c>
      <c r="BW154" t="b">
        <v>0</v>
      </c>
      <c r="BX154" t="b">
        <v>0</v>
      </c>
      <c r="BY154" t="b">
        <v>0</v>
      </c>
      <c r="BZ154" t="b">
        <v>0</v>
      </c>
      <c r="CA154" t="b">
        <v>0</v>
      </c>
      <c r="CB154" t="b">
        <v>0</v>
      </c>
      <c r="CC154" t="s">
        <v>1512</v>
      </c>
      <c r="CD154" t="s">
        <v>1492</v>
      </c>
      <c r="CE154" t="s">
        <v>1513</v>
      </c>
      <c r="CF154" t="s">
        <v>1495</v>
      </c>
      <c r="CG154" t="b">
        <v>1</v>
      </c>
      <c r="CH154">
        <v>0</v>
      </c>
      <c r="CI154" t="s">
        <v>1789</v>
      </c>
      <c r="CJ154" t="s">
        <v>1790</v>
      </c>
      <c r="CK154" t="s">
        <v>1251</v>
      </c>
      <c r="CL154" t="s">
        <v>1791</v>
      </c>
    </row>
    <row r="155" spans="1:90">
      <c r="A155">
        <v>331</v>
      </c>
      <c r="B155">
        <v>490</v>
      </c>
      <c r="C155" t="s">
        <v>1250</v>
      </c>
      <c r="D155">
        <v>2</v>
      </c>
      <c r="E155" t="s">
        <v>1492</v>
      </c>
      <c r="F155">
        <v>30</v>
      </c>
      <c r="G155">
        <v>1</v>
      </c>
      <c r="H155">
        <v>2</v>
      </c>
      <c r="I155" t="s">
        <v>975</v>
      </c>
      <c r="J155" t="s">
        <v>1297</v>
      </c>
      <c r="K155" t="s">
        <v>15</v>
      </c>
      <c r="L155" t="s">
        <v>1575</v>
      </c>
      <c r="M155" t="s">
        <v>1576</v>
      </c>
      <c r="N155" t="s">
        <v>1492</v>
      </c>
      <c r="O155" t="s">
        <v>1285</v>
      </c>
      <c r="P155" t="s">
        <v>1383</v>
      </c>
      <c r="Q155" t="s">
        <v>1285</v>
      </c>
      <c r="R155" t="s">
        <v>1383</v>
      </c>
      <c r="S155" t="s">
        <v>1285</v>
      </c>
      <c r="T155" t="s">
        <v>1383</v>
      </c>
      <c r="U155" t="s">
        <v>1285</v>
      </c>
      <c r="V155" t="s">
        <v>1383</v>
      </c>
      <c r="W155" t="s">
        <v>1285</v>
      </c>
      <c r="X155" t="s">
        <v>1372</v>
      </c>
      <c r="Y155" t="s">
        <v>1257</v>
      </c>
      <c r="Z155" t="s">
        <v>1257</v>
      </c>
      <c r="AA155" t="s">
        <v>1257</v>
      </c>
      <c r="AB155" t="s">
        <v>1257</v>
      </c>
      <c r="AC155" t="b">
        <v>0</v>
      </c>
      <c r="AD155" t="b">
        <v>0</v>
      </c>
      <c r="AE155" t="b">
        <v>0</v>
      </c>
      <c r="AF155" t="b">
        <v>0</v>
      </c>
      <c r="AG155" t="b">
        <v>0</v>
      </c>
      <c r="AH155" t="b">
        <v>0</v>
      </c>
      <c r="AI155" t="b">
        <v>0</v>
      </c>
      <c r="AJ155" t="b">
        <v>0</v>
      </c>
      <c r="AK155" t="b">
        <v>0</v>
      </c>
      <c r="AL155" t="b">
        <v>0</v>
      </c>
      <c r="AM155" t="b">
        <v>0</v>
      </c>
      <c r="AN155" t="b">
        <v>0</v>
      </c>
      <c r="AO155" t="b">
        <v>0</v>
      </c>
      <c r="AP155" t="b">
        <v>0</v>
      </c>
      <c r="AQ155" t="b">
        <v>0</v>
      </c>
      <c r="AR155" t="b">
        <v>0</v>
      </c>
      <c r="AS155" t="b">
        <v>0</v>
      </c>
      <c r="AT155" t="b">
        <v>0</v>
      </c>
      <c r="AU155" t="b">
        <v>1</v>
      </c>
      <c r="AV155" t="b">
        <v>1</v>
      </c>
      <c r="AW155" t="b">
        <v>1</v>
      </c>
      <c r="AX155" t="b">
        <v>1</v>
      </c>
      <c r="AY155" t="b">
        <v>1</v>
      </c>
      <c r="AZ155" t="b">
        <v>1</v>
      </c>
      <c r="BA155" t="b">
        <v>1</v>
      </c>
      <c r="BB155" t="b">
        <v>1</v>
      </c>
      <c r="BC155" t="b">
        <v>1</v>
      </c>
      <c r="BD155" t="b">
        <v>0</v>
      </c>
      <c r="BE155" t="b">
        <v>0</v>
      </c>
      <c r="BF155" t="b">
        <v>0</v>
      </c>
      <c r="BG155" t="b">
        <v>0</v>
      </c>
      <c r="BH155" t="b">
        <v>0</v>
      </c>
      <c r="BI155" t="b">
        <v>0</v>
      </c>
      <c r="BJ155" t="b">
        <v>0</v>
      </c>
      <c r="BK155" t="b">
        <v>0</v>
      </c>
      <c r="BL155" t="b">
        <v>0</v>
      </c>
      <c r="BM155" t="b">
        <v>0</v>
      </c>
      <c r="BN155" t="b">
        <v>0</v>
      </c>
      <c r="BO155" t="b">
        <v>0</v>
      </c>
      <c r="BP155" t="b">
        <v>0</v>
      </c>
      <c r="BQ155" t="b">
        <v>0</v>
      </c>
      <c r="BR155" t="b">
        <v>0</v>
      </c>
      <c r="BS155" t="b">
        <v>0</v>
      </c>
      <c r="BT155" t="b">
        <v>0</v>
      </c>
      <c r="BU155" t="b">
        <v>0</v>
      </c>
      <c r="BV155" t="b">
        <v>0</v>
      </c>
      <c r="BW155" t="b">
        <v>0</v>
      </c>
      <c r="BX155" t="b">
        <v>0</v>
      </c>
      <c r="BY155" t="b">
        <v>0</v>
      </c>
      <c r="BZ155" t="b">
        <v>0</v>
      </c>
      <c r="CA155" t="b">
        <v>0</v>
      </c>
      <c r="CB155" t="b">
        <v>0</v>
      </c>
      <c r="CC155" t="s">
        <v>1512</v>
      </c>
      <c r="CD155" t="s">
        <v>1492</v>
      </c>
      <c r="CE155" t="s">
        <v>1513</v>
      </c>
      <c r="CF155" t="s">
        <v>1495</v>
      </c>
      <c r="CG155" t="b">
        <v>1</v>
      </c>
      <c r="CH155">
        <v>0</v>
      </c>
      <c r="CI155" t="s">
        <v>1792</v>
      </c>
      <c r="CJ155" t="s">
        <v>1790</v>
      </c>
      <c r="CK155" t="s">
        <v>1251</v>
      </c>
      <c r="CL155" t="s">
        <v>1793</v>
      </c>
    </row>
    <row r="156" spans="1:90">
      <c r="A156">
        <v>432</v>
      </c>
      <c r="B156">
        <v>695</v>
      </c>
      <c r="C156" t="s">
        <v>1250</v>
      </c>
      <c r="D156">
        <v>1</v>
      </c>
      <c r="E156" t="s">
        <v>1492</v>
      </c>
      <c r="F156">
        <v>4</v>
      </c>
      <c r="G156">
        <v>1</v>
      </c>
      <c r="H156">
        <v>2</v>
      </c>
      <c r="I156" t="s">
        <v>1492</v>
      </c>
      <c r="J156" t="s">
        <v>1297</v>
      </c>
      <c r="K156" t="s">
        <v>16</v>
      </c>
      <c r="L156" t="s">
        <v>1492</v>
      </c>
      <c r="M156" t="s">
        <v>1576</v>
      </c>
      <c r="N156" t="s">
        <v>1492</v>
      </c>
      <c r="O156" t="s">
        <v>1302</v>
      </c>
      <c r="P156" t="s">
        <v>1379</v>
      </c>
      <c r="Q156" t="s">
        <v>1302</v>
      </c>
      <c r="R156" t="s">
        <v>1379</v>
      </c>
      <c r="S156" t="s">
        <v>1302</v>
      </c>
      <c r="T156" t="s">
        <v>1379</v>
      </c>
      <c r="U156" t="s">
        <v>1302</v>
      </c>
      <c r="V156" t="s">
        <v>1379</v>
      </c>
      <c r="W156" t="s">
        <v>1302</v>
      </c>
      <c r="X156" t="s">
        <v>1372</v>
      </c>
      <c r="Y156" t="s">
        <v>1257</v>
      </c>
      <c r="Z156" t="s">
        <v>1257</v>
      </c>
      <c r="AA156" t="s">
        <v>1257</v>
      </c>
      <c r="AB156" t="s">
        <v>1257</v>
      </c>
      <c r="AC156" t="b">
        <v>0</v>
      </c>
      <c r="AD156" t="b">
        <v>0</v>
      </c>
      <c r="AE156" t="b">
        <v>0</v>
      </c>
      <c r="AF156" t="b">
        <v>0</v>
      </c>
      <c r="AG156" t="b">
        <v>0</v>
      </c>
      <c r="AH156" t="b">
        <v>0</v>
      </c>
      <c r="AI156" t="b">
        <v>0</v>
      </c>
      <c r="AJ156" t="b">
        <v>0</v>
      </c>
      <c r="AK156" t="b">
        <v>0</v>
      </c>
      <c r="AL156" t="b">
        <v>0</v>
      </c>
      <c r="AM156" t="b">
        <v>0</v>
      </c>
      <c r="AN156" t="b">
        <v>0</v>
      </c>
      <c r="AO156" t="b">
        <v>0</v>
      </c>
      <c r="AP156" t="b">
        <v>0</v>
      </c>
      <c r="AQ156" t="b">
        <v>0</v>
      </c>
      <c r="AR156" t="b">
        <v>0</v>
      </c>
      <c r="AS156" t="b">
        <v>0</v>
      </c>
      <c r="AT156" t="b">
        <v>0</v>
      </c>
      <c r="AU156" t="b">
        <v>0</v>
      </c>
      <c r="AV156" t="b">
        <v>0</v>
      </c>
      <c r="AW156" t="b">
        <v>0</v>
      </c>
      <c r="AX156" t="b">
        <v>0</v>
      </c>
      <c r="AY156" t="b">
        <v>0</v>
      </c>
      <c r="AZ156" t="b">
        <v>0</v>
      </c>
      <c r="BA156" t="b">
        <v>0</v>
      </c>
      <c r="BB156" t="b">
        <v>0</v>
      </c>
      <c r="BC156" t="b">
        <v>0</v>
      </c>
      <c r="BD156" t="b">
        <v>0</v>
      </c>
      <c r="BE156" t="b">
        <v>0</v>
      </c>
      <c r="BF156" t="b">
        <v>0</v>
      </c>
      <c r="BG156" t="b">
        <v>0</v>
      </c>
      <c r="BH156" t="b">
        <v>0</v>
      </c>
      <c r="BI156" t="b">
        <v>0</v>
      </c>
      <c r="BJ156" t="b">
        <v>0</v>
      </c>
      <c r="BK156" t="b">
        <v>0</v>
      </c>
      <c r="BL156" t="b">
        <v>0</v>
      </c>
      <c r="BM156" t="b">
        <v>0</v>
      </c>
      <c r="BN156" t="b">
        <v>0</v>
      </c>
      <c r="BO156" t="b">
        <v>0</v>
      </c>
      <c r="BP156" t="b">
        <v>0</v>
      </c>
      <c r="BQ156" t="b">
        <v>0</v>
      </c>
      <c r="BR156" t="b">
        <v>0</v>
      </c>
      <c r="BS156" t="b">
        <v>0</v>
      </c>
      <c r="BT156" t="b">
        <v>0</v>
      </c>
      <c r="BU156" t="b">
        <v>0</v>
      </c>
      <c r="BV156" t="b">
        <v>0</v>
      </c>
      <c r="BW156" t="b">
        <v>0</v>
      </c>
      <c r="BX156" t="b">
        <v>0</v>
      </c>
      <c r="BY156" t="b">
        <v>0</v>
      </c>
      <c r="BZ156" t="b">
        <v>0</v>
      </c>
      <c r="CA156" t="b">
        <v>0</v>
      </c>
      <c r="CB156" t="b">
        <v>0</v>
      </c>
      <c r="CC156" t="s">
        <v>1253</v>
      </c>
      <c r="CD156" t="s">
        <v>1492</v>
      </c>
      <c r="CE156" t="s">
        <v>1513</v>
      </c>
      <c r="CF156" t="s">
        <v>1495</v>
      </c>
      <c r="CG156" t="b">
        <v>1</v>
      </c>
      <c r="CH156">
        <v>0</v>
      </c>
      <c r="CI156" t="s">
        <v>1794</v>
      </c>
      <c r="CJ156" t="s">
        <v>1795</v>
      </c>
      <c r="CK156" t="s">
        <v>1251</v>
      </c>
      <c r="CL156" t="s">
        <v>1796</v>
      </c>
    </row>
    <row r="157" spans="1:90">
      <c r="A157">
        <v>431</v>
      </c>
      <c r="B157">
        <v>695</v>
      </c>
      <c r="C157" t="s">
        <v>1250</v>
      </c>
      <c r="D157">
        <v>2</v>
      </c>
      <c r="E157" t="s">
        <v>1492</v>
      </c>
      <c r="F157">
        <v>4</v>
      </c>
      <c r="G157">
        <v>1</v>
      </c>
      <c r="H157">
        <v>2</v>
      </c>
      <c r="I157" t="s">
        <v>1492</v>
      </c>
      <c r="J157" t="s">
        <v>1297</v>
      </c>
      <c r="K157" t="s">
        <v>16</v>
      </c>
      <c r="L157" t="s">
        <v>1492</v>
      </c>
      <c r="M157" t="s">
        <v>1576</v>
      </c>
      <c r="N157" t="s">
        <v>1492</v>
      </c>
      <c r="O157" t="s">
        <v>1302</v>
      </c>
      <c r="P157" t="s">
        <v>1379</v>
      </c>
      <c r="Q157" t="s">
        <v>1302</v>
      </c>
      <c r="R157" t="s">
        <v>1379</v>
      </c>
      <c r="S157" t="s">
        <v>1302</v>
      </c>
      <c r="T157" t="s">
        <v>1379</v>
      </c>
      <c r="U157" t="s">
        <v>1302</v>
      </c>
      <c r="V157" t="s">
        <v>1379</v>
      </c>
      <c r="W157" t="s">
        <v>1302</v>
      </c>
      <c r="X157" t="s">
        <v>1372</v>
      </c>
      <c r="Y157" t="s">
        <v>1257</v>
      </c>
      <c r="Z157" t="s">
        <v>1257</v>
      </c>
      <c r="AA157" t="s">
        <v>1257</v>
      </c>
      <c r="AB157" t="s">
        <v>1257</v>
      </c>
      <c r="AC157" t="b">
        <v>0</v>
      </c>
      <c r="AD157" t="b">
        <v>0</v>
      </c>
      <c r="AE157" t="b">
        <v>0</v>
      </c>
      <c r="AF157" t="b">
        <v>0</v>
      </c>
      <c r="AG157" t="b">
        <v>0</v>
      </c>
      <c r="AH157" t="b">
        <v>0</v>
      </c>
      <c r="AI157" t="b">
        <v>0</v>
      </c>
      <c r="AJ157" t="b">
        <v>0</v>
      </c>
      <c r="AK157" t="b">
        <v>0</v>
      </c>
      <c r="AL157" t="b">
        <v>0</v>
      </c>
      <c r="AM157" t="b">
        <v>0</v>
      </c>
      <c r="AN157" t="b">
        <v>0</v>
      </c>
      <c r="AO157" t="b">
        <v>0</v>
      </c>
      <c r="AP157" t="b">
        <v>0</v>
      </c>
      <c r="AQ157" t="b">
        <v>0</v>
      </c>
      <c r="AR157" t="b">
        <v>0</v>
      </c>
      <c r="AS157" t="b">
        <v>0</v>
      </c>
      <c r="AT157" t="b">
        <v>0</v>
      </c>
      <c r="AU157" t="b">
        <v>0</v>
      </c>
      <c r="AV157" t="b">
        <v>0</v>
      </c>
      <c r="AW157" t="b">
        <v>0</v>
      </c>
      <c r="AX157" t="b">
        <v>0</v>
      </c>
      <c r="AY157" t="b">
        <v>0</v>
      </c>
      <c r="AZ157" t="b">
        <v>0</v>
      </c>
      <c r="BA157" t="b">
        <v>0</v>
      </c>
      <c r="BB157" t="b">
        <v>0</v>
      </c>
      <c r="BC157" t="b">
        <v>0</v>
      </c>
      <c r="BD157" t="b">
        <v>0</v>
      </c>
      <c r="BE157" t="b">
        <v>0</v>
      </c>
      <c r="BF157" t="b">
        <v>0</v>
      </c>
      <c r="BG157" t="b">
        <v>0</v>
      </c>
      <c r="BH157" t="b">
        <v>0</v>
      </c>
      <c r="BI157" t="b">
        <v>0</v>
      </c>
      <c r="BJ157" t="b">
        <v>0</v>
      </c>
      <c r="BK157" t="b">
        <v>0</v>
      </c>
      <c r="BL157" t="b">
        <v>0</v>
      </c>
      <c r="BM157" t="b">
        <v>0</v>
      </c>
      <c r="BN157" t="b">
        <v>0</v>
      </c>
      <c r="BO157" t="b">
        <v>0</v>
      </c>
      <c r="BP157" t="b">
        <v>0</v>
      </c>
      <c r="BQ157" t="b">
        <v>0</v>
      </c>
      <c r="BR157" t="b">
        <v>0</v>
      </c>
      <c r="BS157" t="b">
        <v>0</v>
      </c>
      <c r="BT157" t="b">
        <v>0</v>
      </c>
      <c r="BU157" t="b">
        <v>0</v>
      </c>
      <c r="BV157" t="b">
        <v>0</v>
      </c>
      <c r="BW157" t="b">
        <v>0</v>
      </c>
      <c r="BX157" t="b">
        <v>0</v>
      </c>
      <c r="BY157" t="b">
        <v>0</v>
      </c>
      <c r="BZ157" t="b">
        <v>0</v>
      </c>
      <c r="CA157" t="b">
        <v>0</v>
      </c>
      <c r="CB157" t="b">
        <v>0</v>
      </c>
      <c r="CC157" t="s">
        <v>1253</v>
      </c>
      <c r="CD157" t="s">
        <v>1492</v>
      </c>
      <c r="CE157" t="s">
        <v>1513</v>
      </c>
      <c r="CF157" t="s">
        <v>1495</v>
      </c>
      <c r="CG157" t="b">
        <v>1</v>
      </c>
      <c r="CH157">
        <v>0</v>
      </c>
      <c r="CI157" t="s">
        <v>1797</v>
      </c>
      <c r="CJ157" t="s">
        <v>1795</v>
      </c>
      <c r="CK157" t="s">
        <v>1251</v>
      </c>
      <c r="CL157" t="s">
        <v>1798</v>
      </c>
    </row>
    <row r="158" spans="1:90">
      <c r="A158">
        <v>334</v>
      </c>
      <c r="B158">
        <v>492</v>
      </c>
      <c r="C158" t="s">
        <v>1250</v>
      </c>
      <c r="D158">
        <v>1</v>
      </c>
      <c r="E158" t="s">
        <v>1492</v>
      </c>
      <c r="F158">
        <v>4</v>
      </c>
      <c r="G158">
        <v>1</v>
      </c>
      <c r="H158">
        <v>2</v>
      </c>
      <c r="I158" t="s">
        <v>975</v>
      </c>
      <c r="J158" t="s">
        <v>1297</v>
      </c>
      <c r="K158" t="s">
        <v>15</v>
      </c>
      <c r="L158" t="s">
        <v>1511</v>
      </c>
      <c r="M158" t="s">
        <v>1576</v>
      </c>
      <c r="N158" t="s">
        <v>1492</v>
      </c>
      <c r="O158" t="s">
        <v>1302</v>
      </c>
      <c r="P158" t="s">
        <v>1379</v>
      </c>
      <c r="Q158" t="s">
        <v>1302</v>
      </c>
      <c r="R158" t="s">
        <v>1379</v>
      </c>
      <c r="S158" t="s">
        <v>1302</v>
      </c>
      <c r="T158" t="s">
        <v>1379</v>
      </c>
      <c r="U158" t="s">
        <v>1302</v>
      </c>
      <c r="V158" t="s">
        <v>1379</v>
      </c>
      <c r="W158" t="s">
        <v>1302</v>
      </c>
      <c r="X158" t="s">
        <v>1372</v>
      </c>
      <c r="Y158" t="s">
        <v>1257</v>
      </c>
      <c r="Z158" t="s">
        <v>1257</v>
      </c>
      <c r="AA158" t="s">
        <v>1257</v>
      </c>
      <c r="AB158" t="s">
        <v>1257</v>
      </c>
      <c r="AC158" t="b">
        <v>0</v>
      </c>
      <c r="AD158" t="b">
        <v>0</v>
      </c>
      <c r="AE158" t="b">
        <v>0</v>
      </c>
      <c r="AF158" t="b">
        <v>0</v>
      </c>
      <c r="AG158" t="b">
        <v>0</v>
      </c>
      <c r="AH158" t="b">
        <v>0</v>
      </c>
      <c r="AI158" t="b">
        <v>1</v>
      </c>
      <c r="AJ158" t="b">
        <v>1</v>
      </c>
      <c r="AK158" t="b">
        <v>1</v>
      </c>
      <c r="AL158" t="b">
        <v>1</v>
      </c>
      <c r="AM158" t="b">
        <v>1</v>
      </c>
      <c r="AN158" t="b">
        <v>1</v>
      </c>
      <c r="AO158" t="b">
        <v>1</v>
      </c>
      <c r="AP158" t="b">
        <v>1</v>
      </c>
      <c r="AQ158" t="b">
        <v>1</v>
      </c>
      <c r="AR158" t="b">
        <v>0</v>
      </c>
      <c r="AS158" t="b">
        <v>0</v>
      </c>
      <c r="AT158" t="b">
        <v>0</v>
      </c>
      <c r="AU158" t="b">
        <v>0</v>
      </c>
      <c r="AV158" t="b">
        <v>0</v>
      </c>
      <c r="AW158" t="b">
        <v>0</v>
      </c>
      <c r="AX158" t="b">
        <v>0</v>
      </c>
      <c r="AY158" t="b">
        <v>0</v>
      </c>
      <c r="AZ158" t="b">
        <v>0</v>
      </c>
      <c r="BA158" t="b">
        <v>0</v>
      </c>
      <c r="BB158" t="b">
        <v>0</v>
      </c>
      <c r="BC158" t="b">
        <v>0</v>
      </c>
      <c r="BD158" t="b">
        <v>0</v>
      </c>
      <c r="BE158" t="b">
        <v>0</v>
      </c>
      <c r="BF158" t="b">
        <v>0</v>
      </c>
      <c r="BG158" t="b">
        <v>0</v>
      </c>
      <c r="BH158" t="b">
        <v>0</v>
      </c>
      <c r="BI158" t="b">
        <v>0</v>
      </c>
      <c r="BJ158" t="b">
        <v>0</v>
      </c>
      <c r="BK158" t="b">
        <v>0</v>
      </c>
      <c r="BL158" t="b">
        <v>0</v>
      </c>
      <c r="BM158" t="b">
        <v>0</v>
      </c>
      <c r="BN158" t="b">
        <v>0</v>
      </c>
      <c r="BO158" t="b">
        <v>0</v>
      </c>
      <c r="BP158" t="b">
        <v>0</v>
      </c>
      <c r="BQ158" t="b">
        <v>0</v>
      </c>
      <c r="BR158" t="b">
        <v>0</v>
      </c>
      <c r="BS158" t="b">
        <v>0</v>
      </c>
      <c r="BT158" t="b">
        <v>0</v>
      </c>
      <c r="BU158" t="b">
        <v>0</v>
      </c>
      <c r="BV158" t="b">
        <v>0</v>
      </c>
      <c r="BW158" t="b">
        <v>0</v>
      </c>
      <c r="BX158" t="b">
        <v>0</v>
      </c>
      <c r="BY158" t="b">
        <v>0</v>
      </c>
      <c r="BZ158" t="b">
        <v>0</v>
      </c>
      <c r="CA158" t="b">
        <v>0</v>
      </c>
      <c r="CB158" t="b">
        <v>0</v>
      </c>
      <c r="CC158" t="s">
        <v>1512</v>
      </c>
      <c r="CD158" t="s">
        <v>1492</v>
      </c>
      <c r="CE158" t="s">
        <v>1518</v>
      </c>
      <c r="CF158" t="s">
        <v>1495</v>
      </c>
      <c r="CG158" t="b">
        <v>1</v>
      </c>
      <c r="CH158">
        <v>0</v>
      </c>
      <c r="CI158" t="s">
        <v>1799</v>
      </c>
      <c r="CJ158" t="s">
        <v>1800</v>
      </c>
      <c r="CK158" t="s">
        <v>1251</v>
      </c>
      <c r="CL158" t="s">
        <v>1801</v>
      </c>
    </row>
    <row r="159" spans="1:90">
      <c r="A159">
        <v>333</v>
      </c>
      <c r="B159">
        <v>492</v>
      </c>
      <c r="C159" t="s">
        <v>1250</v>
      </c>
      <c r="D159">
        <v>2</v>
      </c>
      <c r="E159" t="s">
        <v>1492</v>
      </c>
      <c r="F159">
        <v>4</v>
      </c>
      <c r="G159">
        <v>1</v>
      </c>
      <c r="H159">
        <v>2</v>
      </c>
      <c r="I159" t="s">
        <v>975</v>
      </c>
      <c r="J159" t="s">
        <v>1297</v>
      </c>
      <c r="K159" t="s">
        <v>15</v>
      </c>
      <c r="L159" t="s">
        <v>1511</v>
      </c>
      <c r="M159" t="s">
        <v>1576</v>
      </c>
      <c r="N159" t="s">
        <v>1492</v>
      </c>
      <c r="O159" t="s">
        <v>1302</v>
      </c>
      <c r="P159" t="s">
        <v>1379</v>
      </c>
      <c r="Q159" t="s">
        <v>1302</v>
      </c>
      <c r="R159" t="s">
        <v>1379</v>
      </c>
      <c r="S159" t="s">
        <v>1302</v>
      </c>
      <c r="T159" t="s">
        <v>1379</v>
      </c>
      <c r="U159" t="s">
        <v>1302</v>
      </c>
      <c r="V159" t="s">
        <v>1379</v>
      </c>
      <c r="W159" t="s">
        <v>1302</v>
      </c>
      <c r="X159" t="s">
        <v>1372</v>
      </c>
      <c r="Y159" t="s">
        <v>1257</v>
      </c>
      <c r="Z159" t="s">
        <v>1257</v>
      </c>
      <c r="AA159" t="s">
        <v>1257</v>
      </c>
      <c r="AB159" t="s">
        <v>1257</v>
      </c>
      <c r="AC159" t="b">
        <v>0</v>
      </c>
      <c r="AD159" t="b">
        <v>0</v>
      </c>
      <c r="AE159" t="b">
        <v>0</v>
      </c>
      <c r="AF159" t="b">
        <v>0</v>
      </c>
      <c r="AG159" t="b">
        <v>0</v>
      </c>
      <c r="AH159" t="b">
        <v>0</v>
      </c>
      <c r="AI159" t="b">
        <v>1</v>
      </c>
      <c r="AJ159" t="b">
        <v>1</v>
      </c>
      <c r="AK159" t="b">
        <v>1</v>
      </c>
      <c r="AL159" t="b">
        <v>1</v>
      </c>
      <c r="AM159" t="b">
        <v>1</v>
      </c>
      <c r="AN159" t="b">
        <v>1</v>
      </c>
      <c r="AO159" t="b">
        <v>1</v>
      </c>
      <c r="AP159" t="b">
        <v>1</v>
      </c>
      <c r="AQ159" t="b">
        <v>1</v>
      </c>
      <c r="AR159" t="b">
        <v>0</v>
      </c>
      <c r="AS159" t="b">
        <v>0</v>
      </c>
      <c r="AT159" t="b">
        <v>0</v>
      </c>
      <c r="AU159" t="b">
        <v>0</v>
      </c>
      <c r="AV159" t="b">
        <v>0</v>
      </c>
      <c r="AW159" t="b">
        <v>0</v>
      </c>
      <c r="AX159" t="b">
        <v>0</v>
      </c>
      <c r="AY159" t="b">
        <v>0</v>
      </c>
      <c r="AZ159" t="b">
        <v>0</v>
      </c>
      <c r="BA159" t="b">
        <v>0</v>
      </c>
      <c r="BB159" t="b">
        <v>0</v>
      </c>
      <c r="BC159" t="b">
        <v>0</v>
      </c>
      <c r="BD159" t="b">
        <v>0</v>
      </c>
      <c r="BE159" t="b">
        <v>0</v>
      </c>
      <c r="BF159" t="b">
        <v>0</v>
      </c>
      <c r="BG159" t="b">
        <v>0</v>
      </c>
      <c r="BH159" t="b">
        <v>0</v>
      </c>
      <c r="BI159" t="b">
        <v>0</v>
      </c>
      <c r="BJ159" t="b">
        <v>0</v>
      </c>
      <c r="BK159" t="b">
        <v>0</v>
      </c>
      <c r="BL159" t="b">
        <v>0</v>
      </c>
      <c r="BM159" t="b">
        <v>0</v>
      </c>
      <c r="BN159" t="b">
        <v>0</v>
      </c>
      <c r="BO159" t="b">
        <v>0</v>
      </c>
      <c r="BP159" t="b">
        <v>0</v>
      </c>
      <c r="BQ159" t="b">
        <v>0</v>
      </c>
      <c r="BR159" t="b">
        <v>0</v>
      </c>
      <c r="BS159" t="b">
        <v>0</v>
      </c>
      <c r="BT159" t="b">
        <v>0</v>
      </c>
      <c r="BU159" t="b">
        <v>0</v>
      </c>
      <c r="BV159" t="b">
        <v>0</v>
      </c>
      <c r="BW159" t="b">
        <v>0</v>
      </c>
      <c r="BX159" t="b">
        <v>0</v>
      </c>
      <c r="BY159" t="b">
        <v>0</v>
      </c>
      <c r="BZ159" t="b">
        <v>0</v>
      </c>
      <c r="CA159" t="b">
        <v>0</v>
      </c>
      <c r="CB159" t="b">
        <v>0</v>
      </c>
      <c r="CC159" t="s">
        <v>1512</v>
      </c>
      <c r="CD159" t="s">
        <v>1492</v>
      </c>
      <c r="CE159" t="s">
        <v>1518</v>
      </c>
      <c r="CF159" t="s">
        <v>1495</v>
      </c>
      <c r="CG159" t="b">
        <v>1</v>
      </c>
      <c r="CH159">
        <v>0</v>
      </c>
      <c r="CI159" t="s">
        <v>1799</v>
      </c>
      <c r="CJ159" t="s">
        <v>1800</v>
      </c>
      <c r="CK159" t="s">
        <v>1251</v>
      </c>
      <c r="CL159" t="s">
        <v>1802</v>
      </c>
    </row>
    <row r="160" spans="1:90">
      <c r="A160">
        <v>336</v>
      </c>
      <c r="B160">
        <v>493</v>
      </c>
      <c r="C160" t="s">
        <v>1250</v>
      </c>
      <c r="D160">
        <v>1</v>
      </c>
      <c r="E160" t="s">
        <v>1492</v>
      </c>
      <c r="F160">
        <v>3</v>
      </c>
      <c r="G160">
        <v>1</v>
      </c>
      <c r="H160">
        <v>2</v>
      </c>
      <c r="I160" t="s">
        <v>1492</v>
      </c>
      <c r="J160" t="s">
        <v>1297</v>
      </c>
      <c r="K160" t="s">
        <v>16</v>
      </c>
      <c r="L160" t="s">
        <v>1522</v>
      </c>
      <c r="M160" t="s">
        <v>1576</v>
      </c>
      <c r="N160" t="s">
        <v>1492</v>
      </c>
      <c r="O160" t="s">
        <v>1302</v>
      </c>
      <c r="P160" t="s">
        <v>1379</v>
      </c>
      <c r="Q160" t="s">
        <v>1302</v>
      </c>
      <c r="R160" t="s">
        <v>1379</v>
      </c>
      <c r="S160" t="s">
        <v>1302</v>
      </c>
      <c r="T160" t="s">
        <v>1379</v>
      </c>
      <c r="U160" t="s">
        <v>1302</v>
      </c>
      <c r="V160" t="s">
        <v>1379</v>
      </c>
      <c r="W160" t="s">
        <v>1302</v>
      </c>
      <c r="X160" t="s">
        <v>1372</v>
      </c>
      <c r="Y160" t="s">
        <v>1257</v>
      </c>
      <c r="Z160" t="s">
        <v>1257</v>
      </c>
      <c r="AA160" t="s">
        <v>1257</v>
      </c>
      <c r="AB160" t="s">
        <v>1257</v>
      </c>
      <c r="AC160" t="b">
        <v>0</v>
      </c>
      <c r="AD160" t="b">
        <v>0</v>
      </c>
      <c r="AE160" t="b">
        <v>0</v>
      </c>
      <c r="AF160" t="b">
        <v>0</v>
      </c>
      <c r="AG160" t="b">
        <v>0</v>
      </c>
      <c r="AH160" t="b">
        <v>0</v>
      </c>
      <c r="AI160" t="b">
        <v>1</v>
      </c>
      <c r="AJ160" t="b">
        <v>1</v>
      </c>
      <c r="AK160" t="b">
        <v>1</v>
      </c>
      <c r="AL160" t="b">
        <v>1</v>
      </c>
      <c r="AM160" t="b">
        <v>1</v>
      </c>
      <c r="AN160" t="b">
        <v>1</v>
      </c>
      <c r="AO160" t="b">
        <v>1</v>
      </c>
      <c r="AP160" t="b">
        <v>1</v>
      </c>
      <c r="AQ160" t="b">
        <v>1</v>
      </c>
      <c r="AR160" t="b">
        <v>0</v>
      </c>
      <c r="AS160" t="b">
        <v>0</v>
      </c>
      <c r="AT160" t="b">
        <v>0</v>
      </c>
      <c r="AU160" t="b">
        <v>0</v>
      </c>
      <c r="AV160" t="b">
        <v>0</v>
      </c>
      <c r="AW160" t="b">
        <v>0</v>
      </c>
      <c r="AX160" t="b">
        <v>0</v>
      </c>
      <c r="AY160" t="b">
        <v>0</v>
      </c>
      <c r="AZ160" t="b">
        <v>0</v>
      </c>
      <c r="BA160" t="b">
        <v>0</v>
      </c>
      <c r="BB160" t="b">
        <v>0</v>
      </c>
      <c r="BC160" t="b">
        <v>0</v>
      </c>
      <c r="BD160" t="b">
        <v>0</v>
      </c>
      <c r="BE160" t="b">
        <v>0</v>
      </c>
      <c r="BF160" t="b">
        <v>0</v>
      </c>
      <c r="BG160" t="b">
        <v>0</v>
      </c>
      <c r="BH160" t="b">
        <v>0</v>
      </c>
      <c r="BI160" t="b">
        <v>0</v>
      </c>
      <c r="BJ160" t="b">
        <v>0</v>
      </c>
      <c r="BK160" t="b">
        <v>0</v>
      </c>
      <c r="BL160" t="b">
        <v>0</v>
      </c>
      <c r="BM160" t="b">
        <v>0</v>
      </c>
      <c r="BN160" t="b">
        <v>0</v>
      </c>
      <c r="BO160" t="b">
        <v>0</v>
      </c>
      <c r="BP160" t="b">
        <v>0</v>
      </c>
      <c r="BQ160" t="b">
        <v>0</v>
      </c>
      <c r="BR160" t="b">
        <v>0</v>
      </c>
      <c r="BS160" t="b">
        <v>0</v>
      </c>
      <c r="BT160" t="b">
        <v>0</v>
      </c>
      <c r="BU160" t="b">
        <v>0</v>
      </c>
      <c r="BV160" t="b">
        <v>0</v>
      </c>
      <c r="BW160" t="b">
        <v>0</v>
      </c>
      <c r="BX160" t="b">
        <v>0</v>
      </c>
      <c r="BY160" t="b">
        <v>0</v>
      </c>
      <c r="BZ160" t="b">
        <v>0</v>
      </c>
      <c r="CA160" t="b">
        <v>0</v>
      </c>
      <c r="CB160" t="b">
        <v>0</v>
      </c>
      <c r="CC160" t="s">
        <v>1512</v>
      </c>
      <c r="CD160" t="s">
        <v>1492</v>
      </c>
      <c r="CE160" t="s">
        <v>1518</v>
      </c>
      <c r="CF160" t="s">
        <v>1495</v>
      </c>
      <c r="CG160" t="b">
        <v>1</v>
      </c>
      <c r="CH160">
        <v>0</v>
      </c>
      <c r="CI160" t="s">
        <v>1803</v>
      </c>
      <c r="CJ160" t="s">
        <v>1804</v>
      </c>
      <c r="CK160" t="s">
        <v>1251</v>
      </c>
      <c r="CL160" t="s">
        <v>1805</v>
      </c>
    </row>
    <row r="161" spans="1:90">
      <c r="A161">
        <v>335</v>
      </c>
      <c r="B161">
        <v>493</v>
      </c>
      <c r="C161" t="s">
        <v>1250</v>
      </c>
      <c r="D161">
        <v>2</v>
      </c>
      <c r="E161" t="s">
        <v>1492</v>
      </c>
      <c r="F161">
        <v>3</v>
      </c>
      <c r="G161">
        <v>1</v>
      </c>
      <c r="H161">
        <v>2</v>
      </c>
      <c r="I161" t="s">
        <v>1492</v>
      </c>
      <c r="J161" t="s">
        <v>1297</v>
      </c>
      <c r="K161" t="s">
        <v>16</v>
      </c>
      <c r="L161" t="s">
        <v>1522</v>
      </c>
      <c r="M161" t="s">
        <v>1576</v>
      </c>
      <c r="N161" t="s">
        <v>1492</v>
      </c>
      <c r="O161" t="s">
        <v>1302</v>
      </c>
      <c r="P161" t="s">
        <v>1379</v>
      </c>
      <c r="Q161" t="s">
        <v>1302</v>
      </c>
      <c r="R161" t="s">
        <v>1379</v>
      </c>
      <c r="S161" t="s">
        <v>1302</v>
      </c>
      <c r="T161" t="s">
        <v>1379</v>
      </c>
      <c r="U161" t="s">
        <v>1302</v>
      </c>
      <c r="V161" t="s">
        <v>1379</v>
      </c>
      <c r="W161" t="s">
        <v>1302</v>
      </c>
      <c r="X161" t="s">
        <v>1372</v>
      </c>
      <c r="Y161" t="s">
        <v>1257</v>
      </c>
      <c r="Z161" t="s">
        <v>1257</v>
      </c>
      <c r="AA161" t="s">
        <v>1257</v>
      </c>
      <c r="AB161" t="s">
        <v>1257</v>
      </c>
      <c r="AC161" t="b">
        <v>0</v>
      </c>
      <c r="AD161" t="b">
        <v>0</v>
      </c>
      <c r="AE161" t="b">
        <v>0</v>
      </c>
      <c r="AF161" t="b">
        <v>0</v>
      </c>
      <c r="AG161" t="b">
        <v>0</v>
      </c>
      <c r="AH161" t="b">
        <v>0</v>
      </c>
      <c r="AI161" t="b">
        <v>1</v>
      </c>
      <c r="AJ161" t="b">
        <v>1</v>
      </c>
      <c r="AK161" t="b">
        <v>1</v>
      </c>
      <c r="AL161" t="b">
        <v>1</v>
      </c>
      <c r="AM161" t="b">
        <v>1</v>
      </c>
      <c r="AN161" t="b">
        <v>1</v>
      </c>
      <c r="AO161" t="b">
        <v>1</v>
      </c>
      <c r="AP161" t="b">
        <v>1</v>
      </c>
      <c r="AQ161" t="b">
        <v>1</v>
      </c>
      <c r="AR161" t="b">
        <v>0</v>
      </c>
      <c r="AS161" t="b">
        <v>0</v>
      </c>
      <c r="AT161" t="b">
        <v>0</v>
      </c>
      <c r="AU161" t="b">
        <v>0</v>
      </c>
      <c r="AV161" t="b">
        <v>0</v>
      </c>
      <c r="AW161" t="b">
        <v>0</v>
      </c>
      <c r="AX161" t="b">
        <v>0</v>
      </c>
      <c r="AY161" t="b">
        <v>0</v>
      </c>
      <c r="AZ161" t="b">
        <v>0</v>
      </c>
      <c r="BA161" t="b">
        <v>0</v>
      </c>
      <c r="BB161" t="b">
        <v>0</v>
      </c>
      <c r="BC161" t="b">
        <v>0</v>
      </c>
      <c r="BD161" t="b">
        <v>0</v>
      </c>
      <c r="BE161" t="b">
        <v>0</v>
      </c>
      <c r="BF161" t="b">
        <v>0</v>
      </c>
      <c r="BG161" t="b">
        <v>0</v>
      </c>
      <c r="BH161" t="b">
        <v>0</v>
      </c>
      <c r="BI161" t="b">
        <v>0</v>
      </c>
      <c r="BJ161" t="b">
        <v>0</v>
      </c>
      <c r="BK161" t="b">
        <v>0</v>
      </c>
      <c r="BL161" t="b">
        <v>0</v>
      </c>
      <c r="BM161" t="b">
        <v>0</v>
      </c>
      <c r="BN161" t="b">
        <v>0</v>
      </c>
      <c r="BO161" t="b">
        <v>0</v>
      </c>
      <c r="BP161" t="b">
        <v>0</v>
      </c>
      <c r="BQ161" t="b">
        <v>0</v>
      </c>
      <c r="BR161" t="b">
        <v>0</v>
      </c>
      <c r="BS161" t="b">
        <v>0</v>
      </c>
      <c r="BT161" t="b">
        <v>0</v>
      </c>
      <c r="BU161" t="b">
        <v>0</v>
      </c>
      <c r="BV161" t="b">
        <v>0</v>
      </c>
      <c r="BW161" t="b">
        <v>0</v>
      </c>
      <c r="BX161" t="b">
        <v>0</v>
      </c>
      <c r="BY161" t="b">
        <v>0</v>
      </c>
      <c r="BZ161" t="b">
        <v>0</v>
      </c>
      <c r="CA161" t="b">
        <v>0</v>
      </c>
      <c r="CB161" t="b">
        <v>0</v>
      </c>
      <c r="CC161" t="s">
        <v>1512</v>
      </c>
      <c r="CD161" t="s">
        <v>1492</v>
      </c>
      <c r="CE161" t="s">
        <v>1518</v>
      </c>
      <c r="CF161" t="s">
        <v>1495</v>
      </c>
      <c r="CG161" t="b">
        <v>1</v>
      </c>
      <c r="CH161">
        <v>0</v>
      </c>
      <c r="CI161" t="s">
        <v>1803</v>
      </c>
      <c r="CJ161" t="s">
        <v>1804</v>
      </c>
      <c r="CK161" t="s">
        <v>1251</v>
      </c>
      <c r="CL161" t="s">
        <v>1806</v>
      </c>
    </row>
    <row r="162" spans="1:90">
      <c r="A162">
        <v>338</v>
      </c>
      <c r="B162">
        <v>496</v>
      </c>
      <c r="C162" t="s">
        <v>1250</v>
      </c>
      <c r="D162">
        <v>1</v>
      </c>
      <c r="E162" t="s">
        <v>1492</v>
      </c>
      <c r="F162">
        <v>10</v>
      </c>
      <c r="G162">
        <v>1</v>
      </c>
      <c r="H162">
        <v>2</v>
      </c>
      <c r="I162" t="s">
        <v>1003</v>
      </c>
      <c r="J162" t="s">
        <v>1297</v>
      </c>
      <c r="K162" t="s">
        <v>15</v>
      </c>
      <c r="L162" t="s">
        <v>1511</v>
      </c>
      <c r="M162" t="s">
        <v>1576</v>
      </c>
      <c r="N162" t="s">
        <v>1492</v>
      </c>
      <c r="O162" t="s">
        <v>1302</v>
      </c>
      <c r="P162" t="s">
        <v>1379</v>
      </c>
      <c r="Q162" t="s">
        <v>1302</v>
      </c>
      <c r="R162" t="s">
        <v>1379</v>
      </c>
      <c r="S162" t="s">
        <v>1302</v>
      </c>
      <c r="T162" t="s">
        <v>1379</v>
      </c>
      <c r="U162" t="s">
        <v>1302</v>
      </c>
      <c r="V162" t="s">
        <v>1379</v>
      </c>
      <c r="W162" t="s">
        <v>1302</v>
      </c>
      <c r="X162" t="s">
        <v>1372</v>
      </c>
      <c r="Y162" t="s">
        <v>1257</v>
      </c>
      <c r="Z162" t="s">
        <v>1257</v>
      </c>
      <c r="AA162" t="s">
        <v>1257</v>
      </c>
      <c r="AB162" t="s">
        <v>1257</v>
      </c>
      <c r="AC162" t="b">
        <v>0</v>
      </c>
      <c r="AD162" t="b">
        <v>0</v>
      </c>
      <c r="AE162" t="b">
        <v>0</v>
      </c>
      <c r="AF162" t="b">
        <v>0</v>
      </c>
      <c r="AG162" t="b">
        <v>0</v>
      </c>
      <c r="AH162" t="b">
        <v>0</v>
      </c>
      <c r="AI162" t="b">
        <v>1</v>
      </c>
      <c r="AJ162" t="b">
        <v>1</v>
      </c>
      <c r="AK162" t="b">
        <v>1</v>
      </c>
      <c r="AL162" t="b">
        <v>1</v>
      </c>
      <c r="AM162" t="b">
        <v>1</v>
      </c>
      <c r="AN162" t="b">
        <v>1</v>
      </c>
      <c r="AO162" t="b">
        <v>1</v>
      </c>
      <c r="AP162" t="b">
        <v>1</v>
      </c>
      <c r="AQ162" t="b">
        <v>1</v>
      </c>
      <c r="AR162" t="b">
        <v>0</v>
      </c>
      <c r="AS162" t="b">
        <v>0</v>
      </c>
      <c r="AT162" t="b">
        <v>0</v>
      </c>
      <c r="AU162" t="b">
        <v>0</v>
      </c>
      <c r="AV162" t="b">
        <v>0</v>
      </c>
      <c r="AW162" t="b">
        <v>0</v>
      </c>
      <c r="AX162" t="b">
        <v>0</v>
      </c>
      <c r="AY162" t="b">
        <v>0</v>
      </c>
      <c r="AZ162" t="b">
        <v>0</v>
      </c>
      <c r="BA162" t="b">
        <v>0</v>
      </c>
      <c r="BB162" t="b">
        <v>0</v>
      </c>
      <c r="BC162" t="b">
        <v>0</v>
      </c>
      <c r="BD162" t="b">
        <v>0</v>
      </c>
      <c r="BE162" t="b">
        <v>0</v>
      </c>
      <c r="BF162" t="b">
        <v>0</v>
      </c>
      <c r="BG162" t="b">
        <v>0</v>
      </c>
      <c r="BH162" t="b">
        <v>0</v>
      </c>
      <c r="BI162" t="b">
        <v>0</v>
      </c>
      <c r="BJ162" t="b">
        <v>0</v>
      </c>
      <c r="BK162" t="b">
        <v>0</v>
      </c>
      <c r="BL162" t="b">
        <v>0</v>
      </c>
      <c r="BM162" t="b">
        <v>0</v>
      </c>
      <c r="BN162" t="b">
        <v>0</v>
      </c>
      <c r="BO162" t="b">
        <v>0</v>
      </c>
      <c r="BP162" t="b">
        <v>0</v>
      </c>
      <c r="BQ162" t="b">
        <v>0</v>
      </c>
      <c r="BR162" t="b">
        <v>0</v>
      </c>
      <c r="BS162" t="b">
        <v>0</v>
      </c>
      <c r="BT162" t="b">
        <v>0</v>
      </c>
      <c r="BU162" t="b">
        <v>0</v>
      </c>
      <c r="BV162" t="b">
        <v>0</v>
      </c>
      <c r="BW162" t="b">
        <v>0</v>
      </c>
      <c r="BX162" t="b">
        <v>0</v>
      </c>
      <c r="BY162" t="b">
        <v>0</v>
      </c>
      <c r="BZ162" t="b">
        <v>0</v>
      </c>
      <c r="CA162" t="b">
        <v>0</v>
      </c>
      <c r="CB162" t="b">
        <v>0</v>
      </c>
      <c r="CC162" t="s">
        <v>1512</v>
      </c>
      <c r="CD162" t="s">
        <v>1492</v>
      </c>
      <c r="CE162" t="s">
        <v>1513</v>
      </c>
      <c r="CF162" t="s">
        <v>1495</v>
      </c>
      <c r="CG162" t="b">
        <v>1</v>
      </c>
      <c r="CH162">
        <v>0</v>
      </c>
      <c r="CI162" t="s">
        <v>1807</v>
      </c>
      <c r="CJ162" t="s">
        <v>1808</v>
      </c>
      <c r="CK162" t="s">
        <v>1251</v>
      </c>
      <c r="CL162" t="s">
        <v>1809</v>
      </c>
    </row>
    <row r="163" spans="1:90">
      <c r="A163">
        <v>337</v>
      </c>
      <c r="B163">
        <v>496</v>
      </c>
      <c r="C163" t="s">
        <v>1250</v>
      </c>
      <c r="D163">
        <v>2</v>
      </c>
      <c r="E163" t="s">
        <v>1492</v>
      </c>
      <c r="F163">
        <v>10</v>
      </c>
      <c r="G163">
        <v>1</v>
      </c>
      <c r="H163">
        <v>2</v>
      </c>
      <c r="I163" t="s">
        <v>1003</v>
      </c>
      <c r="J163" t="s">
        <v>1297</v>
      </c>
      <c r="K163" t="s">
        <v>15</v>
      </c>
      <c r="L163" t="s">
        <v>1511</v>
      </c>
      <c r="M163" t="s">
        <v>1576</v>
      </c>
      <c r="N163" t="s">
        <v>1492</v>
      </c>
      <c r="O163" t="s">
        <v>1302</v>
      </c>
      <c r="P163" t="s">
        <v>1379</v>
      </c>
      <c r="Q163" t="s">
        <v>1302</v>
      </c>
      <c r="R163" t="s">
        <v>1379</v>
      </c>
      <c r="S163" t="s">
        <v>1302</v>
      </c>
      <c r="T163" t="s">
        <v>1379</v>
      </c>
      <c r="U163" t="s">
        <v>1302</v>
      </c>
      <c r="V163" t="s">
        <v>1379</v>
      </c>
      <c r="W163" t="s">
        <v>1302</v>
      </c>
      <c r="X163" t="s">
        <v>1372</v>
      </c>
      <c r="Y163" t="s">
        <v>1257</v>
      </c>
      <c r="Z163" t="s">
        <v>1257</v>
      </c>
      <c r="AA163" t="s">
        <v>1257</v>
      </c>
      <c r="AB163" t="s">
        <v>1257</v>
      </c>
      <c r="AC163" t="b">
        <v>0</v>
      </c>
      <c r="AD163" t="b">
        <v>0</v>
      </c>
      <c r="AE163" t="b">
        <v>0</v>
      </c>
      <c r="AF163" t="b">
        <v>0</v>
      </c>
      <c r="AG163" t="b">
        <v>0</v>
      </c>
      <c r="AH163" t="b">
        <v>0</v>
      </c>
      <c r="AI163" t="b">
        <v>1</v>
      </c>
      <c r="AJ163" t="b">
        <v>1</v>
      </c>
      <c r="AK163" t="b">
        <v>1</v>
      </c>
      <c r="AL163" t="b">
        <v>1</v>
      </c>
      <c r="AM163" t="b">
        <v>1</v>
      </c>
      <c r="AN163" t="b">
        <v>1</v>
      </c>
      <c r="AO163" t="b">
        <v>1</v>
      </c>
      <c r="AP163" t="b">
        <v>1</v>
      </c>
      <c r="AQ163" t="b">
        <v>1</v>
      </c>
      <c r="AR163" t="b">
        <v>0</v>
      </c>
      <c r="AS163" t="b">
        <v>0</v>
      </c>
      <c r="AT163" t="b">
        <v>0</v>
      </c>
      <c r="AU163" t="b">
        <v>0</v>
      </c>
      <c r="AV163" t="b">
        <v>0</v>
      </c>
      <c r="AW163" t="b">
        <v>0</v>
      </c>
      <c r="AX163" t="b">
        <v>0</v>
      </c>
      <c r="AY163" t="b">
        <v>0</v>
      </c>
      <c r="AZ163" t="b">
        <v>0</v>
      </c>
      <c r="BA163" t="b">
        <v>0</v>
      </c>
      <c r="BB163" t="b">
        <v>0</v>
      </c>
      <c r="BC163" t="b">
        <v>0</v>
      </c>
      <c r="BD163" t="b">
        <v>0</v>
      </c>
      <c r="BE163" t="b">
        <v>0</v>
      </c>
      <c r="BF163" t="b">
        <v>0</v>
      </c>
      <c r="BG163" t="b">
        <v>0</v>
      </c>
      <c r="BH163" t="b">
        <v>0</v>
      </c>
      <c r="BI163" t="b">
        <v>0</v>
      </c>
      <c r="BJ163" t="b">
        <v>0</v>
      </c>
      <c r="BK163" t="b">
        <v>0</v>
      </c>
      <c r="BL163" t="b">
        <v>0</v>
      </c>
      <c r="BM163" t="b">
        <v>0</v>
      </c>
      <c r="BN163" t="b">
        <v>0</v>
      </c>
      <c r="BO163" t="b">
        <v>0</v>
      </c>
      <c r="BP163" t="b">
        <v>0</v>
      </c>
      <c r="BQ163" t="b">
        <v>0</v>
      </c>
      <c r="BR163" t="b">
        <v>0</v>
      </c>
      <c r="BS163" t="b">
        <v>0</v>
      </c>
      <c r="BT163" t="b">
        <v>0</v>
      </c>
      <c r="BU163" t="b">
        <v>0</v>
      </c>
      <c r="BV163" t="b">
        <v>0</v>
      </c>
      <c r="BW163" t="b">
        <v>0</v>
      </c>
      <c r="BX163" t="b">
        <v>0</v>
      </c>
      <c r="BY163" t="b">
        <v>0</v>
      </c>
      <c r="BZ163" t="b">
        <v>0</v>
      </c>
      <c r="CA163" t="b">
        <v>0</v>
      </c>
      <c r="CB163" t="b">
        <v>0</v>
      </c>
      <c r="CC163" t="s">
        <v>1512</v>
      </c>
      <c r="CD163" t="s">
        <v>1492</v>
      </c>
      <c r="CE163" t="s">
        <v>1513</v>
      </c>
      <c r="CF163" t="s">
        <v>1495</v>
      </c>
      <c r="CG163" t="b">
        <v>1</v>
      </c>
      <c r="CH163">
        <v>0</v>
      </c>
      <c r="CI163" t="s">
        <v>1810</v>
      </c>
      <c r="CJ163" t="s">
        <v>1808</v>
      </c>
      <c r="CK163" t="s">
        <v>1251</v>
      </c>
      <c r="CL163" t="s">
        <v>1811</v>
      </c>
    </row>
    <row r="164" spans="1:90">
      <c r="A164">
        <v>475</v>
      </c>
      <c r="B164">
        <v>100009</v>
      </c>
      <c r="C164" t="s">
        <v>1250</v>
      </c>
      <c r="D164">
        <v>1</v>
      </c>
      <c r="E164" t="s">
        <v>1492</v>
      </c>
      <c r="F164">
        <v>3</v>
      </c>
      <c r="G164">
        <v>1</v>
      </c>
      <c r="H164">
        <v>2</v>
      </c>
      <c r="I164" t="s">
        <v>1492</v>
      </c>
      <c r="J164" t="s">
        <v>1297</v>
      </c>
      <c r="K164" t="s">
        <v>16</v>
      </c>
      <c r="L164" t="s">
        <v>1492</v>
      </c>
      <c r="M164" t="s">
        <v>1576</v>
      </c>
      <c r="N164" t="s">
        <v>1492</v>
      </c>
      <c r="O164" t="s">
        <v>1302</v>
      </c>
      <c r="P164" t="s">
        <v>1379</v>
      </c>
      <c r="Q164" t="s">
        <v>1302</v>
      </c>
      <c r="R164" t="s">
        <v>1379</v>
      </c>
      <c r="S164" t="s">
        <v>1302</v>
      </c>
      <c r="T164" t="s">
        <v>1379</v>
      </c>
      <c r="U164" t="s">
        <v>1302</v>
      </c>
      <c r="V164" t="s">
        <v>1379</v>
      </c>
      <c r="W164" t="s">
        <v>1302</v>
      </c>
      <c r="X164" t="s">
        <v>1372</v>
      </c>
      <c r="Y164" t="s">
        <v>1257</v>
      </c>
      <c r="Z164" t="s">
        <v>1257</v>
      </c>
      <c r="AA164" t="s">
        <v>1257</v>
      </c>
      <c r="AB164" t="s">
        <v>1257</v>
      </c>
      <c r="AC164" t="b">
        <v>0</v>
      </c>
      <c r="AD164" t="b">
        <v>0</v>
      </c>
      <c r="AE164" t="b">
        <v>0</v>
      </c>
      <c r="AF164" t="b">
        <v>0</v>
      </c>
      <c r="AG164" t="b">
        <v>0</v>
      </c>
      <c r="AH164" t="b">
        <v>0</v>
      </c>
      <c r="AI164" t="b">
        <v>0</v>
      </c>
      <c r="AJ164" t="b">
        <v>0</v>
      </c>
      <c r="AK164" t="b">
        <v>0</v>
      </c>
      <c r="AL164" t="b">
        <v>0</v>
      </c>
      <c r="AM164" t="b">
        <v>0</v>
      </c>
      <c r="AN164" t="b">
        <v>0</v>
      </c>
      <c r="AO164" t="b">
        <v>0</v>
      </c>
      <c r="AP164" t="b">
        <v>0</v>
      </c>
      <c r="AQ164" t="b">
        <v>0</v>
      </c>
      <c r="AR164" t="b">
        <v>0</v>
      </c>
      <c r="AS164" t="b">
        <v>0</v>
      </c>
      <c r="AT164" t="b">
        <v>0</v>
      </c>
      <c r="AU164" t="b">
        <v>0</v>
      </c>
      <c r="AV164" t="b">
        <v>0</v>
      </c>
      <c r="AW164" t="b">
        <v>0</v>
      </c>
      <c r="AX164" t="b">
        <v>0</v>
      </c>
      <c r="AY164" t="b">
        <v>0</v>
      </c>
      <c r="AZ164" t="b">
        <v>0</v>
      </c>
      <c r="BA164" t="b">
        <v>0</v>
      </c>
      <c r="BB164" t="b">
        <v>0</v>
      </c>
      <c r="BC164" t="b">
        <v>0</v>
      </c>
      <c r="BD164" t="b">
        <v>0</v>
      </c>
      <c r="BE164" t="b">
        <v>0</v>
      </c>
      <c r="BF164" t="b">
        <v>0</v>
      </c>
      <c r="BG164" t="b">
        <v>0</v>
      </c>
      <c r="BH164" t="b">
        <v>0</v>
      </c>
      <c r="BI164" t="b">
        <v>0</v>
      </c>
      <c r="BJ164" t="b">
        <v>0</v>
      </c>
      <c r="BK164" t="b">
        <v>0</v>
      </c>
      <c r="BL164" t="b">
        <v>0</v>
      </c>
      <c r="BM164" t="b">
        <v>0</v>
      </c>
      <c r="BN164" t="b">
        <v>0</v>
      </c>
      <c r="BO164" t="b">
        <v>0</v>
      </c>
      <c r="BP164" t="b">
        <v>0</v>
      </c>
      <c r="BQ164" t="b">
        <v>0</v>
      </c>
      <c r="BR164" t="b">
        <v>0</v>
      </c>
      <c r="BS164" t="b">
        <v>0</v>
      </c>
      <c r="BT164" t="b">
        <v>0</v>
      </c>
      <c r="BU164" t="b">
        <v>0</v>
      </c>
      <c r="BV164" t="b">
        <v>0</v>
      </c>
      <c r="BW164" t="b">
        <v>0</v>
      </c>
      <c r="BX164" t="b">
        <v>0</v>
      </c>
      <c r="BY164" t="b">
        <v>0</v>
      </c>
      <c r="BZ164" t="b">
        <v>0</v>
      </c>
      <c r="CA164" t="b">
        <v>0</v>
      </c>
      <c r="CB164" t="b">
        <v>0</v>
      </c>
      <c r="CC164" t="s">
        <v>1253</v>
      </c>
      <c r="CD164" t="s">
        <v>1492</v>
      </c>
      <c r="CE164" t="s">
        <v>1513</v>
      </c>
      <c r="CF164" t="s">
        <v>1495</v>
      </c>
      <c r="CG164" t="b">
        <v>1</v>
      </c>
      <c r="CH164">
        <v>0</v>
      </c>
      <c r="CI164" t="s">
        <v>1812</v>
      </c>
      <c r="CJ164" t="s">
        <v>1813</v>
      </c>
      <c r="CK164" t="s">
        <v>1251</v>
      </c>
      <c r="CL164" t="s">
        <v>1814</v>
      </c>
    </row>
    <row r="165" spans="1:90">
      <c r="A165">
        <v>476</v>
      </c>
      <c r="B165">
        <v>100009</v>
      </c>
      <c r="C165" t="s">
        <v>1250</v>
      </c>
      <c r="D165">
        <v>2</v>
      </c>
      <c r="E165" t="s">
        <v>1492</v>
      </c>
      <c r="F165">
        <v>3</v>
      </c>
      <c r="G165">
        <v>1</v>
      </c>
      <c r="H165">
        <v>2</v>
      </c>
      <c r="I165" t="s">
        <v>1492</v>
      </c>
      <c r="J165" t="s">
        <v>1297</v>
      </c>
      <c r="K165" t="s">
        <v>16</v>
      </c>
      <c r="L165" t="s">
        <v>1511</v>
      </c>
      <c r="M165" t="s">
        <v>1576</v>
      </c>
      <c r="N165" t="s">
        <v>1492</v>
      </c>
      <c r="O165" t="s">
        <v>1302</v>
      </c>
      <c r="P165" t="s">
        <v>1379</v>
      </c>
      <c r="Q165" t="s">
        <v>1302</v>
      </c>
      <c r="R165" t="s">
        <v>1379</v>
      </c>
      <c r="S165" t="s">
        <v>1302</v>
      </c>
      <c r="T165" t="s">
        <v>1379</v>
      </c>
      <c r="U165" t="s">
        <v>1302</v>
      </c>
      <c r="V165" t="s">
        <v>1379</v>
      </c>
      <c r="W165" t="s">
        <v>1302</v>
      </c>
      <c r="X165" t="s">
        <v>1372</v>
      </c>
      <c r="Y165" t="s">
        <v>1257</v>
      </c>
      <c r="Z165" t="s">
        <v>1257</v>
      </c>
      <c r="AA165" t="s">
        <v>1257</v>
      </c>
      <c r="AB165" t="s">
        <v>1257</v>
      </c>
      <c r="AC165" t="b">
        <v>0</v>
      </c>
      <c r="AD165" t="b">
        <v>0</v>
      </c>
      <c r="AE165" t="b">
        <v>0</v>
      </c>
      <c r="AF165" t="b">
        <v>0</v>
      </c>
      <c r="AG165" t="b">
        <v>0</v>
      </c>
      <c r="AH165" t="b">
        <v>0</v>
      </c>
      <c r="AI165" t="b">
        <v>0</v>
      </c>
      <c r="AJ165" t="b">
        <v>0</v>
      </c>
      <c r="AK165" t="b">
        <v>0</v>
      </c>
      <c r="AL165" t="b">
        <v>0</v>
      </c>
      <c r="AM165" t="b">
        <v>0</v>
      </c>
      <c r="AN165" t="b">
        <v>0</v>
      </c>
      <c r="AO165" t="b">
        <v>0</v>
      </c>
      <c r="AP165" t="b">
        <v>0</v>
      </c>
      <c r="AQ165" t="b">
        <v>0</v>
      </c>
      <c r="AR165" t="b">
        <v>0</v>
      </c>
      <c r="AS165" t="b">
        <v>0</v>
      </c>
      <c r="AT165" t="b">
        <v>0</v>
      </c>
      <c r="AU165" t="b">
        <v>0</v>
      </c>
      <c r="AV165" t="b">
        <v>0</v>
      </c>
      <c r="AW165" t="b">
        <v>0</v>
      </c>
      <c r="AX165" t="b">
        <v>0</v>
      </c>
      <c r="AY165" t="b">
        <v>0</v>
      </c>
      <c r="AZ165" t="b">
        <v>0</v>
      </c>
      <c r="BA165" t="b">
        <v>0</v>
      </c>
      <c r="BB165" t="b">
        <v>0</v>
      </c>
      <c r="BC165" t="b">
        <v>0</v>
      </c>
      <c r="BD165" t="b">
        <v>0</v>
      </c>
      <c r="BE165" t="b">
        <v>0</v>
      </c>
      <c r="BF165" t="b">
        <v>0</v>
      </c>
      <c r="BG165" t="b">
        <v>0</v>
      </c>
      <c r="BH165" t="b">
        <v>0</v>
      </c>
      <c r="BI165" t="b">
        <v>0</v>
      </c>
      <c r="BJ165" t="b">
        <v>0</v>
      </c>
      <c r="BK165" t="b">
        <v>0</v>
      </c>
      <c r="BL165" t="b">
        <v>0</v>
      </c>
      <c r="BM165" t="b">
        <v>0</v>
      </c>
      <c r="BN165" t="b">
        <v>0</v>
      </c>
      <c r="BO165" t="b">
        <v>0</v>
      </c>
      <c r="BP165" t="b">
        <v>0</v>
      </c>
      <c r="BQ165" t="b">
        <v>0</v>
      </c>
      <c r="BR165" t="b">
        <v>0</v>
      </c>
      <c r="BS165" t="b">
        <v>0</v>
      </c>
      <c r="BT165" t="b">
        <v>0</v>
      </c>
      <c r="BU165" t="b">
        <v>0</v>
      </c>
      <c r="BV165" t="b">
        <v>0</v>
      </c>
      <c r="BW165" t="b">
        <v>0</v>
      </c>
      <c r="BX165" t="b">
        <v>0</v>
      </c>
      <c r="BY165" t="b">
        <v>0</v>
      </c>
      <c r="BZ165" t="b">
        <v>0</v>
      </c>
      <c r="CA165" t="b">
        <v>0</v>
      </c>
      <c r="CB165" t="b">
        <v>0</v>
      </c>
      <c r="CC165" t="s">
        <v>1253</v>
      </c>
      <c r="CD165" t="s">
        <v>1492</v>
      </c>
      <c r="CE165" t="s">
        <v>1513</v>
      </c>
      <c r="CF165" t="s">
        <v>1495</v>
      </c>
      <c r="CG165" t="b">
        <v>1</v>
      </c>
      <c r="CH165">
        <v>0</v>
      </c>
      <c r="CI165" t="s">
        <v>1812</v>
      </c>
      <c r="CJ165" t="s">
        <v>1813</v>
      </c>
      <c r="CK165" t="s">
        <v>1251</v>
      </c>
      <c r="CL165" t="s">
        <v>1815</v>
      </c>
    </row>
    <row r="166" spans="1:90">
      <c r="A166">
        <v>340</v>
      </c>
      <c r="B166">
        <v>499</v>
      </c>
      <c r="C166" t="s">
        <v>1250</v>
      </c>
      <c r="D166">
        <v>1</v>
      </c>
      <c r="E166" t="s">
        <v>1492</v>
      </c>
      <c r="F166">
        <v>10</v>
      </c>
      <c r="G166">
        <v>1</v>
      </c>
      <c r="H166">
        <v>2</v>
      </c>
      <c r="I166" t="s">
        <v>1003</v>
      </c>
      <c r="J166" t="s">
        <v>1297</v>
      </c>
      <c r="K166" t="s">
        <v>15</v>
      </c>
      <c r="L166" t="s">
        <v>1511</v>
      </c>
      <c r="M166" t="s">
        <v>1576</v>
      </c>
      <c r="N166" t="s">
        <v>1492</v>
      </c>
      <c r="O166" t="s">
        <v>1302</v>
      </c>
      <c r="P166" t="s">
        <v>1379</v>
      </c>
      <c r="Q166" t="s">
        <v>1302</v>
      </c>
      <c r="R166" t="s">
        <v>1379</v>
      </c>
      <c r="S166" t="s">
        <v>1302</v>
      </c>
      <c r="T166" t="s">
        <v>1379</v>
      </c>
      <c r="U166" t="s">
        <v>1302</v>
      </c>
      <c r="V166" t="s">
        <v>1379</v>
      </c>
      <c r="W166" t="s">
        <v>1302</v>
      </c>
      <c r="X166" t="s">
        <v>1372</v>
      </c>
      <c r="Y166" t="s">
        <v>1257</v>
      </c>
      <c r="Z166" t="s">
        <v>1257</v>
      </c>
      <c r="AA166" t="s">
        <v>1257</v>
      </c>
      <c r="AB166" t="s">
        <v>1257</v>
      </c>
      <c r="AC166" t="b">
        <v>0</v>
      </c>
      <c r="AD166" t="b">
        <v>0</v>
      </c>
      <c r="AE166" t="b">
        <v>0</v>
      </c>
      <c r="AF166" t="b">
        <v>0</v>
      </c>
      <c r="AG166" t="b">
        <v>0</v>
      </c>
      <c r="AH166" t="b">
        <v>0</v>
      </c>
      <c r="AI166" t="b">
        <v>0</v>
      </c>
      <c r="AJ166" t="b">
        <v>0</v>
      </c>
      <c r="AK166" t="b">
        <v>0</v>
      </c>
      <c r="AL166" t="b">
        <v>0</v>
      </c>
      <c r="AM166" t="b">
        <v>0</v>
      </c>
      <c r="AN166" t="b">
        <v>0</v>
      </c>
      <c r="AO166" t="b">
        <v>0</v>
      </c>
      <c r="AP166" t="b">
        <v>0</v>
      </c>
      <c r="AQ166" t="b">
        <v>0</v>
      </c>
      <c r="AR166" t="b">
        <v>0</v>
      </c>
      <c r="AS166" t="b">
        <v>0</v>
      </c>
      <c r="AT166" t="b">
        <v>0</v>
      </c>
      <c r="AU166" t="b">
        <v>0</v>
      </c>
      <c r="AV166" t="b">
        <v>0</v>
      </c>
      <c r="AW166" t="b">
        <v>0</v>
      </c>
      <c r="AX166" t="b">
        <v>0</v>
      </c>
      <c r="AY166" t="b">
        <v>0</v>
      </c>
      <c r="AZ166" t="b">
        <v>0</v>
      </c>
      <c r="BA166" t="b">
        <v>0</v>
      </c>
      <c r="BB166" t="b">
        <v>0</v>
      </c>
      <c r="BC166" t="b">
        <v>0</v>
      </c>
      <c r="BD166" t="b">
        <v>0</v>
      </c>
      <c r="BE166" t="b">
        <v>0</v>
      </c>
      <c r="BF166" t="b">
        <v>0</v>
      </c>
      <c r="BG166" t="b">
        <v>0</v>
      </c>
      <c r="BH166" t="b">
        <v>0</v>
      </c>
      <c r="BI166" t="b">
        <v>0</v>
      </c>
      <c r="BJ166" t="b">
        <v>0</v>
      </c>
      <c r="BK166" t="b">
        <v>0</v>
      </c>
      <c r="BL166" t="b">
        <v>0</v>
      </c>
      <c r="BM166" t="b">
        <v>0</v>
      </c>
      <c r="BN166" t="b">
        <v>0</v>
      </c>
      <c r="BO166" t="b">
        <v>0</v>
      </c>
      <c r="BP166" t="b">
        <v>0</v>
      </c>
      <c r="BQ166" t="b">
        <v>1</v>
      </c>
      <c r="BR166" t="b">
        <v>1</v>
      </c>
      <c r="BS166" t="b">
        <v>1</v>
      </c>
      <c r="BT166" t="b">
        <v>1</v>
      </c>
      <c r="BU166" t="b">
        <v>1</v>
      </c>
      <c r="BV166" t="b">
        <v>1</v>
      </c>
      <c r="BW166" t="b">
        <v>1</v>
      </c>
      <c r="BX166" t="b">
        <v>1</v>
      </c>
      <c r="BY166" t="b">
        <v>1</v>
      </c>
      <c r="BZ166" t="b">
        <v>0</v>
      </c>
      <c r="CA166" t="b">
        <v>0</v>
      </c>
      <c r="CB166" t="b">
        <v>0</v>
      </c>
      <c r="CC166" t="s">
        <v>1512</v>
      </c>
      <c r="CD166" t="s">
        <v>1492</v>
      </c>
      <c r="CE166" t="s">
        <v>1518</v>
      </c>
      <c r="CF166" t="s">
        <v>1495</v>
      </c>
      <c r="CG166" t="b">
        <v>1</v>
      </c>
      <c r="CH166">
        <v>0</v>
      </c>
      <c r="CI166" t="s">
        <v>1816</v>
      </c>
      <c r="CJ166" t="s">
        <v>1817</v>
      </c>
      <c r="CK166" t="s">
        <v>1251</v>
      </c>
      <c r="CL166" t="s">
        <v>1818</v>
      </c>
    </row>
    <row r="167" spans="1:90">
      <c r="A167">
        <v>339</v>
      </c>
      <c r="B167">
        <v>499</v>
      </c>
      <c r="C167" t="s">
        <v>1250</v>
      </c>
      <c r="D167">
        <v>2</v>
      </c>
      <c r="E167" t="s">
        <v>1492</v>
      </c>
      <c r="F167">
        <v>10</v>
      </c>
      <c r="G167">
        <v>1</v>
      </c>
      <c r="H167">
        <v>2</v>
      </c>
      <c r="I167" t="s">
        <v>1003</v>
      </c>
      <c r="J167" t="s">
        <v>1297</v>
      </c>
      <c r="K167" t="s">
        <v>15</v>
      </c>
      <c r="L167" t="s">
        <v>1511</v>
      </c>
      <c r="M167" t="s">
        <v>1576</v>
      </c>
      <c r="N167" t="s">
        <v>1492</v>
      </c>
      <c r="O167" t="s">
        <v>1302</v>
      </c>
      <c r="P167" t="s">
        <v>1379</v>
      </c>
      <c r="Q167" t="s">
        <v>1302</v>
      </c>
      <c r="R167" t="s">
        <v>1379</v>
      </c>
      <c r="S167" t="s">
        <v>1302</v>
      </c>
      <c r="T167" t="s">
        <v>1379</v>
      </c>
      <c r="U167" t="s">
        <v>1302</v>
      </c>
      <c r="V167" t="s">
        <v>1379</v>
      </c>
      <c r="W167" t="s">
        <v>1302</v>
      </c>
      <c r="X167" t="s">
        <v>1372</v>
      </c>
      <c r="Y167" t="s">
        <v>1257</v>
      </c>
      <c r="Z167" t="s">
        <v>1257</v>
      </c>
      <c r="AA167" t="s">
        <v>1257</v>
      </c>
      <c r="AB167" t="s">
        <v>1257</v>
      </c>
      <c r="AC167" t="b">
        <v>0</v>
      </c>
      <c r="AD167" t="b">
        <v>0</v>
      </c>
      <c r="AE167" t="b">
        <v>0</v>
      </c>
      <c r="AF167" t="b">
        <v>0</v>
      </c>
      <c r="AG167" t="b">
        <v>0</v>
      </c>
      <c r="AH167" t="b">
        <v>0</v>
      </c>
      <c r="AI167" t="b">
        <v>0</v>
      </c>
      <c r="AJ167" t="b">
        <v>0</v>
      </c>
      <c r="AK167" t="b">
        <v>0</v>
      </c>
      <c r="AL167" t="b">
        <v>0</v>
      </c>
      <c r="AM167" t="b">
        <v>0</v>
      </c>
      <c r="AN167" t="b">
        <v>0</v>
      </c>
      <c r="AO167" t="b">
        <v>0</v>
      </c>
      <c r="AP167" t="b">
        <v>0</v>
      </c>
      <c r="AQ167" t="b">
        <v>0</v>
      </c>
      <c r="AR167" t="b">
        <v>0</v>
      </c>
      <c r="AS167" t="b">
        <v>0</v>
      </c>
      <c r="AT167" t="b">
        <v>0</v>
      </c>
      <c r="AU167" t="b">
        <v>0</v>
      </c>
      <c r="AV167" t="b">
        <v>0</v>
      </c>
      <c r="AW167" t="b">
        <v>0</v>
      </c>
      <c r="AX167" t="b">
        <v>0</v>
      </c>
      <c r="AY167" t="b">
        <v>0</v>
      </c>
      <c r="AZ167" t="b">
        <v>0</v>
      </c>
      <c r="BA167" t="b">
        <v>0</v>
      </c>
      <c r="BB167" t="b">
        <v>0</v>
      </c>
      <c r="BC167" t="b">
        <v>0</v>
      </c>
      <c r="BD167" t="b">
        <v>0</v>
      </c>
      <c r="BE167" t="b">
        <v>0</v>
      </c>
      <c r="BF167" t="b">
        <v>0</v>
      </c>
      <c r="BG167" t="b">
        <v>0</v>
      </c>
      <c r="BH167" t="b">
        <v>0</v>
      </c>
      <c r="BI167" t="b">
        <v>0</v>
      </c>
      <c r="BJ167" t="b">
        <v>0</v>
      </c>
      <c r="BK167" t="b">
        <v>0</v>
      </c>
      <c r="BL167" t="b">
        <v>0</v>
      </c>
      <c r="BM167" t="b">
        <v>0</v>
      </c>
      <c r="BN167" t="b">
        <v>0</v>
      </c>
      <c r="BO167" t="b">
        <v>0</v>
      </c>
      <c r="BP167" t="b">
        <v>0</v>
      </c>
      <c r="BQ167" t="b">
        <v>1</v>
      </c>
      <c r="BR167" t="b">
        <v>1</v>
      </c>
      <c r="BS167" t="b">
        <v>1</v>
      </c>
      <c r="BT167" t="b">
        <v>1</v>
      </c>
      <c r="BU167" t="b">
        <v>1</v>
      </c>
      <c r="BV167" t="b">
        <v>1</v>
      </c>
      <c r="BW167" t="b">
        <v>1</v>
      </c>
      <c r="BX167" t="b">
        <v>1</v>
      </c>
      <c r="BY167" t="b">
        <v>1</v>
      </c>
      <c r="BZ167" t="b">
        <v>0</v>
      </c>
      <c r="CA167" t="b">
        <v>0</v>
      </c>
      <c r="CB167" t="b">
        <v>0</v>
      </c>
      <c r="CC167" t="s">
        <v>1512</v>
      </c>
      <c r="CD167" t="s">
        <v>1492</v>
      </c>
      <c r="CE167" t="s">
        <v>1518</v>
      </c>
      <c r="CF167" t="s">
        <v>1495</v>
      </c>
      <c r="CG167" t="b">
        <v>1</v>
      </c>
      <c r="CH167">
        <v>0</v>
      </c>
      <c r="CI167" t="s">
        <v>1816</v>
      </c>
      <c r="CJ167" t="s">
        <v>1817</v>
      </c>
      <c r="CK167" t="s">
        <v>1251</v>
      </c>
      <c r="CL167" t="s">
        <v>1819</v>
      </c>
    </row>
    <row r="168" spans="1:90">
      <c r="A168">
        <v>342</v>
      </c>
      <c r="B168">
        <v>500</v>
      </c>
      <c r="C168" t="s">
        <v>1250</v>
      </c>
      <c r="D168">
        <v>1</v>
      </c>
      <c r="E168" t="s">
        <v>1492</v>
      </c>
      <c r="F168">
        <v>4</v>
      </c>
      <c r="G168">
        <v>1</v>
      </c>
      <c r="H168">
        <v>2</v>
      </c>
      <c r="I168" t="s">
        <v>1492</v>
      </c>
      <c r="J168" t="s">
        <v>1297</v>
      </c>
      <c r="K168" t="s">
        <v>16</v>
      </c>
      <c r="L168" t="s">
        <v>1522</v>
      </c>
      <c r="M168" t="s">
        <v>1576</v>
      </c>
      <c r="N168" t="s">
        <v>1492</v>
      </c>
      <c r="O168" t="s">
        <v>1302</v>
      </c>
      <c r="P168" t="s">
        <v>1379</v>
      </c>
      <c r="Q168" t="s">
        <v>1302</v>
      </c>
      <c r="R168" t="s">
        <v>1379</v>
      </c>
      <c r="S168" t="s">
        <v>1302</v>
      </c>
      <c r="T168" t="s">
        <v>1379</v>
      </c>
      <c r="U168" t="s">
        <v>1302</v>
      </c>
      <c r="V168" t="s">
        <v>1379</v>
      </c>
      <c r="W168" t="s">
        <v>1302</v>
      </c>
      <c r="X168" t="s">
        <v>1372</v>
      </c>
      <c r="Y168" t="s">
        <v>1257</v>
      </c>
      <c r="Z168" t="s">
        <v>1257</v>
      </c>
      <c r="AA168" t="s">
        <v>1257</v>
      </c>
      <c r="AB168" t="s">
        <v>1257</v>
      </c>
      <c r="AC168" t="b">
        <v>0</v>
      </c>
      <c r="AD168" t="b">
        <v>0</v>
      </c>
      <c r="AE168" t="b">
        <v>0</v>
      </c>
      <c r="AF168" t="b">
        <v>0</v>
      </c>
      <c r="AG168" t="b">
        <v>0</v>
      </c>
      <c r="AH168" t="b">
        <v>0</v>
      </c>
      <c r="AI168" t="b">
        <v>0</v>
      </c>
      <c r="AJ168" t="b">
        <v>0</v>
      </c>
      <c r="AK168" t="b">
        <v>0</v>
      </c>
      <c r="AL168" t="b">
        <v>0</v>
      </c>
      <c r="AM168" t="b">
        <v>0</v>
      </c>
      <c r="AN168" t="b">
        <v>0</v>
      </c>
      <c r="AO168" t="b">
        <v>0</v>
      </c>
      <c r="AP168" t="b">
        <v>0</v>
      </c>
      <c r="AQ168" t="b">
        <v>0</v>
      </c>
      <c r="AR168" t="b">
        <v>0</v>
      </c>
      <c r="AS168" t="b">
        <v>0</v>
      </c>
      <c r="AT168" t="b">
        <v>0</v>
      </c>
      <c r="AU168" t="b">
        <v>0</v>
      </c>
      <c r="AV168" t="b">
        <v>0</v>
      </c>
      <c r="AW168" t="b">
        <v>0</v>
      </c>
      <c r="AX168" t="b">
        <v>0</v>
      </c>
      <c r="AY168" t="b">
        <v>0</v>
      </c>
      <c r="AZ168" t="b">
        <v>0</v>
      </c>
      <c r="BA168" t="b">
        <v>0</v>
      </c>
      <c r="BB168" t="b">
        <v>0</v>
      </c>
      <c r="BC168" t="b">
        <v>0</v>
      </c>
      <c r="BD168" t="b">
        <v>0</v>
      </c>
      <c r="BE168" t="b">
        <v>0</v>
      </c>
      <c r="BF168" t="b">
        <v>1</v>
      </c>
      <c r="BG168" t="b">
        <v>1</v>
      </c>
      <c r="BH168" t="b">
        <v>1</v>
      </c>
      <c r="BI168" t="b">
        <v>1</v>
      </c>
      <c r="BJ168" t="b">
        <v>1</v>
      </c>
      <c r="BK168" t="b">
        <v>1</v>
      </c>
      <c r="BL168" t="b">
        <v>1</v>
      </c>
      <c r="BM168" t="b">
        <v>1</v>
      </c>
      <c r="BN168" t="b">
        <v>1</v>
      </c>
      <c r="BO168" t="b">
        <v>1</v>
      </c>
      <c r="BP168" t="b">
        <v>0</v>
      </c>
      <c r="BQ168" t="b">
        <v>0</v>
      </c>
      <c r="BR168" t="b">
        <v>1</v>
      </c>
      <c r="BS168" t="b">
        <v>1</v>
      </c>
      <c r="BT168" t="b">
        <v>1</v>
      </c>
      <c r="BU168" t="b">
        <v>1</v>
      </c>
      <c r="BV168" t="b">
        <v>0</v>
      </c>
      <c r="BW168" t="b">
        <v>0</v>
      </c>
      <c r="BX168" t="b">
        <v>0</v>
      </c>
      <c r="BY168" t="b">
        <v>0</v>
      </c>
      <c r="BZ168" t="b">
        <v>0</v>
      </c>
      <c r="CA168" t="b">
        <v>0</v>
      </c>
      <c r="CB168" t="b">
        <v>0</v>
      </c>
      <c r="CC168" t="s">
        <v>1512</v>
      </c>
      <c r="CD168" t="s">
        <v>1492</v>
      </c>
      <c r="CE168" t="s">
        <v>1518</v>
      </c>
      <c r="CF168" t="s">
        <v>1495</v>
      </c>
      <c r="CG168" t="b">
        <v>1</v>
      </c>
      <c r="CH168">
        <v>0</v>
      </c>
      <c r="CI168" t="s">
        <v>1820</v>
      </c>
      <c r="CJ168" t="s">
        <v>1821</v>
      </c>
      <c r="CK168" t="s">
        <v>1251</v>
      </c>
      <c r="CL168" t="s">
        <v>1822</v>
      </c>
    </row>
    <row r="169" spans="1:90">
      <c r="A169">
        <v>341</v>
      </c>
      <c r="B169">
        <v>500</v>
      </c>
      <c r="C169" t="s">
        <v>1250</v>
      </c>
      <c r="D169">
        <v>2</v>
      </c>
      <c r="E169" t="s">
        <v>1492</v>
      </c>
      <c r="F169">
        <v>4</v>
      </c>
      <c r="G169">
        <v>1</v>
      </c>
      <c r="H169">
        <v>2</v>
      </c>
      <c r="I169" t="s">
        <v>1492</v>
      </c>
      <c r="J169" t="s">
        <v>1297</v>
      </c>
      <c r="K169" t="s">
        <v>16</v>
      </c>
      <c r="L169" t="s">
        <v>1522</v>
      </c>
      <c r="M169" t="s">
        <v>1576</v>
      </c>
      <c r="N169" t="s">
        <v>1492</v>
      </c>
      <c r="O169" t="s">
        <v>1302</v>
      </c>
      <c r="P169" t="s">
        <v>1379</v>
      </c>
      <c r="Q169" t="s">
        <v>1302</v>
      </c>
      <c r="R169" t="s">
        <v>1379</v>
      </c>
      <c r="S169" t="s">
        <v>1302</v>
      </c>
      <c r="T169" t="s">
        <v>1379</v>
      </c>
      <c r="U169" t="s">
        <v>1302</v>
      </c>
      <c r="V169" t="s">
        <v>1379</v>
      </c>
      <c r="W169" t="s">
        <v>1302</v>
      </c>
      <c r="X169" t="s">
        <v>1372</v>
      </c>
      <c r="Y169" t="s">
        <v>1257</v>
      </c>
      <c r="Z169" t="s">
        <v>1257</v>
      </c>
      <c r="AA169" t="s">
        <v>1257</v>
      </c>
      <c r="AB169" t="s">
        <v>1257</v>
      </c>
      <c r="AC169" t="b">
        <v>0</v>
      </c>
      <c r="AD169" t="b">
        <v>0</v>
      </c>
      <c r="AE169" t="b">
        <v>0</v>
      </c>
      <c r="AF169" t="b">
        <v>0</v>
      </c>
      <c r="AG169" t="b">
        <v>0</v>
      </c>
      <c r="AH169" t="b">
        <v>0</v>
      </c>
      <c r="AI169" t="b">
        <v>0</v>
      </c>
      <c r="AJ169" t="b">
        <v>0</v>
      </c>
      <c r="AK169" t="b">
        <v>0</v>
      </c>
      <c r="AL169" t="b">
        <v>0</v>
      </c>
      <c r="AM169" t="b">
        <v>0</v>
      </c>
      <c r="AN169" t="b">
        <v>0</v>
      </c>
      <c r="AO169" t="b">
        <v>0</v>
      </c>
      <c r="AP169" t="b">
        <v>0</v>
      </c>
      <c r="AQ169" t="b">
        <v>0</v>
      </c>
      <c r="AR169" t="b">
        <v>0</v>
      </c>
      <c r="AS169" t="b">
        <v>0</v>
      </c>
      <c r="AT169" t="b">
        <v>0</v>
      </c>
      <c r="AU169" t="b">
        <v>0</v>
      </c>
      <c r="AV169" t="b">
        <v>0</v>
      </c>
      <c r="AW169" t="b">
        <v>0</v>
      </c>
      <c r="AX169" t="b">
        <v>0</v>
      </c>
      <c r="AY169" t="b">
        <v>0</v>
      </c>
      <c r="AZ169" t="b">
        <v>0</v>
      </c>
      <c r="BA169" t="b">
        <v>0</v>
      </c>
      <c r="BB169" t="b">
        <v>0</v>
      </c>
      <c r="BC169" t="b">
        <v>0</v>
      </c>
      <c r="BD169" t="b">
        <v>0</v>
      </c>
      <c r="BE169" t="b">
        <v>0</v>
      </c>
      <c r="BF169" t="b">
        <v>1</v>
      </c>
      <c r="BG169" t="b">
        <v>1</v>
      </c>
      <c r="BH169" t="b">
        <v>1</v>
      </c>
      <c r="BI169" t="b">
        <v>1</v>
      </c>
      <c r="BJ169" t="b">
        <v>1</v>
      </c>
      <c r="BK169" t="b">
        <v>1</v>
      </c>
      <c r="BL169" t="b">
        <v>1</v>
      </c>
      <c r="BM169" t="b">
        <v>1</v>
      </c>
      <c r="BN169" t="b">
        <v>1</v>
      </c>
      <c r="BO169" t="b">
        <v>1</v>
      </c>
      <c r="BP169" t="b">
        <v>0</v>
      </c>
      <c r="BQ169" t="b">
        <v>0</v>
      </c>
      <c r="BR169" t="b">
        <v>1</v>
      </c>
      <c r="BS169" t="b">
        <v>1</v>
      </c>
      <c r="BT169" t="b">
        <v>1</v>
      </c>
      <c r="BU169" t="b">
        <v>1</v>
      </c>
      <c r="BV169" t="b">
        <v>0</v>
      </c>
      <c r="BW169" t="b">
        <v>0</v>
      </c>
      <c r="BX169" t="b">
        <v>0</v>
      </c>
      <c r="BY169" t="b">
        <v>0</v>
      </c>
      <c r="BZ169" t="b">
        <v>0</v>
      </c>
      <c r="CA169" t="b">
        <v>0</v>
      </c>
      <c r="CB169" t="b">
        <v>0</v>
      </c>
      <c r="CC169" t="s">
        <v>1512</v>
      </c>
      <c r="CD169" t="s">
        <v>1492</v>
      </c>
      <c r="CE169" t="s">
        <v>1518</v>
      </c>
      <c r="CF169" t="s">
        <v>1495</v>
      </c>
      <c r="CG169" t="b">
        <v>1</v>
      </c>
      <c r="CH169">
        <v>0</v>
      </c>
      <c r="CI169" t="s">
        <v>1823</v>
      </c>
      <c r="CJ169" t="s">
        <v>1821</v>
      </c>
      <c r="CK169" t="s">
        <v>1251</v>
      </c>
      <c r="CL169" t="s">
        <v>1824</v>
      </c>
    </row>
    <row r="170" spans="1:90">
      <c r="A170">
        <v>344</v>
      </c>
      <c r="B170">
        <v>501</v>
      </c>
      <c r="C170" t="s">
        <v>1250</v>
      </c>
      <c r="D170">
        <v>1</v>
      </c>
      <c r="E170" t="s">
        <v>1492</v>
      </c>
      <c r="F170">
        <v>6</v>
      </c>
      <c r="G170">
        <v>1</v>
      </c>
      <c r="H170">
        <v>2</v>
      </c>
      <c r="I170" t="s">
        <v>389</v>
      </c>
      <c r="J170" t="s">
        <v>1297</v>
      </c>
      <c r="K170" t="s">
        <v>15</v>
      </c>
      <c r="L170" t="s">
        <v>1511</v>
      </c>
      <c r="M170" t="s">
        <v>1576</v>
      </c>
      <c r="N170" t="s">
        <v>1492</v>
      </c>
      <c r="O170" t="s">
        <v>1302</v>
      </c>
      <c r="P170" t="s">
        <v>1379</v>
      </c>
      <c r="Q170" t="s">
        <v>1302</v>
      </c>
      <c r="R170" t="s">
        <v>1379</v>
      </c>
      <c r="S170" t="s">
        <v>1302</v>
      </c>
      <c r="T170" t="s">
        <v>1379</v>
      </c>
      <c r="U170" t="s">
        <v>1302</v>
      </c>
      <c r="V170" t="s">
        <v>1379</v>
      </c>
      <c r="W170" t="s">
        <v>1302</v>
      </c>
      <c r="X170" t="s">
        <v>1372</v>
      </c>
      <c r="Y170" t="s">
        <v>1257</v>
      </c>
      <c r="Z170" t="s">
        <v>1257</v>
      </c>
      <c r="AA170" t="s">
        <v>1257</v>
      </c>
      <c r="AB170" t="s">
        <v>1257</v>
      </c>
      <c r="AC170" t="b">
        <v>0</v>
      </c>
      <c r="AD170" t="b">
        <v>0</v>
      </c>
      <c r="AE170" t="b">
        <v>0</v>
      </c>
      <c r="AF170" t="b">
        <v>0</v>
      </c>
      <c r="AG170" t="b">
        <v>0</v>
      </c>
      <c r="AH170" t="b">
        <v>0</v>
      </c>
      <c r="AI170" t="b">
        <v>0</v>
      </c>
      <c r="AJ170" t="b">
        <v>0</v>
      </c>
      <c r="AK170" t="b">
        <v>0</v>
      </c>
      <c r="AL170" t="b">
        <v>0</v>
      </c>
      <c r="AM170" t="b">
        <v>0</v>
      </c>
      <c r="AN170" t="b">
        <v>0</v>
      </c>
      <c r="AO170" t="b">
        <v>0</v>
      </c>
      <c r="AP170" t="b">
        <v>0</v>
      </c>
      <c r="AQ170" t="b">
        <v>0</v>
      </c>
      <c r="AR170" t="b">
        <v>0</v>
      </c>
      <c r="AS170" t="b">
        <v>0</v>
      </c>
      <c r="AT170" t="b">
        <v>0</v>
      </c>
      <c r="AU170" t="b">
        <v>1</v>
      </c>
      <c r="AV170" t="b">
        <v>1</v>
      </c>
      <c r="AW170" t="b">
        <v>1</v>
      </c>
      <c r="AX170" t="b">
        <v>1</v>
      </c>
      <c r="AY170" t="b">
        <v>1</v>
      </c>
      <c r="AZ170" t="b">
        <v>1</v>
      </c>
      <c r="BA170" t="b">
        <v>1</v>
      </c>
      <c r="BB170" t="b">
        <v>1</v>
      </c>
      <c r="BC170" t="b">
        <v>1</v>
      </c>
      <c r="BD170" t="b">
        <v>0</v>
      </c>
      <c r="BE170" t="b">
        <v>0</v>
      </c>
      <c r="BF170" t="b">
        <v>0</v>
      </c>
      <c r="BG170" t="b">
        <v>0</v>
      </c>
      <c r="BH170" t="b">
        <v>0</v>
      </c>
      <c r="BI170" t="b">
        <v>0</v>
      </c>
      <c r="BJ170" t="b">
        <v>0</v>
      </c>
      <c r="BK170" t="b">
        <v>0</v>
      </c>
      <c r="BL170" t="b">
        <v>0</v>
      </c>
      <c r="BM170" t="b">
        <v>0</v>
      </c>
      <c r="BN170" t="b">
        <v>0</v>
      </c>
      <c r="BO170" t="b">
        <v>0</v>
      </c>
      <c r="BP170" t="b">
        <v>0</v>
      </c>
      <c r="BQ170" t="b">
        <v>0</v>
      </c>
      <c r="BR170" t="b">
        <v>0</v>
      </c>
      <c r="BS170" t="b">
        <v>0</v>
      </c>
      <c r="BT170" t="b">
        <v>0</v>
      </c>
      <c r="BU170" t="b">
        <v>0</v>
      </c>
      <c r="BV170" t="b">
        <v>0</v>
      </c>
      <c r="BW170" t="b">
        <v>0</v>
      </c>
      <c r="BX170" t="b">
        <v>0</v>
      </c>
      <c r="BY170" t="b">
        <v>0</v>
      </c>
      <c r="BZ170" t="b">
        <v>0</v>
      </c>
      <c r="CA170" t="b">
        <v>0</v>
      </c>
      <c r="CB170" t="b">
        <v>0</v>
      </c>
      <c r="CC170" t="s">
        <v>1512</v>
      </c>
      <c r="CD170" t="s">
        <v>1492</v>
      </c>
      <c r="CE170" t="s">
        <v>1513</v>
      </c>
      <c r="CF170" t="s">
        <v>1495</v>
      </c>
      <c r="CG170" t="b">
        <v>1</v>
      </c>
      <c r="CH170">
        <v>0</v>
      </c>
      <c r="CI170" t="s">
        <v>1825</v>
      </c>
      <c r="CJ170" t="s">
        <v>1826</v>
      </c>
      <c r="CK170" t="s">
        <v>1251</v>
      </c>
      <c r="CL170" t="s">
        <v>1827</v>
      </c>
    </row>
    <row r="171" spans="1:90">
      <c r="A171">
        <v>343</v>
      </c>
      <c r="B171">
        <v>501</v>
      </c>
      <c r="C171" t="s">
        <v>1250</v>
      </c>
      <c r="D171">
        <v>2</v>
      </c>
      <c r="E171" t="s">
        <v>1492</v>
      </c>
      <c r="F171">
        <v>6</v>
      </c>
      <c r="G171">
        <v>1</v>
      </c>
      <c r="H171">
        <v>2</v>
      </c>
      <c r="I171" t="s">
        <v>389</v>
      </c>
      <c r="J171" t="s">
        <v>1297</v>
      </c>
      <c r="K171" t="s">
        <v>15</v>
      </c>
      <c r="L171" t="s">
        <v>1511</v>
      </c>
      <c r="M171" t="s">
        <v>1576</v>
      </c>
      <c r="N171" t="s">
        <v>1492</v>
      </c>
      <c r="O171" t="s">
        <v>1302</v>
      </c>
      <c r="P171" t="s">
        <v>1379</v>
      </c>
      <c r="Q171" t="s">
        <v>1302</v>
      </c>
      <c r="R171" t="s">
        <v>1379</v>
      </c>
      <c r="S171" t="s">
        <v>1302</v>
      </c>
      <c r="T171" t="s">
        <v>1379</v>
      </c>
      <c r="U171" t="s">
        <v>1302</v>
      </c>
      <c r="V171" t="s">
        <v>1379</v>
      </c>
      <c r="W171" t="s">
        <v>1302</v>
      </c>
      <c r="X171" t="s">
        <v>1372</v>
      </c>
      <c r="Y171" t="s">
        <v>1257</v>
      </c>
      <c r="Z171" t="s">
        <v>1257</v>
      </c>
      <c r="AA171" t="s">
        <v>1257</v>
      </c>
      <c r="AB171" t="s">
        <v>1257</v>
      </c>
      <c r="AC171" t="b">
        <v>0</v>
      </c>
      <c r="AD171" t="b">
        <v>0</v>
      </c>
      <c r="AE171" t="b">
        <v>0</v>
      </c>
      <c r="AF171" t="b">
        <v>0</v>
      </c>
      <c r="AG171" t="b">
        <v>0</v>
      </c>
      <c r="AH171" t="b">
        <v>0</v>
      </c>
      <c r="AI171" t="b">
        <v>0</v>
      </c>
      <c r="AJ171" t="b">
        <v>0</v>
      </c>
      <c r="AK171" t="b">
        <v>0</v>
      </c>
      <c r="AL171" t="b">
        <v>0</v>
      </c>
      <c r="AM171" t="b">
        <v>0</v>
      </c>
      <c r="AN171" t="b">
        <v>0</v>
      </c>
      <c r="AO171" t="b">
        <v>0</v>
      </c>
      <c r="AP171" t="b">
        <v>0</v>
      </c>
      <c r="AQ171" t="b">
        <v>0</v>
      </c>
      <c r="AR171" t="b">
        <v>0</v>
      </c>
      <c r="AS171" t="b">
        <v>0</v>
      </c>
      <c r="AT171" t="b">
        <v>0</v>
      </c>
      <c r="AU171" t="b">
        <v>1</v>
      </c>
      <c r="AV171" t="b">
        <v>1</v>
      </c>
      <c r="AW171" t="b">
        <v>1</v>
      </c>
      <c r="AX171" t="b">
        <v>1</v>
      </c>
      <c r="AY171" t="b">
        <v>1</v>
      </c>
      <c r="AZ171" t="b">
        <v>1</v>
      </c>
      <c r="BA171" t="b">
        <v>1</v>
      </c>
      <c r="BB171" t="b">
        <v>1</v>
      </c>
      <c r="BC171" t="b">
        <v>1</v>
      </c>
      <c r="BD171" t="b">
        <v>0</v>
      </c>
      <c r="BE171" t="b">
        <v>0</v>
      </c>
      <c r="BF171" t="b">
        <v>0</v>
      </c>
      <c r="BG171" t="b">
        <v>0</v>
      </c>
      <c r="BH171" t="b">
        <v>0</v>
      </c>
      <c r="BI171" t="b">
        <v>0</v>
      </c>
      <c r="BJ171" t="b">
        <v>0</v>
      </c>
      <c r="BK171" t="b">
        <v>0</v>
      </c>
      <c r="BL171" t="b">
        <v>0</v>
      </c>
      <c r="BM171" t="b">
        <v>0</v>
      </c>
      <c r="BN171" t="b">
        <v>0</v>
      </c>
      <c r="BO171" t="b">
        <v>0</v>
      </c>
      <c r="BP171" t="b">
        <v>0</v>
      </c>
      <c r="BQ171" t="b">
        <v>0</v>
      </c>
      <c r="BR171" t="b">
        <v>0</v>
      </c>
      <c r="BS171" t="b">
        <v>0</v>
      </c>
      <c r="BT171" t="b">
        <v>0</v>
      </c>
      <c r="BU171" t="b">
        <v>0</v>
      </c>
      <c r="BV171" t="b">
        <v>0</v>
      </c>
      <c r="BW171" t="b">
        <v>0</v>
      </c>
      <c r="BX171" t="b">
        <v>0</v>
      </c>
      <c r="BY171" t="b">
        <v>0</v>
      </c>
      <c r="BZ171" t="b">
        <v>0</v>
      </c>
      <c r="CA171" t="b">
        <v>0</v>
      </c>
      <c r="CB171" t="b">
        <v>0</v>
      </c>
      <c r="CC171" t="s">
        <v>1512</v>
      </c>
      <c r="CD171" t="s">
        <v>1492</v>
      </c>
      <c r="CE171" t="s">
        <v>1513</v>
      </c>
      <c r="CF171" t="s">
        <v>1495</v>
      </c>
      <c r="CG171" t="b">
        <v>1</v>
      </c>
      <c r="CH171">
        <v>0</v>
      </c>
      <c r="CI171" t="s">
        <v>1825</v>
      </c>
      <c r="CJ171" t="s">
        <v>1826</v>
      </c>
      <c r="CK171" t="s">
        <v>1251</v>
      </c>
      <c r="CL171" t="s">
        <v>1828</v>
      </c>
    </row>
    <row r="172" spans="1:90">
      <c r="A172">
        <v>346</v>
      </c>
      <c r="B172">
        <v>502</v>
      </c>
      <c r="C172" t="s">
        <v>1250</v>
      </c>
      <c r="D172">
        <v>1</v>
      </c>
      <c r="E172" t="s">
        <v>1492</v>
      </c>
      <c r="F172">
        <v>2</v>
      </c>
      <c r="G172">
        <v>1</v>
      </c>
      <c r="H172">
        <v>2</v>
      </c>
      <c r="I172" t="s">
        <v>1492</v>
      </c>
      <c r="J172" t="s">
        <v>1297</v>
      </c>
      <c r="K172" t="s">
        <v>16</v>
      </c>
      <c r="L172" t="s">
        <v>1522</v>
      </c>
      <c r="M172" t="s">
        <v>1576</v>
      </c>
      <c r="N172" t="s">
        <v>1492</v>
      </c>
      <c r="O172" t="s">
        <v>1302</v>
      </c>
      <c r="P172" t="s">
        <v>1379</v>
      </c>
      <c r="Q172" t="s">
        <v>1302</v>
      </c>
      <c r="R172" t="s">
        <v>1379</v>
      </c>
      <c r="S172" t="s">
        <v>1302</v>
      </c>
      <c r="T172" t="s">
        <v>1379</v>
      </c>
      <c r="U172" t="s">
        <v>1302</v>
      </c>
      <c r="V172" t="s">
        <v>1379</v>
      </c>
      <c r="W172" t="s">
        <v>1302</v>
      </c>
      <c r="X172" t="s">
        <v>1372</v>
      </c>
      <c r="Y172" t="s">
        <v>1257</v>
      </c>
      <c r="Z172" t="s">
        <v>1257</v>
      </c>
      <c r="AA172" t="s">
        <v>1257</v>
      </c>
      <c r="AB172" t="s">
        <v>1257</v>
      </c>
      <c r="AC172" t="b">
        <v>0</v>
      </c>
      <c r="AD172" t="b">
        <v>0</v>
      </c>
      <c r="AE172" t="b">
        <v>0</v>
      </c>
      <c r="AF172" t="b">
        <v>0</v>
      </c>
      <c r="AG172" t="b">
        <v>0</v>
      </c>
      <c r="AH172" t="b">
        <v>0</v>
      </c>
      <c r="AI172" t="b">
        <v>0</v>
      </c>
      <c r="AJ172" t="b">
        <v>0</v>
      </c>
      <c r="AK172" t="b">
        <v>0</v>
      </c>
      <c r="AL172" t="b">
        <v>0</v>
      </c>
      <c r="AM172" t="b">
        <v>0</v>
      </c>
      <c r="AN172" t="b">
        <v>0</v>
      </c>
      <c r="AO172" t="b">
        <v>0</v>
      </c>
      <c r="AP172" t="b">
        <v>0</v>
      </c>
      <c r="AQ172" t="b">
        <v>0</v>
      </c>
      <c r="AR172" t="b">
        <v>0</v>
      </c>
      <c r="AS172" t="b">
        <v>0</v>
      </c>
      <c r="AT172" t="b">
        <v>0</v>
      </c>
      <c r="AU172" t="b">
        <v>1</v>
      </c>
      <c r="AV172" t="b">
        <v>1</v>
      </c>
      <c r="AW172" t="b">
        <v>1</v>
      </c>
      <c r="AX172" t="b">
        <v>1</v>
      </c>
      <c r="AY172" t="b">
        <v>1</v>
      </c>
      <c r="AZ172" t="b">
        <v>1</v>
      </c>
      <c r="BA172" t="b">
        <v>1</v>
      </c>
      <c r="BB172" t="b">
        <v>1</v>
      </c>
      <c r="BC172" t="b">
        <v>1</v>
      </c>
      <c r="BD172" t="b">
        <v>0</v>
      </c>
      <c r="BE172" t="b">
        <v>0</v>
      </c>
      <c r="BF172" t="b">
        <v>0</v>
      </c>
      <c r="BG172" t="b">
        <v>0</v>
      </c>
      <c r="BH172" t="b">
        <v>0</v>
      </c>
      <c r="BI172" t="b">
        <v>0</v>
      </c>
      <c r="BJ172" t="b">
        <v>0</v>
      </c>
      <c r="BK172" t="b">
        <v>0</v>
      </c>
      <c r="BL172" t="b">
        <v>0</v>
      </c>
      <c r="BM172" t="b">
        <v>0</v>
      </c>
      <c r="BN172" t="b">
        <v>0</v>
      </c>
      <c r="BO172" t="b">
        <v>0</v>
      </c>
      <c r="BP172" t="b">
        <v>0</v>
      </c>
      <c r="BQ172" t="b">
        <v>0</v>
      </c>
      <c r="BR172" t="b">
        <v>0</v>
      </c>
      <c r="BS172" t="b">
        <v>0</v>
      </c>
      <c r="BT172" t="b">
        <v>0</v>
      </c>
      <c r="BU172" t="b">
        <v>0</v>
      </c>
      <c r="BV172" t="b">
        <v>0</v>
      </c>
      <c r="BW172" t="b">
        <v>0</v>
      </c>
      <c r="BX172" t="b">
        <v>0</v>
      </c>
      <c r="BY172" t="b">
        <v>0</v>
      </c>
      <c r="BZ172" t="b">
        <v>0</v>
      </c>
      <c r="CA172" t="b">
        <v>0</v>
      </c>
      <c r="CB172" t="b">
        <v>0</v>
      </c>
      <c r="CC172" t="s">
        <v>1253</v>
      </c>
      <c r="CD172" t="s">
        <v>1492</v>
      </c>
      <c r="CE172" t="s">
        <v>1513</v>
      </c>
      <c r="CF172" t="s">
        <v>1495</v>
      </c>
      <c r="CG172" t="b">
        <v>1</v>
      </c>
      <c r="CH172">
        <v>0</v>
      </c>
      <c r="CI172" t="s">
        <v>1829</v>
      </c>
      <c r="CJ172" t="s">
        <v>1830</v>
      </c>
      <c r="CK172" t="s">
        <v>1251</v>
      </c>
      <c r="CL172" t="s">
        <v>1831</v>
      </c>
    </row>
    <row r="173" spans="1:90">
      <c r="A173">
        <v>345</v>
      </c>
      <c r="B173">
        <v>502</v>
      </c>
      <c r="C173" t="s">
        <v>1250</v>
      </c>
      <c r="D173">
        <v>2</v>
      </c>
      <c r="E173" t="s">
        <v>1492</v>
      </c>
      <c r="F173">
        <v>2</v>
      </c>
      <c r="G173">
        <v>1</v>
      </c>
      <c r="H173">
        <v>2</v>
      </c>
      <c r="I173" t="s">
        <v>1492</v>
      </c>
      <c r="J173" t="s">
        <v>1297</v>
      </c>
      <c r="K173" t="s">
        <v>16</v>
      </c>
      <c r="L173" t="s">
        <v>1522</v>
      </c>
      <c r="M173" t="s">
        <v>1576</v>
      </c>
      <c r="N173" t="s">
        <v>1492</v>
      </c>
      <c r="O173" t="s">
        <v>1302</v>
      </c>
      <c r="P173" t="s">
        <v>1379</v>
      </c>
      <c r="Q173" t="s">
        <v>1302</v>
      </c>
      <c r="R173" t="s">
        <v>1379</v>
      </c>
      <c r="S173" t="s">
        <v>1302</v>
      </c>
      <c r="T173" t="s">
        <v>1379</v>
      </c>
      <c r="U173" t="s">
        <v>1302</v>
      </c>
      <c r="V173" t="s">
        <v>1379</v>
      </c>
      <c r="W173" t="s">
        <v>1302</v>
      </c>
      <c r="X173" t="s">
        <v>1372</v>
      </c>
      <c r="Y173" t="s">
        <v>1257</v>
      </c>
      <c r="Z173" t="s">
        <v>1257</v>
      </c>
      <c r="AA173" t="s">
        <v>1257</v>
      </c>
      <c r="AB173" t="s">
        <v>1257</v>
      </c>
      <c r="AC173" t="b">
        <v>0</v>
      </c>
      <c r="AD173" t="b">
        <v>0</v>
      </c>
      <c r="AE173" t="b">
        <v>0</v>
      </c>
      <c r="AF173" t="b">
        <v>0</v>
      </c>
      <c r="AG173" t="b">
        <v>0</v>
      </c>
      <c r="AH173" t="b">
        <v>0</v>
      </c>
      <c r="AI173" t="b">
        <v>0</v>
      </c>
      <c r="AJ173" t="b">
        <v>0</v>
      </c>
      <c r="AK173" t="b">
        <v>0</v>
      </c>
      <c r="AL173" t="b">
        <v>0</v>
      </c>
      <c r="AM173" t="b">
        <v>0</v>
      </c>
      <c r="AN173" t="b">
        <v>0</v>
      </c>
      <c r="AO173" t="b">
        <v>0</v>
      </c>
      <c r="AP173" t="b">
        <v>0</v>
      </c>
      <c r="AQ173" t="b">
        <v>0</v>
      </c>
      <c r="AR173" t="b">
        <v>0</v>
      </c>
      <c r="AS173" t="b">
        <v>0</v>
      </c>
      <c r="AT173" t="b">
        <v>0</v>
      </c>
      <c r="AU173" t="b">
        <v>1</v>
      </c>
      <c r="AV173" t="b">
        <v>1</v>
      </c>
      <c r="AW173" t="b">
        <v>1</v>
      </c>
      <c r="AX173" t="b">
        <v>1</v>
      </c>
      <c r="AY173" t="b">
        <v>1</v>
      </c>
      <c r="AZ173" t="b">
        <v>1</v>
      </c>
      <c r="BA173" t="b">
        <v>1</v>
      </c>
      <c r="BB173" t="b">
        <v>1</v>
      </c>
      <c r="BC173" t="b">
        <v>1</v>
      </c>
      <c r="BD173" t="b">
        <v>0</v>
      </c>
      <c r="BE173" t="b">
        <v>0</v>
      </c>
      <c r="BF173" t="b">
        <v>0</v>
      </c>
      <c r="BG173" t="b">
        <v>0</v>
      </c>
      <c r="BH173" t="b">
        <v>0</v>
      </c>
      <c r="BI173" t="b">
        <v>0</v>
      </c>
      <c r="BJ173" t="b">
        <v>0</v>
      </c>
      <c r="BK173" t="b">
        <v>0</v>
      </c>
      <c r="BL173" t="b">
        <v>0</v>
      </c>
      <c r="BM173" t="b">
        <v>0</v>
      </c>
      <c r="BN173" t="b">
        <v>0</v>
      </c>
      <c r="BO173" t="b">
        <v>0</v>
      </c>
      <c r="BP173" t="b">
        <v>0</v>
      </c>
      <c r="BQ173" t="b">
        <v>0</v>
      </c>
      <c r="BR173" t="b">
        <v>0</v>
      </c>
      <c r="BS173" t="b">
        <v>0</v>
      </c>
      <c r="BT173" t="b">
        <v>0</v>
      </c>
      <c r="BU173" t="b">
        <v>0</v>
      </c>
      <c r="BV173" t="b">
        <v>0</v>
      </c>
      <c r="BW173" t="b">
        <v>0</v>
      </c>
      <c r="BX173" t="b">
        <v>0</v>
      </c>
      <c r="BY173" t="b">
        <v>0</v>
      </c>
      <c r="BZ173" t="b">
        <v>0</v>
      </c>
      <c r="CA173" t="b">
        <v>0</v>
      </c>
      <c r="CB173" t="b">
        <v>0</v>
      </c>
      <c r="CC173" t="s">
        <v>1253</v>
      </c>
      <c r="CD173" t="s">
        <v>1492</v>
      </c>
      <c r="CE173" t="s">
        <v>1513</v>
      </c>
      <c r="CF173" t="s">
        <v>1495</v>
      </c>
      <c r="CG173" t="b">
        <v>1</v>
      </c>
      <c r="CH173">
        <v>0</v>
      </c>
      <c r="CI173" t="s">
        <v>1829</v>
      </c>
      <c r="CJ173" t="s">
        <v>1830</v>
      </c>
      <c r="CK173" t="s">
        <v>1251</v>
      </c>
      <c r="CL173" t="s">
        <v>1832</v>
      </c>
    </row>
    <row r="174" spans="1:90">
      <c r="A174">
        <v>348</v>
      </c>
      <c r="B174">
        <v>503</v>
      </c>
      <c r="C174" t="s">
        <v>1250</v>
      </c>
      <c r="D174">
        <v>1</v>
      </c>
      <c r="E174" t="s">
        <v>1492</v>
      </c>
      <c r="F174">
        <v>5</v>
      </c>
      <c r="G174">
        <v>1</v>
      </c>
      <c r="H174">
        <v>2</v>
      </c>
      <c r="I174" t="s">
        <v>975</v>
      </c>
      <c r="J174" t="s">
        <v>1297</v>
      </c>
      <c r="K174" t="s">
        <v>15</v>
      </c>
      <c r="L174" t="s">
        <v>1511</v>
      </c>
      <c r="M174" t="s">
        <v>1576</v>
      </c>
      <c r="N174" t="s">
        <v>1492</v>
      </c>
      <c r="O174" t="s">
        <v>1302</v>
      </c>
      <c r="P174" t="s">
        <v>1379</v>
      </c>
      <c r="Q174" t="s">
        <v>1302</v>
      </c>
      <c r="R174" t="s">
        <v>1379</v>
      </c>
      <c r="S174" t="s">
        <v>1302</v>
      </c>
      <c r="T174" t="s">
        <v>1379</v>
      </c>
      <c r="U174" t="s">
        <v>1302</v>
      </c>
      <c r="V174" t="s">
        <v>1379</v>
      </c>
      <c r="W174" t="s">
        <v>1302</v>
      </c>
      <c r="X174" t="s">
        <v>1372</v>
      </c>
      <c r="Y174" t="s">
        <v>1257</v>
      </c>
      <c r="Z174" t="s">
        <v>1257</v>
      </c>
      <c r="AA174" t="s">
        <v>1257</v>
      </c>
      <c r="AB174" t="s">
        <v>1257</v>
      </c>
      <c r="AC174" t="b">
        <v>0</v>
      </c>
      <c r="AD174" t="b">
        <v>0</v>
      </c>
      <c r="AE174" t="b">
        <v>0</v>
      </c>
      <c r="AF174" t="b">
        <v>0</v>
      </c>
      <c r="AG174" t="b">
        <v>0</v>
      </c>
      <c r="AH174" t="b">
        <v>0</v>
      </c>
      <c r="AI174" t="b">
        <v>1</v>
      </c>
      <c r="AJ174" t="b">
        <v>1</v>
      </c>
      <c r="AK174" t="b">
        <v>1</v>
      </c>
      <c r="AL174" t="b">
        <v>1</v>
      </c>
      <c r="AM174" t="b">
        <v>1</v>
      </c>
      <c r="AN174" t="b">
        <v>1</v>
      </c>
      <c r="AO174" t="b">
        <v>1</v>
      </c>
      <c r="AP174" t="b">
        <v>1</v>
      </c>
      <c r="AQ174" t="b">
        <v>1</v>
      </c>
      <c r="AR174" t="b">
        <v>0</v>
      </c>
      <c r="AS174" t="b">
        <v>0</v>
      </c>
      <c r="AT174" t="b">
        <v>0</v>
      </c>
      <c r="AU174" t="b">
        <v>0</v>
      </c>
      <c r="AV174" t="b">
        <v>0</v>
      </c>
      <c r="AW174" t="b">
        <v>0</v>
      </c>
      <c r="AX174" t="b">
        <v>0</v>
      </c>
      <c r="AY174" t="b">
        <v>0</v>
      </c>
      <c r="AZ174" t="b">
        <v>0</v>
      </c>
      <c r="BA174" t="b">
        <v>0</v>
      </c>
      <c r="BB174" t="b">
        <v>0</v>
      </c>
      <c r="BC174" t="b">
        <v>0</v>
      </c>
      <c r="BD174" t="b">
        <v>0</v>
      </c>
      <c r="BE174" t="b">
        <v>0</v>
      </c>
      <c r="BF174" t="b">
        <v>0</v>
      </c>
      <c r="BG174" t="b">
        <v>0</v>
      </c>
      <c r="BH174" t="b">
        <v>0</v>
      </c>
      <c r="BI174" t="b">
        <v>0</v>
      </c>
      <c r="BJ174" t="b">
        <v>0</v>
      </c>
      <c r="BK174" t="b">
        <v>0</v>
      </c>
      <c r="BL174" t="b">
        <v>0</v>
      </c>
      <c r="BM174" t="b">
        <v>0</v>
      </c>
      <c r="BN174" t="b">
        <v>0</v>
      </c>
      <c r="BO174" t="b">
        <v>0</v>
      </c>
      <c r="BP174" t="b">
        <v>0</v>
      </c>
      <c r="BQ174" t="b">
        <v>0</v>
      </c>
      <c r="BR174" t="b">
        <v>0</v>
      </c>
      <c r="BS174" t="b">
        <v>0</v>
      </c>
      <c r="BT174" t="b">
        <v>0</v>
      </c>
      <c r="BU174" t="b">
        <v>0</v>
      </c>
      <c r="BV174" t="b">
        <v>0</v>
      </c>
      <c r="BW174" t="b">
        <v>0</v>
      </c>
      <c r="BX174" t="b">
        <v>0</v>
      </c>
      <c r="BY174" t="b">
        <v>0</v>
      </c>
      <c r="BZ174" t="b">
        <v>0</v>
      </c>
      <c r="CA174" t="b">
        <v>0</v>
      </c>
      <c r="CB174" t="b">
        <v>0</v>
      </c>
      <c r="CC174" t="s">
        <v>1512</v>
      </c>
      <c r="CD174" t="s">
        <v>1492</v>
      </c>
      <c r="CE174" t="s">
        <v>1513</v>
      </c>
      <c r="CF174" t="s">
        <v>1495</v>
      </c>
      <c r="CG174" t="b">
        <v>1</v>
      </c>
      <c r="CH174">
        <v>0</v>
      </c>
      <c r="CI174" t="s">
        <v>1833</v>
      </c>
      <c r="CJ174" t="s">
        <v>1834</v>
      </c>
      <c r="CK174" t="s">
        <v>1251</v>
      </c>
      <c r="CL174" t="s">
        <v>1835</v>
      </c>
    </row>
    <row r="175" spans="1:90">
      <c r="A175">
        <v>347</v>
      </c>
      <c r="B175">
        <v>503</v>
      </c>
      <c r="C175" t="s">
        <v>1250</v>
      </c>
      <c r="D175">
        <v>2</v>
      </c>
      <c r="E175" t="s">
        <v>1492</v>
      </c>
      <c r="F175">
        <v>5</v>
      </c>
      <c r="G175">
        <v>1</v>
      </c>
      <c r="H175">
        <v>2</v>
      </c>
      <c r="I175" t="s">
        <v>975</v>
      </c>
      <c r="J175" t="s">
        <v>1297</v>
      </c>
      <c r="K175" t="s">
        <v>15</v>
      </c>
      <c r="L175" t="s">
        <v>1511</v>
      </c>
      <c r="M175" t="s">
        <v>1576</v>
      </c>
      <c r="N175" t="s">
        <v>1492</v>
      </c>
      <c r="O175" t="s">
        <v>1302</v>
      </c>
      <c r="P175" t="s">
        <v>1379</v>
      </c>
      <c r="Q175" t="s">
        <v>1302</v>
      </c>
      <c r="R175" t="s">
        <v>1379</v>
      </c>
      <c r="S175" t="s">
        <v>1302</v>
      </c>
      <c r="T175" t="s">
        <v>1379</v>
      </c>
      <c r="U175" t="s">
        <v>1302</v>
      </c>
      <c r="V175" t="s">
        <v>1379</v>
      </c>
      <c r="W175" t="s">
        <v>1302</v>
      </c>
      <c r="X175" t="s">
        <v>1372</v>
      </c>
      <c r="Y175" t="s">
        <v>1257</v>
      </c>
      <c r="Z175" t="s">
        <v>1257</v>
      </c>
      <c r="AA175" t="s">
        <v>1257</v>
      </c>
      <c r="AB175" t="s">
        <v>1257</v>
      </c>
      <c r="AC175" t="b">
        <v>0</v>
      </c>
      <c r="AD175" t="b">
        <v>0</v>
      </c>
      <c r="AE175" t="b">
        <v>0</v>
      </c>
      <c r="AF175" t="b">
        <v>0</v>
      </c>
      <c r="AG175" t="b">
        <v>0</v>
      </c>
      <c r="AH175" t="b">
        <v>0</v>
      </c>
      <c r="AI175" t="b">
        <v>1</v>
      </c>
      <c r="AJ175" t="b">
        <v>1</v>
      </c>
      <c r="AK175" t="b">
        <v>1</v>
      </c>
      <c r="AL175" t="b">
        <v>1</v>
      </c>
      <c r="AM175" t="b">
        <v>1</v>
      </c>
      <c r="AN175" t="b">
        <v>1</v>
      </c>
      <c r="AO175" t="b">
        <v>1</v>
      </c>
      <c r="AP175" t="b">
        <v>1</v>
      </c>
      <c r="AQ175" t="b">
        <v>1</v>
      </c>
      <c r="AR175" t="b">
        <v>0</v>
      </c>
      <c r="AS175" t="b">
        <v>0</v>
      </c>
      <c r="AT175" t="b">
        <v>0</v>
      </c>
      <c r="AU175" t="b">
        <v>0</v>
      </c>
      <c r="AV175" t="b">
        <v>0</v>
      </c>
      <c r="AW175" t="b">
        <v>0</v>
      </c>
      <c r="AX175" t="b">
        <v>0</v>
      </c>
      <c r="AY175" t="b">
        <v>0</v>
      </c>
      <c r="AZ175" t="b">
        <v>0</v>
      </c>
      <c r="BA175" t="b">
        <v>0</v>
      </c>
      <c r="BB175" t="b">
        <v>0</v>
      </c>
      <c r="BC175" t="b">
        <v>0</v>
      </c>
      <c r="BD175" t="b">
        <v>0</v>
      </c>
      <c r="BE175" t="b">
        <v>0</v>
      </c>
      <c r="BF175" t="b">
        <v>0</v>
      </c>
      <c r="BG175" t="b">
        <v>0</v>
      </c>
      <c r="BH175" t="b">
        <v>0</v>
      </c>
      <c r="BI175" t="b">
        <v>0</v>
      </c>
      <c r="BJ175" t="b">
        <v>0</v>
      </c>
      <c r="BK175" t="b">
        <v>0</v>
      </c>
      <c r="BL175" t="b">
        <v>0</v>
      </c>
      <c r="BM175" t="b">
        <v>0</v>
      </c>
      <c r="BN175" t="b">
        <v>0</v>
      </c>
      <c r="BO175" t="b">
        <v>0</v>
      </c>
      <c r="BP175" t="b">
        <v>0</v>
      </c>
      <c r="BQ175" t="b">
        <v>0</v>
      </c>
      <c r="BR175" t="b">
        <v>0</v>
      </c>
      <c r="BS175" t="b">
        <v>0</v>
      </c>
      <c r="BT175" t="b">
        <v>0</v>
      </c>
      <c r="BU175" t="b">
        <v>0</v>
      </c>
      <c r="BV175" t="b">
        <v>0</v>
      </c>
      <c r="BW175" t="b">
        <v>0</v>
      </c>
      <c r="BX175" t="b">
        <v>0</v>
      </c>
      <c r="BY175" t="b">
        <v>0</v>
      </c>
      <c r="BZ175" t="b">
        <v>0</v>
      </c>
      <c r="CA175" t="b">
        <v>0</v>
      </c>
      <c r="CB175" t="b">
        <v>0</v>
      </c>
      <c r="CC175" t="s">
        <v>1512</v>
      </c>
      <c r="CD175" t="s">
        <v>1492</v>
      </c>
      <c r="CE175" t="s">
        <v>1513</v>
      </c>
      <c r="CF175" t="s">
        <v>1495</v>
      </c>
      <c r="CG175" t="b">
        <v>1</v>
      </c>
      <c r="CH175">
        <v>0</v>
      </c>
      <c r="CI175" t="s">
        <v>1833</v>
      </c>
      <c r="CJ175" t="s">
        <v>1834</v>
      </c>
      <c r="CK175" t="s">
        <v>1251</v>
      </c>
      <c r="CL175" t="s">
        <v>1836</v>
      </c>
    </row>
    <row r="176" spans="1:90">
      <c r="A176">
        <v>350</v>
      </c>
      <c r="B176">
        <v>504</v>
      </c>
      <c r="C176" t="s">
        <v>1250</v>
      </c>
      <c r="D176">
        <v>1</v>
      </c>
      <c r="E176" t="s">
        <v>1492</v>
      </c>
      <c r="F176">
        <v>3</v>
      </c>
      <c r="G176">
        <v>1</v>
      </c>
      <c r="H176">
        <v>2</v>
      </c>
      <c r="I176" t="s">
        <v>1492</v>
      </c>
      <c r="J176" t="s">
        <v>1297</v>
      </c>
      <c r="K176" t="s">
        <v>16</v>
      </c>
      <c r="L176" t="s">
        <v>1522</v>
      </c>
      <c r="M176" t="s">
        <v>1576</v>
      </c>
      <c r="N176" t="s">
        <v>1492</v>
      </c>
      <c r="O176" t="s">
        <v>1302</v>
      </c>
      <c r="P176" t="s">
        <v>1379</v>
      </c>
      <c r="Q176" t="s">
        <v>1302</v>
      </c>
      <c r="R176" t="s">
        <v>1379</v>
      </c>
      <c r="S176" t="s">
        <v>1302</v>
      </c>
      <c r="T176" t="s">
        <v>1379</v>
      </c>
      <c r="U176" t="s">
        <v>1302</v>
      </c>
      <c r="V176" t="s">
        <v>1379</v>
      </c>
      <c r="W176" t="s">
        <v>1302</v>
      </c>
      <c r="X176" t="s">
        <v>1372</v>
      </c>
      <c r="Y176" t="s">
        <v>1257</v>
      </c>
      <c r="Z176" t="s">
        <v>1257</v>
      </c>
      <c r="AA176" t="s">
        <v>1257</v>
      </c>
      <c r="AB176" t="s">
        <v>1257</v>
      </c>
      <c r="AC176" t="b">
        <v>0</v>
      </c>
      <c r="AD176" t="b">
        <v>0</v>
      </c>
      <c r="AE176" t="b">
        <v>0</v>
      </c>
      <c r="AF176" t="b">
        <v>0</v>
      </c>
      <c r="AG176" t="b">
        <v>0</v>
      </c>
      <c r="AH176" t="b">
        <v>0</v>
      </c>
      <c r="AI176" t="b">
        <v>1</v>
      </c>
      <c r="AJ176" t="b">
        <v>1</v>
      </c>
      <c r="AK176" t="b">
        <v>1</v>
      </c>
      <c r="AL176" t="b">
        <v>1</v>
      </c>
      <c r="AM176" t="b">
        <v>1</v>
      </c>
      <c r="AN176" t="b">
        <v>1</v>
      </c>
      <c r="AO176" t="b">
        <v>1</v>
      </c>
      <c r="AP176" t="b">
        <v>1</v>
      </c>
      <c r="AQ176" t="b">
        <v>1</v>
      </c>
      <c r="AR176" t="b">
        <v>0</v>
      </c>
      <c r="AS176" t="b">
        <v>0</v>
      </c>
      <c r="AT176" t="b">
        <v>0</v>
      </c>
      <c r="AU176" t="b">
        <v>0</v>
      </c>
      <c r="AV176" t="b">
        <v>0</v>
      </c>
      <c r="AW176" t="b">
        <v>0</v>
      </c>
      <c r="AX176" t="b">
        <v>0</v>
      </c>
      <c r="AY176" t="b">
        <v>0</v>
      </c>
      <c r="AZ176" t="b">
        <v>0</v>
      </c>
      <c r="BA176" t="b">
        <v>0</v>
      </c>
      <c r="BB176" t="b">
        <v>0</v>
      </c>
      <c r="BC176" t="b">
        <v>0</v>
      </c>
      <c r="BD176" t="b">
        <v>0</v>
      </c>
      <c r="BE176" t="b">
        <v>0</v>
      </c>
      <c r="BF176" t="b">
        <v>0</v>
      </c>
      <c r="BG176" t="b">
        <v>0</v>
      </c>
      <c r="BH176" t="b">
        <v>0</v>
      </c>
      <c r="BI176" t="b">
        <v>0</v>
      </c>
      <c r="BJ176" t="b">
        <v>0</v>
      </c>
      <c r="BK176" t="b">
        <v>0</v>
      </c>
      <c r="BL176" t="b">
        <v>0</v>
      </c>
      <c r="BM176" t="b">
        <v>0</v>
      </c>
      <c r="BN176" t="b">
        <v>0</v>
      </c>
      <c r="BO176" t="b">
        <v>0</v>
      </c>
      <c r="BP176" t="b">
        <v>0</v>
      </c>
      <c r="BQ176" t="b">
        <v>0</v>
      </c>
      <c r="BR176" t="b">
        <v>0</v>
      </c>
      <c r="BS176" t="b">
        <v>0</v>
      </c>
      <c r="BT176" t="b">
        <v>0</v>
      </c>
      <c r="BU176" t="b">
        <v>0</v>
      </c>
      <c r="BV176" t="b">
        <v>0</v>
      </c>
      <c r="BW176" t="b">
        <v>0</v>
      </c>
      <c r="BX176" t="b">
        <v>0</v>
      </c>
      <c r="BY176" t="b">
        <v>0</v>
      </c>
      <c r="BZ176" t="b">
        <v>0</v>
      </c>
      <c r="CA176" t="b">
        <v>0</v>
      </c>
      <c r="CB176" t="b">
        <v>0</v>
      </c>
      <c r="CC176" t="s">
        <v>1512</v>
      </c>
      <c r="CD176" t="s">
        <v>1492</v>
      </c>
      <c r="CE176" t="s">
        <v>1513</v>
      </c>
      <c r="CF176" t="s">
        <v>1495</v>
      </c>
      <c r="CG176" t="b">
        <v>1</v>
      </c>
      <c r="CH176">
        <v>0</v>
      </c>
      <c r="CI176" t="s">
        <v>1837</v>
      </c>
      <c r="CJ176" t="s">
        <v>1838</v>
      </c>
      <c r="CK176" t="s">
        <v>1251</v>
      </c>
      <c r="CL176" t="s">
        <v>1839</v>
      </c>
    </row>
    <row r="177" spans="1:90">
      <c r="A177">
        <v>349</v>
      </c>
      <c r="B177">
        <v>504</v>
      </c>
      <c r="C177" t="s">
        <v>1250</v>
      </c>
      <c r="D177">
        <v>2</v>
      </c>
      <c r="E177" t="s">
        <v>1492</v>
      </c>
      <c r="F177">
        <v>3</v>
      </c>
      <c r="G177">
        <v>1</v>
      </c>
      <c r="H177">
        <v>2</v>
      </c>
      <c r="I177" t="s">
        <v>1492</v>
      </c>
      <c r="J177" t="s">
        <v>1297</v>
      </c>
      <c r="K177" t="s">
        <v>16</v>
      </c>
      <c r="L177" t="s">
        <v>1522</v>
      </c>
      <c r="M177" t="s">
        <v>1576</v>
      </c>
      <c r="N177" t="s">
        <v>1492</v>
      </c>
      <c r="O177" t="s">
        <v>1302</v>
      </c>
      <c r="P177" t="s">
        <v>1379</v>
      </c>
      <c r="Q177" t="s">
        <v>1302</v>
      </c>
      <c r="R177" t="s">
        <v>1379</v>
      </c>
      <c r="S177" t="s">
        <v>1302</v>
      </c>
      <c r="T177" t="s">
        <v>1379</v>
      </c>
      <c r="U177" t="s">
        <v>1302</v>
      </c>
      <c r="V177" t="s">
        <v>1379</v>
      </c>
      <c r="W177" t="s">
        <v>1302</v>
      </c>
      <c r="X177" t="s">
        <v>1372</v>
      </c>
      <c r="Y177" t="s">
        <v>1257</v>
      </c>
      <c r="Z177" t="s">
        <v>1257</v>
      </c>
      <c r="AA177" t="s">
        <v>1257</v>
      </c>
      <c r="AB177" t="s">
        <v>1257</v>
      </c>
      <c r="AC177" t="b">
        <v>0</v>
      </c>
      <c r="AD177" t="b">
        <v>0</v>
      </c>
      <c r="AE177" t="b">
        <v>0</v>
      </c>
      <c r="AF177" t="b">
        <v>0</v>
      </c>
      <c r="AG177" t="b">
        <v>0</v>
      </c>
      <c r="AH177" t="b">
        <v>0</v>
      </c>
      <c r="AI177" t="b">
        <v>1</v>
      </c>
      <c r="AJ177" t="b">
        <v>1</v>
      </c>
      <c r="AK177" t="b">
        <v>1</v>
      </c>
      <c r="AL177" t="b">
        <v>1</v>
      </c>
      <c r="AM177" t="b">
        <v>1</v>
      </c>
      <c r="AN177" t="b">
        <v>1</v>
      </c>
      <c r="AO177" t="b">
        <v>1</v>
      </c>
      <c r="AP177" t="b">
        <v>1</v>
      </c>
      <c r="AQ177" t="b">
        <v>1</v>
      </c>
      <c r="AR177" t="b">
        <v>0</v>
      </c>
      <c r="AS177" t="b">
        <v>0</v>
      </c>
      <c r="AT177" t="b">
        <v>0</v>
      </c>
      <c r="AU177" t="b">
        <v>0</v>
      </c>
      <c r="AV177" t="b">
        <v>0</v>
      </c>
      <c r="AW177" t="b">
        <v>0</v>
      </c>
      <c r="AX177" t="b">
        <v>0</v>
      </c>
      <c r="AY177" t="b">
        <v>0</v>
      </c>
      <c r="AZ177" t="b">
        <v>0</v>
      </c>
      <c r="BA177" t="b">
        <v>0</v>
      </c>
      <c r="BB177" t="b">
        <v>0</v>
      </c>
      <c r="BC177" t="b">
        <v>0</v>
      </c>
      <c r="BD177" t="b">
        <v>0</v>
      </c>
      <c r="BE177" t="b">
        <v>0</v>
      </c>
      <c r="BF177" t="b">
        <v>0</v>
      </c>
      <c r="BG177" t="b">
        <v>0</v>
      </c>
      <c r="BH177" t="b">
        <v>0</v>
      </c>
      <c r="BI177" t="b">
        <v>0</v>
      </c>
      <c r="BJ177" t="b">
        <v>0</v>
      </c>
      <c r="BK177" t="b">
        <v>0</v>
      </c>
      <c r="BL177" t="b">
        <v>0</v>
      </c>
      <c r="BM177" t="b">
        <v>0</v>
      </c>
      <c r="BN177" t="b">
        <v>0</v>
      </c>
      <c r="BO177" t="b">
        <v>0</v>
      </c>
      <c r="BP177" t="b">
        <v>0</v>
      </c>
      <c r="BQ177" t="b">
        <v>0</v>
      </c>
      <c r="BR177" t="b">
        <v>0</v>
      </c>
      <c r="BS177" t="b">
        <v>0</v>
      </c>
      <c r="BT177" t="b">
        <v>0</v>
      </c>
      <c r="BU177" t="b">
        <v>0</v>
      </c>
      <c r="BV177" t="b">
        <v>0</v>
      </c>
      <c r="BW177" t="b">
        <v>0</v>
      </c>
      <c r="BX177" t="b">
        <v>0</v>
      </c>
      <c r="BY177" t="b">
        <v>0</v>
      </c>
      <c r="BZ177" t="b">
        <v>0</v>
      </c>
      <c r="CA177" t="b">
        <v>0</v>
      </c>
      <c r="CB177" t="b">
        <v>0</v>
      </c>
      <c r="CC177" t="s">
        <v>1512</v>
      </c>
      <c r="CD177" t="s">
        <v>1492</v>
      </c>
      <c r="CE177" t="s">
        <v>1513</v>
      </c>
      <c r="CF177" t="s">
        <v>1495</v>
      </c>
      <c r="CG177" t="b">
        <v>1</v>
      </c>
      <c r="CH177">
        <v>0</v>
      </c>
      <c r="CI177" t="s">
        <v>1837</v>
      </c>
      <c r="CJ177" t="s">
        <v>1838</v>
      </c>
      <c r="CK177" t="s">
        <v>1251</v>
      </c>
      <c r="CL177" t="s">
        <v>1840</v>
      </c>
    </row>
    <row r="178" spans="1:90">
      <c r="A178">
        <v>357</v>
      </c>
      <c r="B178">
        <v>509</v>
      </c>
      <c r="C178" t="s">
        <v>1250</v>
      </c>
      <c r="D178">
        <v>1</v>
      </c>
      <c r="E178" t="s">
        <v>1492</v>
      </c>
      <c r="F178">
        <v>2</v>
      </c>
      <c r="G178">
        <v>1</v>
      </c>
      <c r="H178">
        <v>2</v>
      </c>
      <c r="I178" t="s">
        <v>975</v>
      </c>
      <c r="J178" t="s">
        <v>1297</v>
      </c>
      <c r="K178" t="s">
        <v>15</v>
      </c>
      <c r="L178" t="s">
        <v>1511</v>
      </c>
      <c r="M178" t="s">
        <v>1576</v>
      </c>
      <c r="N178" t="s">
        <v>1492</v>
      </c>
      <c r="O178" t="s">
        <v>1302</v>
      </c>
      <c r="P178" t="s">
        <v>1379</v>
      </c>
      <c r="Q178" t="s">
        <v>1302</v>
      </c>
      <c r="R178" t="s">
        <v>1379</v>
      </c>
      <c r="S178" t="s">
        <v>1302</v>
      </c>
      <c r="T178" t="s">
        <v>1379</v>
      </c>
      <c r="U178" t="s">
        <v>1302</v>
      </c>
      <c r="V178" t="s">
        <v>1379</v>
      </c>
      <c r="W178" t="s">
        <v>1302</v>
      </c>
      <c r="X178" t="s">
        <v>1372</v>
      </c>
      <c r="Y178" t="s">
        <v>1257</v>
      </c>
      <c r="Z178" t="s">
        <v>1257</v>
      </c>
      <c r="AA178" t="s">
        <v>1257</v>
      </c>
      <c r="AB178" t="s">
        <v>1257</v>
      </c>
      <c r="AC178" t="b">
        <v>0</v>
      </c>
      <c r="AD178" t="b">
        <v>0</v>
      </c>
      <c r="AE178" t="b">
        <v>0</v>
      </c>
      <c r="AF178" t="b">
        <v>0</v>
      </c>
      <c r="AG178" t="b">
        <v>0</v>
      </c>
      <c r="AH178" t="b">
        <v>0</v>
      </c>
      <c r="AI178" t="b">
        <v>0</v>
      </c>
      <c r="AJ178" t="b">
        <v>0</v>
      </c>
      <c r="AK178" t="b">
        <v>0</v>
      </c>
      <c r="AL178" t="b">
        <v>0</v>
      </c>
      <c r="AM178" t="b">
        <v>0</v>
      </c>
      <c r="AN178" t="b">
        <v>0</v>
      </c>
      <c r="AO178" t="b">
        <v>0</v>
      </c>
      <c r="AP178" t="b">
        <v>0</v>
      </c>
      <c r="AQ178" t="b">
        <v>0</v>
      </c>
      <c r="AR178" t="b">
        <v>0</v>
      </c>
      <c r="AS178" t="b">
        <v>0</v>
      </c>
      <c r="AT178" t="b">
        <v>0</v>
      </c>
      <c r="AU178" t="b">
        <v>0</v>
      </c>
      <c r="AV178" t="b">
        <v>0</v>
      </c>
      <c r="AW178" t="b">
        <v>0</v>
      </c>
      <c r="AX178" t="b">
        <v>0</v>
      </c>
      <c r="AY178" t="b">
        <v>0</v>
      </c>
      <c r="AZ178" t="b">
        <v>0</v>
      </c>
      <c r="BA178" t="b">
        <v>0</v>
      </c>
      <c r="BB178" t="b">
        <v>0</v>
      </c>
      <c r="BC178" t="b">
        <v>0</v>
      </c>
      <c r="BD178" t="b">
        <v>0</v>
      </c>
      <c r="BE178" t="b">
        <v>0</v>
      </c>
      <c r="BF178" t="b">
        <v>0</v>
      </c>
      <c r="BG178" t="b">
        <v>0</v>
      </c>
      <c r="BH178" t="b">
        <v>0</v>
      </c>
      <c r="BI178" t="b">
        <v>0</v>
      </c>
      <c r="BJ178" t="b">
        <v>0</v>
      </c>
      <c r="BK178" t="b">
        <v>0</v>
      </c>
      <c r="BL178" t="b">
        <v>0</v>
      </c>
      <c r="BM178" t="b">
        <v>0</v>
      </c>
      <c r="BN178" t="b">
        <v>0</v>
      </c>
      <c r="BO178" t="b">
        <v>0</v>
      </c>
      <c r="BP178" t="b">
        <v>0</v>
      </c>
      <c r="BQ178" t="b">
        <v>1</v>
      </c>
      <c r="BR178" t="b">
        <v>1</v>
      </c>
      <c r="BS178" t="b">
        <v>1</v>
      </c>
      <c r="BT178" t="b">
        <v>1</v>
      </c>
      <c r="BU178" t="b">
        <v>1</v>
      </c>
      <c r="BV178" t="b">
        <v>1</v>
      </c>
      <c r="BW178" t="b">
        <v>1</v>
      </c>
      <c r="BX178" t="b">
        <v>1</v>
      </c>
      <c r="BY178" t="b">
        <v>1</v>
      </c>
      <c r="BZ178" t="b">
        <v>0</v>
      </c>
      <c r="CA178" t="b">
        <v>0</v>
      </c>
      <c r="CB178" t="b">
        <v>0</v>
      </c>
      <c r="CC178" t="s">
        <v>1512</v>
      </c>
      <c r="CD178" t="s">
        <v>1492</v>
      </c>
      <c r="CE178" t="s">
        <v>1513</v>
      </c>
      <c r="CF178" t="s">
        <v>1495</v>
      </c>
      <c r="CG178" t="b">
        <v>1</v>
      </c>
      <c r="CH178">
        <v>0</v>
      </c>
      <c r="CI178" t="s">
        <v>1841</v>
      </c>
      <c r="CJ178" t="s">
        <v>1842</v>
      </c>
      <c r="CK178" t="s">
        <v>1251</v>
      </c>
      <c r="CL178" t="s">
        <v>1843</v>
      </c>
    </row>
    <row r="179" spans="1:90">
      <c r="A179">
        <v>358</v>
      </c>
      <c r="B179">
        <v>509</v>
      </c>
      <c r="C179" t="s">
        <v>1250</v>
      </c>
      <c r="D179">
        <v>2</v>
      </c>
      <c r="E179" t="s">
        <v>1492</v>
      </c>
      <c r="F179">
        <v>2</v>
      </c>
      <c r="G179">
        <v>1</v>
      </c>
      <c r="H179">
        <v>2</v>
      </c>
      <c r="I179" t="s">
        <v>975</v>
      </c>
      <c r="J179" t="s">
        <v>1297</v>
      </c>
      <c r="K179" t="s">
        <v>15</v>
      </c>
      <c r="L179" t="s">
        <v>1511</v>
      </c>
      <c r="M179" t="s">
        <v>1576</v>
      </c>
      <c r="N179" t="s">
        <v>1492</v>
      </c>
      <c r="O179" t="s">
        <v>1302</v>
      </c>
      <c r="P179" t="s">
        <v>1379</v>
      </c>
      <c r="Q179" t="s">
        <v>1302</v>
      </c>
      <c r="R179" t="s">
        <v>1379</v>
      </c>
      <c r="S179" t="s">
        <v>1302</v>
      </c>
      <c r="T179" t="s">
        <v>1379</v>
      </c>
      <c r="U179" t="s">
        <v>1302</v>
      </c>
      <c r="V179" t="s">
        <v>1379</v>
      </c>
      <c r="W179" t="s">
        <v>1302</v>
      </c>
      <c r="X179" t="s">
        <v>1372</v>
      </c>
      <c r="Y179" t="s">
        <v>1257</v>
      </c>
      <c r="Z179" t="s">
        <v>1257</v>
      </c>
      <c r="AA179" t="s">
        <v>1257</v>
      </c>
      <c r="AB179" t="s">
        <v>1257</v>
      </c>
      <c r="AC179" t="b">
        <v>0</v>
      </c>
      <c r="AD179" t="b">
        <v>0</v>
      </c>
      <c r="AE179" t="b">
        <v>0</v>
      </c>
      <c r="AF179" t="b">
        <v>0</v>
      </c>
      <c r="AG179" t="b">
        <v>0</v>
      </c>
      <c r="AH179" t="b">
        <v>0</v>
      </c>
      <c r="AI179" t="b">
        <v>0</v>
      </c>
      <c r="AJ179" t="b">
        <v>0</v>
      </c>
      <c r="AK179" t="b">
        <v>0</v>
      </c>
      <c r="AL179" t="b">
        <v>0</v>
      </c>
      <c r="AM179" t="b">
        <v>0</v>
      </c>
      <c r="AN179" t="b">
        <v>0</v>
      </c>
      <c r="AO179" t="b">
        <v>0</v>
      </c>
      <c r="AP179" t="b">
        <v>0</v>
      </c>
      <c r="AQ179" t="b">
        <v>0</v>
      </c>
      <c r="AR179" t="b">
        <v>0</v>
      </c>
      <c r="AS179" t="b">
        <v>0</v>
      </c>
      <c r="AT179" t="b">
        <v>0</v>
      </c>
      <c r="AU179" t="b">
        <v>0</v>
      </c>
      <c r="AV179" t="b">
        <v>0</v>
      </c>
      <c r="AW179" t="b">
        <v>0</v>
      </c>
      <c r="AX179" t="b">
        <v>0</v>
      </c>
      <c r="AY179" t="b">
        <v>0</v>
      </c>
      <c r="AZ179" t="b">
        <v>0</v>
      </c>
      <c r="BA179" t="b">
        <v>0</v>
      </c>
      <c r="BB179" t="b">
        <v>0</v>
      </c>
      <c r="BC179" t="b">
        <v>0</v>
      </c>
      <c r="BD179" t="b">
        <v>0</v>
      </c>
      <c r="BE179" t="b">
        <v>0</v>
      </c>
      <c r="BF179" t="b">
        <v>0</v>
      </c>
      <c r="BG179" t="b">
        <v>0</v>
      </c>
      <c r="BH179" t="b">
        <v>0</v>
      </c>
      <c r="BI179" t="b">
        <v>0</v>
      </c>
      <c r="BJ179" t="b">
        <v>0</v>
      </c>
      <c r="BK179" t="b">
        <v>0</v>
      </c>
      <c r="BL179" t="b">
        <v>0</v>
      </c>
      <c r="BM179" t="b">
        <v>0</v>
      </c>
      <c r="BN179" t="b">
        <v>0</v>
      </c>
      <c r="BO179" t="b">
        <v>0</v>
      </c>
      <c r="BP179" t="b">
        <v>0</v>
      </c>
      <c r="BQ179" t="b">
        <v>1</v>
      </c>
      <c r="BR179" t="b">
        <v>1</v>
      </c>
      <c r="BS179" t="b">
        <v>1</v>
      </c>
      <c r="BT179" t="b">
        <v>1</v>
      </c>
      <c r="BU179" t="b">
        <v>1</v>
      </c>
      <c r="BV179" t="b">
        <v>1</v>
      </c>
      <c r="BW179" t="b">
        <v>1</v>
      </c>
      <c r="BX179" t="b">
        <v>1</v>
      </c>
      <c r="BY179" t="b">
        <v>1</v>
      </c>
      <c r="BZ179" t="b">
        <v>0</v>
      </c>
      <c r="CA179" t="b">
        <v>0</v>
      </c>
      <c r="CB179" t="b">
        <v>0</v>
      </c>
      <c r="CC179" t="s">
        <v>1512</v>
      </c>
      <c r="CD179" t="s">
        <v>1492</v>
      </c>
      <c r="CE179" t="s">
        <v>1513</v>
      </c>
      <c r="CF179" t="s">
        <v>1495</v>
      </c>
      <c r="CG179" t="b">
        <v>1</v>
      </c>
      <c r="CH179">
        <v>0</v>
      </c>
      <c r="CI179" t="s">
        <v>1844</v>
      </c>
      <c r="CJ179" t="s">
        <v>1842</v>
      </c>
      <c r="CK179" t="s">
        <v>1251</v>
      </c>
      <c r="CL179" t="s">
        <v>1845</v>
      </c>
    </row>
    <row r="180" spans="1:90">
      <c r="A180">
        <v>356</v>
      </c>
      <c r="B180">
        <v>508</v>
      </c>
      <c r="C180" t="s">
        <v>1250</v>
      </c>
      <c r="D180">
        <v>1</v>
      </c>
      <c r="E180" t="s">
        <v>1492</v>
      </c>
      <c r="F180">
        <v>2</v>
      </c>
      <c r="G180">
        <v>1</v>
      </c>
      <c r="H180">
        <v>2</v>
      </c>
      <c r="I180" t="s">
        <v>1492</v>
      </c>
      <c r="J180" t="s">
        <v>1297</v>
      </c>
      <c r="K180" t="s">
        <v>16</v>
      </c>
      <c r="L180" t="s">
        <v>1522</v>
      </c>
      <c r="M180" t="s">
        <v>1576</v>
      </c>
      <c r="N180" t="s">
        <v>1492</v>
      </c>
      <c r="O180" t="s">
        <v>1302</v>
      </c>
      <c r="P180" t="s">
        <v>1379</v>
      </c>
      <c r="Q180" t="s">
        <v>1302</v>
      </c>
      <c r="R180" t="s">
        <v>1379</v>
      </c>
      <c r="S180" t="s">
        <v>1302</v>
      </c>
      <c r="T180" t="s">
        <v>1379</v>
      </c>
      <c r="U180" t="s">
        <v>1302</v>
      </c>
      <c r="V180" t="s">
        <v>1379</v>
      </c>
      <c r="W180" t="s">
        <v>1302</v>
      </c>
      <c r="X180" t="s">
        <v>1372</v>
      </c>
      <c r="Y180" t="s">
        <v>1257</v>
      </c>
      <c r="Z180" t="s">
        <v>1257</v>
      </c>
      <c r="AA180" t="s">
        <v>1257</v>
      </c>
      <c r="AB180" t="s">
        <v>1257</v>
      </c>
      <c r="AC180" t="b">
        <v>0</v>
      </c>
      <c r="AD180" t="b">
        <v>0</v>
      </c>
      <c r="AE180" t="b">
        <v>0</v>
      </c>
      <c r="AF180" t="b">
        <v>0</v>
      </c>
      <c r="AG180" t="b">
        <v>0</v>
      </c>
      <c r="AH180" t="b">
        <v>0</v>
      </c>
      <c r="AI180" t="b">
        <v>0</v>
      </c>
      <c r="AJ180" t="b">
        <v>0</v>
      </c>
      <c r="AK180" t="b">
        <v>0</v>
      </c>
      <c r="AL180" t="b">
        <v>0</v>
      </c>
      <c r="AM180" t="b">
        <v>0</v>
      </c>
      <c r="AN180" t="b">
        <v>0</v>
      </c>
      <c r="AO180" t="b">
        <v>0</v>
      </c>
      <c r="AP180" t="b">
        <v>0</v>
      </c>
      <c r="AQ180" t="b">
        <v>0</v>
      </c>
      <c r="AR180" t="b">
        <v>0</v>
      </c>
      <c r="AS180" t="b">
        <v>0</v>
      </c>
      <c r="AT180" t="b">
        <v>0</v>
      </c>
      <c r="AU180" t="b">
        <v>1</v>
      </c>
      <c r="AV180" t="b">
        <v>1</v>
      </c>
      <c r="AW180" t="b">
        <v>1</v>
      </c>
      <c r="AX180" t="b">
        <v>1</v>
      </c>
      <c r="AY180" t="b">
        <v>1</v>
      </c>
      <c r="AZ180" t="b">
        <v>1</v>
      </c>
      <c r="BA180" t="b">
        <v>1</v>
      </c>
      <c r="BB180" t="b">
        <v>1</v>
      </c>
      <c r="BC180" t="b">
        <v>1</v>
      </c>
      <c r="BD180" t="b">
        <v>0</v>
      </c>
      <c r="BE180" t="b">
        <v>0</v>
      </c>
      <c r="BF180" t="b">
        <v>0</v>
      </c>
      <c r="BG180" t="b">
        <v>0</v>
      </c>
      <c r="BH180" t="b">
        <v>0</v>
      </c>
      <c r="BI180" t="b">
        <v>0</v>
      </c>
      <c r="BJ180" t="b">
        <v>0</v>
      </c>
      <c r="BK180" t="b">
        <v>0</v>
      </c>
      <c r="BL180" t="b">
        <v>0</v>
      </c>
      <c r="BM180" t="b">
        <v>0</v>
      </c>
      <c r="BN180" t="b">
        <v>0</v>
      </c>
      <c r="BO180" t="b">
        <v>0</v>
      </c>
      <c r="BP180" t="b">
        <v>0</v>
      </c>
      <c r="BQ180" t="b">
        <v>0</v>
      </c>
      <c r="BR180" t="b">
        <v>0</v>
      </c>
      <c r="BS180" t="b">
        <v>0</v>
      </c>
      <c r="BT180" t="b">
        <v>0</v>
      </c>
      <c r="BU180" t="b">
        <v>0</v>
      </c>
      <c r="BV180" t="b">
        <v>0</v>
      </c>
      <c r="BW180" t="b">
        <v>0</v>
      </c>
      <c r="BX180" t="b">
        <v>0</v>
      </c>
      <c r="BY180" t="b">
        <v>0</v>
      </c>
      <c r="BZ180" t="b">
        <v>0</v>
      </c>
      <c r="CA180" t="b">
        <v>0</v>
      </c>
      <c r="CB180" t="b">
        <v>0</v>
      </c>
      <c r="CC180" t="s">
        <v>1512</v>
      </c>
      <c r="CD180" t="s">
        <v>1492</v>
      </c>
      <c r="CE180" t="s">
        <v>1513</v>
      </c>
      <c r="CF180" t="s">
        <v>1495</v>
      </c>
      <c r="CG180" t="b">
        <v>1</v>
      </c>
      <c r="CH180">
        <v>0</v>
      </c>
      <c r="CI180" t="s">
        <v>1846</v>
      </c>
      <c r="CJ180" t="s">
        <v>1847</v>
      </c>
      <c r="CK180" t="s">
        <v>1251</v>
      </c>
      <c r="CL180" t="s">
        <v>1848</v>
      </c>
    </row>
    <row r="181" spans="1:90">
      <c r="A181">
        <v>355</v>
      </c>
      <c r="B181">
        <v>508</v>
      </c>
      <c r="C181" t="s">
        <v>1250</v>
      </c>
      <c r="D181">
        <v>2</v>
      </c>
      <c r="E181" t="s">
        <v>1492</v>
      </c>
      <c r="F181">
        <v>2</v>
      </c>
      <c r="G181">
        <v>1</v>
      </c>
      <c r="H181">
        <v>2</v>
      </c>
      <c r="I181" t="s">
        <v>1492</v>
      </c>
      <c r="J181" t="s">
        <v>1297</v>
      </c>
      <c r="K181" t="s">
        <v>16</v>
      </c>
      <c r="L181" t="s">
        <v>1522</v>
      </c>
      <c r="M181" t="s">
        <v>1576</v>
      </c>
      <c r="N181" t="s">
        <v>1492</v>
      </c>
      <c r="O181" t="s">
        <v>1302</v>
      </c>
      <c r="P181" t="s">
        <v>1379</v>
      </c>
      <c r="Q181" t="s">
        <v>1302</v>
      </c>
      <c r="R181" t="s">
        <v>1379</v>
      </c>
      <c r="S181" t="s">
        <v>1302</v>
      </c>
      <c r="T181" t="s">
        <v>1379</v>
      </c>
      <c r="U181" t="s">
        <v>1302</v>
      </c>
      <c r="V181" t="s">
        <v>1379</v>
      </c>
      <c r="W181" t="s">
        <v>1302</v>
      </c>
      <c r="X181" t="s">
        <v>1372</v>
      </c>
      <c r="Y181" t="s">
        <v>1257</v>
      </c>
      <c r="Z181" t="s">
        <v>1257</v>
      </c>
      <c r="AA181" t="s">
        <v>1257</v>
      </c>
      <c r="AB181" t="s">
        <v>1257</v>
      </c>
      <c r="AC181" t="b">
        <v>0</v>
      </c>
      <c r="AD181" t="b">
        <v>0</v>
      </c>
      <c r="AE181" t="b">
        <v>0</v>
      </c>
      <c r="AF181" t="b">
        <v>0</v>
      </c>
      <c r="AG181" t="b">
        <v>0</v>
      </c>
      <c r="AH181" t="b">
        <v>0</v>
      </c>
      <c r="AI181" t="b">
        <v>0</v>
      </c>
      <c r="AJ181" t="b">
        <v>0</v>
      </c>
      <c r="AK181" t="b">
        <v>0</v>
      </c>
      <c r="AL181" t="b">
        <v>0</v>
      </c>
      <c r="AM181" t="b">
        <v>0</v>
      </c>
      <c r="AN181" t="b">
        <v>0</v>
      </c>
      <c r="AO181" t="b">
        <v>0</v>
      </c>
      <c r="AP181" t="b">
        <v>0</v>
      </c>
      <c r="AQ181" t="b">
        <v>0</v>
      </c>
      <c r="AR181" t="b">
        <v>0</v>
      </c>
      <c r="AS181" t="b">
        <v>0</v>
      </c>
      <c r="AT181" t="b">
        <v>0</v>
      </c>
      <c r="AU181" t="b">
        <v>1</v>
      </c>
      <c r="AV181" t="b">
        <v>1</v>
      </c>
      <c r="AW181" t="b">
        <v>1</v>
      </c>
      <c r="AX181" t="b">
        <v>1</v>
      </c>
      <c r="AY181" t="b">
        <v>1</v>
      </c>
      <c r="AZ181" t="b">
        <v>1</v>
      </c>
      <c r="BA181" t="b">
        <v>1</v>
      </c>
      <c r="BB181" t="b">
        <v>1</v>
      </c>
      <c r="BC181" t="b">
        <v>1</v>
      </c>
      <c r="BD181" t="b">
        <v>0</v>
      </c>
      <c r="BE181" t="b">
        <v>0</v>
      </c>
      <c r="BF181" t="b">
        <v>0</v>
      </c>
      <c r="BG181" t="b">
        <v>0</v>
      </c>
      <c r="BH181" t="b">
        <v>0</v>
      </c>
      <c r="BI181" t="b">
        <v>0</v>
      </c>
      <c r="BJ181" t="b">
        <v>0</v>
      </c>
      <c r="BK181" t="b">
        <v>0</v>
      </c>
      <c r="BL181" t="b">
        <v>0</v>
      </c>
      <c r="BM181" t="b">
        <v>0</v>
      </c>
      <c r="BN181" t="b">
        <v>0</v>
      </c>
      <c r="BO181" t="b">
        <v>0</v>
      </c>
      <c r="BP181" t="b">
        <v>0</v>
      </c>
      <c r="BQ181" t="b">
        <v>0</v>
      </c>
      <c r="BR181" t="b">
        <v>0</v>
      </c>
      <c r="BS181" t="b">
        <v>0</v>
      </c>
      <c r="BT181" t="b">
        <v>0</v>
      </c>
      <c r="BU181" t="b">
        <v>0</v>
      </c>
      <c r="BV181" t="b">
        <v>0</v>
      </c>
      <c r="BW181" t="b">
        <v>0</v>
      </c>
      <c r="BX181" t="b">
        <v>0</v>
      </c>
      <c r="BY181" t="b">
        <v>0</v>
      </c>
      <c r="BZ181" t="b">
        <v>0</v>
      </c>
      <c r="CA181" t="b">
        <v>0</v>
      </c>
      <c r="CB181" t="b">
        <v>0</v>
      </c>
      <c r="CC181" t="s">
        <v>1512</v>
      </c>
      <c r="CD181" t="s">
        <v>1492</v>
      </c>
      <c r="CE181" t="s">
        <v>1513</v>
      </c>
      <c r="CF181" t="s">
        <v>1495</v>
      </c>
      <c r="CG181" t="b">
        <v>1</v>
      </c>
      <c r="CH181">
        <v>0</v>
      </c>
      <c r="CI181" t="s">
        <v>1846</v>
      </c>
      <c r="CJ181" t="s">
        <v>1847</v>
      </c>
      <c r="CK181" t="s">
        <v>1251</v>
      </c>
      <c r="CL181" t="s">
        <v>1849</v>
      </c>
    </row>
    <row r="182" spans="1:90">
      <c r="A182">
        <v>360</v>
      </c>
      <c r="B182">
        <v>511</v>
      </c>
      <c r="C182" t="s">
        <v>1250</v>
      </c>
      <c r="D182">
        <v>1</v>
      </c>
      <c r="E182" t="s">
        <v>1492</v>
      </c>
      <c r="F182">
        <v>2</v>
      </c>
      <c r="G182">
        <v>1</v>
      </c>
      <c r="H182">
        <v>2</v>
      </c>
      <c r="I182" t="s">
        <v>1003</v>
      </c>
      <c r="J182" t="s">
        <v>1297</v>
      </c>
      <c r="K182" t="s">
        <v>15</v>
      </c>
      <c r="L182" t="s">
        <v>1511</v>
      </c>
      <c r="M182" t="s">
        <v>1576</v>
      </c>
      <c r="N182" t="s">
        <v>1492</v>
      </c>
      <c r="O182" t="s">
        <v>1302</v>
      </c>
      <c r="P182" t="s">
        <v>1379</v>
      </c>
      <c r="Q182" t="s">
        <v>1302</v>
      </c>
      <c r="R182" t="s">
        <v>1379</v>
      </c>
      <c r="S182" t="s">
        <v>1302</v>
      </c>
      <c r="T182" t="s">
        <v>1379</v>
      </c>
      <c r="U182" t="s">
        <v>1302</v>
      </c>
      <c r="V182" t="s">
        <v>1379</v>
      </c>
      <c r="W182" t="s">
        <v>1302</v>
      </c>
      <c r="X182" t="s">
        <v>1372</v>
      </c>
      <c r="Y182" t="s">
        <v>1257</v>
      </c>
      <c r="Z182" t="s">
        <v>1257</v>
      </c>
      <c r="AA182" t="s">
        <v>1257</v>
      </c>
      <c r="AB182" t="s">
        <v>1257</v>
      </c>
      <c r="AC182" t="b">
        <v>0</v>
      </c>
      <c r="AD182" t="b">
        <v>0</v>
      </c>
      <c r="AE182" t="b">
        <v>0</v>
      </c>
      <c r="AF182" t="b">
        <v>0</v>
      </c>
      <c r="AG182" t="b">
        <v>0</v>
      </c>
      <c r="AH182" t="b">
        <v>0</v>
      </c>
      <c r="AI182" t="b">
        <v>0</v>
      </c>
      <c r="AJ182" t="b">
        <v>0</v>
      </c>
      <c r="AK182" t="b">
        <v>0</v>
      </c>
      <c r="AL182" t="b">
        <v>0</v>
      </c>
      <c r="AM182" t="b">
        <v>0</v>
      </c>
      <c r="AN182" t="b">
        <v>0</v>
      </c>
      <c r="AO182" t="b">
        <v>0</v>
      </c>
      <c r="AP182" t="b">
        <v>0</v>
      </c>
      <c r="AQ182" t="b">
        <v>0</v>
      </c>
      <c r="AR182" t="b">
        <v>0</v>
      </c>
      <c r="AS182" t="b">
        <v>0</v>
      </c>
      <c r="AT182" t="b">
        <v>0</v>
      </c>
      <c r="AU182" t="b">
        <v>0</v>
      </c>
      <c r="AV182" t="b">
        <v>0</v>
      </c>
      <c r="AW182" t="b">
        <v>0</v>
      </c>
      <c r="AX182" t="b">
        <v>0</v>
      </c>
      <c r="AY182" t="b">
        <v>0</v>
      </c>
      <c r="AZ182" t="b">
        <v>0</v>
      </c>
      <c r="BA182" t="b">
        <v>0</v>
      </c>
      <c r="BB182" t="b">
        <v>0</v>
      </c>
      <c r="BC182" t="b">
        <v>0</v>
      </c>
      <c r="BD182" t="b">
        <v>0</v>
      </c>
      <c r="BE182" t="b">
        <v>0</v>
      </c>
      <c r="BF182" t="b">
        <v>0</v>
      </c>
      <c r="BG182" t="b">
        <v>0</v>
      </c>
      <c r="BH182" t="b">
        <v>0</v>
      </c>
      <c r="BI182" t="b">
        <v>0</v>
      </c>
      <c r="BJ182" t="b">
        <v>0</v>
      </c>
      <c r="BK182" t="b">
        <v>0</v>
      </c>
      <c r="BL182" t="b">
        <v>0</v>
      </c>
      <c r="BM182" t="b">
        <v>0</v>
      </c>
      <c r="BN182" t="b">
        <v>0</v>
      </c>
      <c r="BO182" t="b">
        <v>0</v>
      </c>
      <c r="BP182" t="b">
        <v>0</v>
      </c>
      <c r="BQ182" t="b">
        <v>1</v>
      </c>
      <c r="BR182" t="b">
        <v>1</v>
      </c>
      <c r="BS182" t="b">
        <v>1</v>
      </c>
      <c r="BT182" t="b">
        <v>1</v>
      </c>
      <c r="BU182" t="b">
        <v>1</v>
      </c>
      <c r="BV182" t="b">
        <v>1</v>
      </c>
      <c r="BW182" t="b">
        <v>1</v>
      </c>
      <c r="BX182" t="b">
        <v>1</v>
      </c>
      <c r="BY182" t="b">
        <v>1</v>
      </c>
      <c r="BZ182" t="b">
        <v>0</v>
      </c>
      <c r="CA182" t="b">
        <v>0</v>
      </c>
      <c r="CB182" t="b">
        <v>0</v>
      </c>
      <c r="CC182" t="s">
        <v>1512</v>
      </c>
      <c r="CD182" t="s">
        <v>1492</v>
      </c>
      <c r="CE182" t="s">
        <v>1518</v>
      </c>
      <c r="CF182" t="s">
        <v>1495</v>
      </c>
      <c r="CG182" t="b">
        <v>1</v>
      </c>
      <c r="CH182">
        <v>0</v>
      </c>
      <c r="CI182" t="s">
        <v>1850</v>
      </c>
      <c r="CJ182" t="s">
        <v>1851</v>
      </c>
      <c r="CK182" t="s">
        <v>1251</v>
      </c>
      <c r="CL182" t="s">
        <v>1852</v>
      </c>
    </row>
    <row r="183" spans="1:90">
      <c r="A183">
        <v>359</v>
      </c>
      <c r="B183">
        <v>511</v>
      </c>
      <c r="C183" t="s">
        <v>1250</v>
      </c>
      <c r="D183">
        <v>2</v>
      </c>
      <c r="E183" t="s">
        <v>1492</v>
      </c>
      <c r="F183">
        <v>2</v>
      </c>
      <c r="G183">
        <v>1</v>
      </c>
      <c r="H183">
        <v>2</v>
      </c>
      <c r="I183" t="s">
        <v>1003</v>
      </c>
      <c r="J183" t="s">
        <v>1297</v>
      </c>
      <c r="K183" t="s">
        <v>15</v>
      </c>
      <c r="L183" t="s">
        <v>1511</v>
      </c>
      <c r="M183" t="s">
        <v>1576</v>
      </c>
      <c r="N183" t="s">
        <v>1492</v>
      </c>
      <c r="O183" t="s">
        <v>1302</v>
      </c>
      <c r="P183" t="s">
        <v>1379</v>
      </c>
      <c r="Q183" t="s">
        <v>1302</v>
      </c>
      <c r="R183" t="s">
        <v>1379</v>
      </c>
      <c r="S183" t="s">
        <v>1302</v>
      </c>
      <c r="T183" t="s">
        <v>1379</v>
      </c>
      <c r="U183" t="s">
        <v>1302</v>
      </c>
      <c r="V183" t="s">
        <v>1379</v>
      </c>
      <c r="W183" t="s">
        <v>1302</v>
      </c>
      <c r="X183" t="s">
        <v>1372</v>
      </c>
      <c r="Y183" t="s">
        <v>1257</v>
      </c>
      <c r="Z183" t="s">
        <v>1257</v>
      </c>
      <c r="AA183" t="s">
        <v>1257</v>
      </c>
      <c r="AB183" t="s">
        <v>1257</v>
      </c>
      <c r="AC183" t="b">
        <v>0</v>
      </c>
      <c r="AD183" t="b">
        <v>0</v>
      </c>
      <c r="AE183" t="b">
        <v>0</v>
      </c>
      <c r="AF183" t="b">
        <v>0</v>
      </c>
      <c r="AG183" t="b">
        <v>0</v>
      </c>
      <c r="AH183" t="b">
        <v>0</v>
      </c>
      <c r="AI183" t="b">
        <v>0</v>
      </c>
      <c r="AJ183" t="b">
        <v>0</v>
      </c>
      <c r="AK183" t="b">
        <v>0</v>
      </c>
      <c r="AL183" t="b">
        <v>0</v>
      </c>
      <c r="AM183" t="b">
        <v>0</v>
      </c>
      <c r="AN183" t="b">
        <v>0</v>
      </c>
      <c r="AO183" t="b">
        <v>0</v>
      </c>
      <c r="AP183" t="b">
        <v>0</v>
      </c>
      <c r="AQ183" t="b">
        <v>0</v>
      </c>
      <c r="AR183" t="b">
        <v>0</v>
      </c>
      <c r="AS183" t="b">
        <v>0</v>
      </c>
      <c r="AT183" t="b">
        <v>0</v>
      </c>
      <c r="AU183" t="b">
        <v>0</v>
      </c>
      <c r="AV183" t="b">
        <v>0</v>
      </c>
      <c r="AW183" t="b">
        <v>0</v>
      </c>
      <c r="AX183" t="b">
        <v>0</v>
      </c>
      <c r="AY183" t="b">
        <v>0</v>
      </c>
      <c r="AZ183" t="b">
        <v>0</v>
      </c>
      <c r="BA183" t="b">
        <v>0</v>
      </c>
      <c r="BB183" t="b">
        <v>0</v>
      </c>
      <c r="BC183" t="b">
        <v>0</v>
      </c>
      <c r="BD183" t="b">
        <v>0</v>
      </c>
      <c r="BE183" t="b">
        <v>0</v>
      </c>
      <c r="BF183" t="b">
        <v>0</v>
      </c>
      <c r="BG183" t="b">
        <v>0</v>
      </c>
      <c r="BH183" t="b">
        <v>0</v>
      </c>
      <c r="BI183" t="b">
        <v>0</v>
      </c>
      <c r="BJ183" t="b">
        <v>0</v>
      </c>
      <c r="BK183" t="b">
        <v>0</v>
      </c>
      <c r="BL183" t="b">
        <v>0</v>
      </c>
      <c r="BM183" t="b">
        <v>0</v>
      </c>
      <c r="BN183" t="b">
        <v>0</v>
      </c>
      <c r="BO183" t="b">
        <v>0</v>
      </c>
      <c r="BP183" t="b">
        <v>0</v>
      </c>
      <c r="BQ183" t="b">
        <v>1</v>
      </c>
      <c r="BR183" t="b">
        <v>1</v>
      </c>
      <c r="BS183" t="b">
        <v>1</v>
      </c>
      <c r="BT183" t="b">
        <v>1</v>
      </c>
      <c r="BU183" t="b">
        <v>1</v>
      </c>
      <c r="BV183" t="b">
        <v>1</v>
      </c>
      <c r="BW183" t="b">
        <v>1</v>
      </c>
      <c r="BX183" t="b">
        <v>1</v>
      </c>
      <c r="BY183" t="b">
        <v>1</v>
      </c>
      <c r="BZ183" t="b">
        <v>0</v>
      </c>
      <c r="CA183" t="b">
        <v>0</v>
      </c>
      <c r="CB183" t="b">
        <v>0</v>
      </c>
      <c r="CC183" t="s">
        <v>1512</v>
      </c>
      <c r="CD183" t="s">
        <v>1492</v>
      </c>
      <c r="CE183" t="s">
        <v>1518</v>
      </c>
      <c r="CF183" t="s">
        <v>1495</v>
      </c>
      <c r="CG183" t="b">
        <v>1</v>
      </c>
      <c r="CH183">
        <v>0</v>
      </c>
      <c r="CI183" t="s">
        <v>1850</v>
      </c>
      <c r="CJ183" t="s">
        <v>1851</v>
      </c>
      <c r="CK183" t="s">
        <v>1251</v>
      </c>
      <c r="CL183" t="s">
        <v>1853</v>
      </c>
    </row>
    <row r="184" spans="1:90">
      <c r="A184">
        <v>362</v>
      </c>
      <c r="B184">
        <v>512</v>
      </c>
      <c r="C184" t="s">
        <v>1250</v>
      </c>
      <c r="D184">
        <v>1</v>
      </c>
      <c r="E184" t="s">
        <v>1492</v>
      </c>
      <c r="F184">
        <v>3</v>
      </c>
      <c r="G184">
        <v>1</v>
      </c>
      <c r="H184">
        <v>2</v>
      </c>
      <c r="I184" t="s">
        <v>1492</v>
      </c>
      <c r="J184" t="s">
        <v>1297</v>
      </c>
      <c r="K184" t="s">
        <v>16</v>
      </c>
      <c r="L184" t="s">
        <v>1522</v>
      </c>
      <c r="M184" t="s">
        <v>1576</v>
      </c>
      <c r="N184" t="s">
        <v>1492</v>
      </c>
      <c r="O184" t="s">
        <v>1302</v>
      </c>
      <c r="P184" t="s">
        <v>1379</v>
      </c>
      <c r="Q184" t="s">
        <v>1302</v>
      </c>
      <c r="R184" t="s">
        <v>1379</v>
      </c>
      <c r="S184" t="s">
        <v>1302</v>
      </c>
      <c r="T184" t="s">
        <v>1379</v>
      </c>
      <c r="U184" t="s">
        <v>1302</v>
      </c>
      <c r="V184" t="s">
        <v>1379</v>
      </c>
      <c r="W184" t="s">
        <v>1302</v>
      </c>
      <c r="X184" t="s">
        <v>1372</v>
      </c>
      <c r="Y184" t="s">
        <v>1257</v>
      </c>
      <c r="Z184" t="s">
        <v>1257</v>
      </c>
      <c r="AA184" t="s">
        <v>1257</v>
      </c>
      <c r="AB184" t="s">
        <v>1257</v>
      </c>
      <c r="AC184" t="b">
        <v>0</v>
      </c>
      <c r="AD184" t="b">
        <v>0</v>
      </c>
      <c r="AE184" t="b">
        <v>0</v>
      </c>
      <c r="AF184" t="b">
        <v>0</v>
      </c>
      <c r="AG184" t="b">
        <v>0</v>
      </c>
      <c r="AH184" t="b">
        <v>0</v>
      </c>
      <c r="AI184" t="b">
        <v>0</v>
      </c>
      <c r="AJ184" t="b">
        <v>0</v>
      </c>
      <c r="AK184" t="b">
        <v>0</v>
      </c>
      <c r="AL184" t="b">
        <v>0</v>
      </c>
      <c r="AM184" t="b">
        <v>0</v>
      </c>
      <c r="AN184" t="b">
        <v>0</v>
      </c>
      <c r="AO184" t="b">
        <v>0</v>
      </c>
      <c r="AP184" t="b">
        <v>0</v>
      </c>
      <c r="AQ184" t="b">
        <v>0</v>
      </c>
      <c r="AR184" t="b">
        <v>0</v>
      </c>
      <c r="AS184" t="b">
        <v>0</v>
      </c>
      <c r="AT184" t="b">
        <v>0</v>
      </c>
      <c r="AU184" t="b">
        <v>0</v>
      </c>
      <c r="AV184" t="b">
        <v>0</v>
      </c>
      <c r="AW184" t="b">
        <v>0</v>
      </c>
      <c r="AX184" t="b">
        <v>0</v>
      </c>
      <c r="AY184" t="b">
        <v>0</v>
      </c>
      <c r="AZ184" t="b">
        <v>0</v>
      </c>
      <c r="BA184" t="b">
        <v>0</v>
      </c>
      <c r="BB184" t="b">
        <v>0</v>
      </c>
      <c r="BC184" t="b">
        <v>0</v>
      </c>
      <c r="BD184" t="b">
        <v>0</v>
      </c>
      <c r="BE184" t="b">
        <v>0</v>
      </c>
      <c r="BF184" t="b">
        <v>0</v>
      </c>
      <c r="BG184" t="b">
        <v>0</v>
      </c>
      <c r="BH184" t="b">
        <v>0</v>
      </c>
      <c r="BI184" t="b">
        <v>0</v>
      </c>
      <c r="BJ184" t="b">
        <v>0</v>
      </c>
      <c r="BK184" t="b">
        <v>0</v>
      </c>
      <c r="BL184" t="b">
        <v>0</v>
      </c>
      <c r="BM184" t="b">
        <v>0</v>
      </c>
      <c r="BN184" t="b">
        <v>0</v>
      </c>
      <c r="BO184" t="b">
        <v>0</v>
      </c>
      <c r="BP184" t="b">
        <v>0</v>
      </c>
      <c r="BQ184" t="b">
        <v>1</v>
      </c>
      <c r="BR184" t="b">
        <v>1</v>
      </c>
      <c r="BS184" t="b">
        <v>1</v>
      </c>
      <c r="BT184" t="b">
        <v>1</v>
      </c>
      <c r="BU184" t="b">
        <v>1</v>
      </c>
      <c r="BV184" t="b">
        <v>1</v>
      </c>
      <c r="BW184" t="b">
        <v>1</v>
      </c>
      <c r="BX184" t="b">
        <v>1</v>
      </c>
      <c r="BY184" t="b">
        <v>1</v>
      </c>
      <c r="BZ184" t="b">
        <v>0</v>
      </c>
      <c r="CA184" t="b">
        <v>0</v>
      </c>
      <c r="CB184" t="b">
        <v>0</v>
      </c>
      <c r="CC184" t="s">
        <v>1512</v>
      </c>
      <c r="CD184" t="s">
        <v>1492</v>
      </c>
      <c r="CE184" t="s">
        <v>1518</v>
      </c>
      <c r="CF184" t="s">
        <v>1495</v>
      </c>
      <c r="CG184" t="b">
        <v>1</v>
      </c>
      <c r="CH184">
        <v>0</v>
      </c>
      <c r="CI184" t="s">
        <v>1854</v>
      </c>
      <c r="CJ184" t="s">
        <v>1855</v>
      </c>
      <c r="CK184" t="s">
        <v>1251</v>
      </c>
      <c r="CL184" t="s">
        <v>1856</v>
      </c>
    </row>
    <row r="185" spans="1:90">
      <c r="A185">
        <v>361</v>
      </c>
      <c r="B185">
        <v>512</v>
      </c>
      <c r="C185" t="s">
        <v>1250</v>
      </c>
      <c r="D185">
        <v>2</v>
      </c>
      <c r="E185" t="s">
        <v>1492</v>
      </c>
      <c r="F185">
        <v>3</v>
      </c>
      <c r="G185">
        <v>1</v>
      </c>
      <c r="H185">
        <v>2</v>
      </c>
      <c r="I185" t="s">
        <v>1492</v>
      </c>
      <c r="J185" t="s">
        <v>1297</v>
      </c>
      <c r="K185" t="s">
        <v>16</v>
      </c>
      <c r="L185" t="s">
        <v>1522</v>
      </c>
      <c r="M185" t="s">
        <v>1576</v>
      </c>
      <c r="N185" t="s">
        <v>1492</v>
      </c>
      <c r="O185" t="s">
        <v>1302</v>
      </c>
      <c r="P185" t="s">
        <v>1379</v>
      </c>
      <c r="Q185" t="s">
        <v>1302</v>
      </c>
      <c r="R185" t="s">
        <v>1379</v>
      </c>
      <c r="S185" t="s">
        <v>1302</v>
      </c>
      <c r="T185" t="s">
        <v>1379</v>
      </c>
      <c r="U185" t="s">
        <v>1302</v>
      </c>
      <c r="V185" t="s">
        <v>1379</v>
      </c>
      <c r="W185" t="s">
        <v>1302</v>
      </c>
      <c r="X185" t="s">
        <v>1372</v>
      </c>
      <c r="Y185" t="s">
        <v>1257</v>
      </c>
      <c r="Z185" t="s">
        <v>1257</v>
      </c>
      <c r="AA185" t="s">
        <v>1257</v>
      </c>
      <c r="AB185" t="s">
        <v>1257</v>
      </c>
      <c r="AC185" t="b">
        <v>0</v>
      </c>
      <c r="AD185" t="b">
        <v>0</v>
      </c>
      <c r="AE185" t="b">
        <v>0</v>
      </c>
      <c r="AF185" t="b">
        <v>0</v>
      </c>
      <c r="AG185" t="b">
        <v>0</v>
      </c>
      <c r="AH185" t="b">
        <v>0</v>
      </c>
      <c r="AI185" t="b">
        <v>0</v>
      </c>
      <c r="AJ185" t="b">
        <v>0</v>
      </c>
      <c r="AK185" t="b">
        <v>0</v>
      </c>
      <c r="AL185" t="b">
        <v>0</v>
      </c>
      <c r="AM185" t="b">
        <v>0</v>
      </c>
      <c r="AN185" t="b">
        <v>0</v>
      </c>
      <c r="AO185" t="b">
        <v>0</v>
      </c>
      <c r="AP185" t="b">
        <v>0</v>
      </c>
      <c r="AQ185" t="b">
        <v>0</v>
      </c>
      <c r="AR185" t="b">
        <v>0</v>
      </c>
      <c r="AS185" t="b">
        <v>0</v>
      </c>
      <c r="AT185" t="b">
        <v>0</v>
      </c>
      <c r="AU185" t="b">
        <v>0</v>
      </c>
      <c r="AV185" t="b">
        <v>0</v>
      </c>
      <c r="AW185" t="b">
        <v>0</v>
      </c>
      <c r="AX185" t="b">
        <v>0</v>
      </c>
      <c r="AY185" t="b">
        <v>0</v>
      </c>
      <c r="AZ185" t="b">
        <v>0</v>
      </c>
      <c r="BA185" t="b">
        <v>0</v>
      </c>
      <c r="BB185" t="b">
        <v>0</v>
      </c>
      <c r="BC185" t="b">
        <v>0</v>
      </c>
      <c r="BD185" t="b">
        <v>0</v>
      </c>
      <c r="BE185" t="b">
        <v>0</v>
      </c>
      <c r="BF185" t="b">
        <v>0</v>
      </c>
      <c r="BG185" t="b">
        <v>0</v>
      </c>
      <c r="BH185" t="b">
        <v>0</v>
      </c>
      <c r="BI185" t="b">
        <v>0</v>
      </c>
      <c r="BJ185" t="b">
        <v>0</v>
      </c>
      <c r="BK185" t="b">
        <v>0</v>
      </c>
      <c r="BL185" t="b">
        <v>0</v>
      </c>
      <c r="BM185" t="b">
        <v>0</v>
      </c>
      <c r="BN185" t="b">
        <v>0</v>
      </c>
      <c r="BO185" t="b">
        <v>0</v>
      </c>
      <c r="BP185" t="b">
        <v>0</v>
      </c>
      <c r="BQ185" t="b">
        <v>1</v>
      </c>
      <c r="BR185" t="b">
        <v>1</v>
      </c>
      <c r="BS185" t="b">
        <v>1</v>
      </c>
      <c r="BT185" t="b">
        <v>1</v>
      </c>
      <c r="BU185" t="b">
        <v>1</v>
      </c>
      <c r="BV185" t="b">
        <v>1</v>
      </c>
      <c r="BW185" t="b">
        <v>1</v>
      </c>
      <c r="BX185" t="b">
        <v>1</v>
      </c>
      <c r="BY185" t="b">
        <v>1</v>
      </c>
      <c r="BZ185" t="b">
        <v>0</v>
      </c>
      <c r="CA185" t="b">
        <v>0</v>
      </c>
      <c r="CB185" t="b">
        <v>0</v>
      </c>
      <c r="CC185" t="s">
        <v>1512</v>
      </c>
      <c r="CD185" t="s">
        <v>1492</v>
      </c>
      <c r="CE185" t="s">
        <v>1518</v>
      </c>
      <c r="CF185" t="s">
        <v>1495</v>
      </c>
      <c r="CG185" t="b">
        <v>1</v>
      </c>
      <c r="CH185">
        <v>0</v>
      </c>
      <c r="CI185" t="s">
        <v>1854</v>
      </c>
      <c r="CJ185" t="s">
        <v>1855</v>
      </c>
      <c r="CK185" t="s">
        <v>1251</v>
      </c>
      <c r="CL185" t="s">
        <v>1857</v>
      </c>
    </row>
    <row r="186" spans="1:90">
      <c r="A186">
        <v>363</v>
      </c>
      <c r="B186">
        <v>513</v>
      </c>
      <c r="C186" t="s">
        <v>1250</v>
      </c>
      <c r="D186">
        <v>1</v>
      </c>
      <c r="E186" t="s">
        <v>1492</v>
      </c>
      <c r="F186">
        <v>15</v>
      </c>
      <c r="G186">
        <v>1</v>
      </c>
      <c r="H186">
        <v>2</v>
      </c>
      <c r="I186" t="s">
        <v>1015</v>
      </c>
      <c r="J186" t="s">
        <v>1297</v>
      </c>
      <c r="K186" t="s">
        <v>15</v>
      </c>
      <c r="L186" t="s">
        <v>1492</v>
      </c>
      <c r="M186" t="s">
        <v>1576</v>
      </c>
      <c r="N186" t="s">
        <v>1492</v>
      </c>
      <c r="O186" t="s">
        <v>1302</v>
      </c>
      <c r="P186" t="s">
        <v>1379</v>
      </c>
      <c r="Q186" t="s">
        <v>1302</v>
      </c>
      <c r="R186" t="s">
        <v>1379</v>
      </c>
      <c r="S186" t="s">
        <v>1302</v>
      </c>
      <c r="T186" t="s">
        <v>1379</v>
      </c>
      <c r="U186" t="s">
        <v>1302</v>
      </c>
      <c r="V186" t="s">
        <v>1379</v>
      </c>
      <c r="W186" t="s">
        <v>1302</v>
      </c>
      <c r="X186" t="s">
        <v>1372</v>
      </c>
      <c r="Y186" t="s">
        <v>1257</v>
      </c>
      <c r="Z186" t="s">
        <v>1257</v>
      </c>
      <c r="AA186" t="s">
        <v>1257</v>
      </c>
      <c r="AB186" t="s">
        <v>1257</v>
      </c>
      <c r="AC186" t="b">
        <v>0</v>
      </c>
      <c r="AD186" t="b">
        <v>0</v>
      </c>
      <c r="AE186" t="b">
        <v>0</v>
      </c>
      <c r="AF186" t="b">
        <v>0</v>
      </c>
      <c r="AG186" t="b">
        <v>0</v>
      </c>
      <c r="AH186" t="b">
        <v>0</v>
      </c>
      <c r="AI186" t="b">
        <v>1</v>
      </c>
      <c r="AJ186" t="b">
        <v>1</v>
      </c>
      <c r="AK186" t="b">
        <v>1</v>
      </c>
      <c r="AL186" t="b">
        <v>1</v>
      </c>
      <c r="AM186" t="b">
        <v>1</v>
      </c>
      <c r="AN186" t="b">
        <v>1</v>
      </c>
      <c r="AO186" t="b">
        <v>1</v>
      </c>
      <c r="AP186" t="b">
        <v>1</v>
      </c>
      <c r="AQ186" t="b">
        <v>1</v>
      </c>
      <c r="AR186" t="b">
        <v>0</v>
      </c>
      <c r="AS186" t="b">
        <v>0</v>
      </c>
      <c r="AT186" t="b">
        <v>0</v>
      </c>
      <c r="AU186" t="b">
        <v>0</v>
      </c>
      <c r="AV186" t="b">
        <v>0</v>
      </c>
      <c r="AW186" t="b">
        <v>0</v>
      </c>
      <c r="AX186" t="b">
        <v>0</v>
      </c>
      <c r="AY186" t="b">
        <v>0</v>
      </c>
      <c r="AZ186" t="b">
        <v>0</v>
      </c>
      <c r="BA186" t="b">
        <v>0</v>
      </c>
      <c r="BB186" t="b">
        <v>0</v>
      </c>
      <c r="BC186" t="b">
        <v>0</v>
      </c>
      <c r="BD186" t="b">
        <v>0</v>
      </c>
      <c r="BE186" t="b">
        <v>0</v>
      </c>
      <c r="BF186" t="b">
        <v>0</v>
      </c>
      <c r="BG186" t="b">
        <v>0</v>
      </c>
      <c r="BH186" t="b">
        <v>0</v>
      </c>
      <c r="BI186" t="b">
        <v>0</v>
      </c>
      <c r="BJ186" t="b">
        <v>0</v>
      </c>
      <c r="BK186" t="b">
        <v>0</v>
      </c>
      <c r="BL186" t="b">
        <v>0</v>
      </c>
      <c r="BM186" t="b">
        <v>0</v>
      </c>
      <c r="BN186" t="b">
        <v>0</v>
      </c>
      <c r="BO186" t="b">
        <v>0</v>
      </c>
      <c r="BP186" t="b">
        <v>0</v>
      </c>
      <c r="BQ186" t="b">
        <v>0</v>
      </c>
      <c r="BR186" t="b">
        <v>0</v>
      </c>
      <c r="BS186" t="b">
        <v>0</v>
      </c>
      <c r="BT186" t="b">
        <v>0</v>
      </c>
      <c r="BU186" t="b">
        <v>0</v>
      </c>
      <c r="BV186" t="b">
        <v>0</v>
      </c>
      <c r="BW186" t="b">
        <v>0</v>
      </c>
      <c r="BX186" t="b">
        <v>0</v>
      </c>
      <c r="BY186" t="b">
        <v>0</v>
      </c>
      <c r="BZ186" t="b">
        <v>0</v>
      </c>
      <c r="CA186" t="b">
        <v>0</v>
      </c>
      <c r="CB186" t="b">
        <v>0</v>
      </c>
      <c r="CC186" t="s">
        <v>1512</v>
      </c>
      <c r="CD186" t="s">
        <v>1492</v>
      </c>
      <c r="CE186" t="s">
        <v>1513</v>
      </c>
      <c r="CF186" t="s">
        <v>1495</v>
      </c>
      <c r="CG186" t="b">
        <v>1</v>
      </c>
      <c r="CH186">
        <v>0</v>
      </c>
      <c r="CI186" t="s">
        <v>1662</v>
      </c>
      <c r="CJ186" t="s">
        <v>1858</v>
      </c>
      <c r="CK186" t="s">
        <v>1251</v>
      </c>
      <c r="CL186" t="s">
        <v>1859</v>
      </c>
    </row>
    <row r="187" spans="1:90">
      <c r="A187">
        <v>364</v>
      </c>
      <c r="B187">
        <v>513</v>
      </c>
      <c r="C187" t="s">
        <v>1250</v>
      </c>
      <c r="D187">
        <v>2</v>
      </c>
      <c r="E187" t="s">
        <v>1492</v>
      </c>
      <c r="F187">
        <v>15</v>
      </c>
      <c r="G187">
        <v>1</v>
      </c>
      <c r="H187">
        <v>2</v>
      </c>
      <c r="I187" t="s">
        <v>1015</v>
      </c>
      <c r="J187" t="s">
        <v>1297</v>
      </c>
      <c r="K187" t="s">
        <v>15</v>
      </c>
      <c r="L187" t="s">
        <v>1511</v>
      </c>
      <c r="M187" t="s">
        <v>1576</v>
      </c>
      <c r="N187" t="s">
        <v>1492</v>
      </c>
      <c r="O187" t="s">
        <v>1302</v>
      </c>
      <c r="P187" t="s">
        <v>1379</v>
      </c>
      <c r="Q187" t="s">
        <v>1302</v>
      </c>
      <c r="R187" t="s">
        <v>1379</v>
      </c>
      <c r="S187" t="s">
        <v>1302</v>
      </c>
      <c r="T187" t="s">
        <v>1379</v>
      </c>
      <c r="U187" t="s">
        <v>1302</v>
      </c>
      <c r="V187" t="s">
        <v>1379</v>
      </c>
      <c r="W187" t="s">
        <v>1302</v>
      </c>
      <c r="X187" t="s">
        <v>1372</v>
      </c>
      <c r="Y187" t="s">
        <v>1257</v>
      </c>
      <c r="Z187" t="s">
        <v>1257</v>
      </c>
      <c r="AA187" t="s">
        <v>1257</v>
      </c>
      <c r="AB187" t="s">
        <v>1257</v>
      </c>
      <c r="AC187" t="b">
        <v>0</v>
      </c>
      <c r="AD187" t="b">
        <v>0</v>
      </c>
      <c r="AE187" t="b">
        <v>0</v>
      </c>
      <c r="AF187" t="b">
        <v>0</v>
      </c>
      <c r="AG187" t="b">
        <v>0</v>
      </c>
      <c r="AH187" t="b">
        <v>0</v>
      </c>
      <c r="AI187" t="b">
        <v>0</v>
      </c>
      <c r="AJ187" t="b">
        <v>0</v>
      </c>
      <c r="AK187" t="b">
        <v>0</v>
      </c>
      <c r="AL187" t="b">
        <v>0</v>
      </c>
      <c r="AM187" t="b">
        <v>0</v>
      </c>
      <c r="AN187" t="b">
        <v>0</v>
      </c>
      <c r="AO187" t="b">
        <v>0</v>
      </c>
      <c r="AP187" t="b">
        <v>0</v>
      </c>
      <c r="AQ187" t="b">
        <v>0</v>
      </c>
      <c r="AR187" t="b">
        <v>0</v>
      </c>
      <c r="AS187" t="b">
        <v>0</v>
      </c>
      <c r="AT187" t="b">
        <v>0</v>
      </c>
      <c r="AU187" t="b">
        <v>0</v>
      </c>
      <c r="AV187" t="b">
        <v>0</v>
      </c>
      <c r="AW187" t="b">
        <v>0</v>
      </c>
      <c r="AX187" t="b">
        <v>0</v>
      </c>
      <c r="AY187" t="b">
        <v>0</v>
      </c>
      <c r="AZ187" t="b">
        <v>0</v>
      </c>
      <c r="BA187" t="b">
        <v>0</v>
      </c>
      <c r="BB187" t="b">
        <v>0</v>
      </c>
      <c r="BC187" t="b">
        <v>0</v>
      </c>
      <c r="BD187" t="b">
        <v>0</v>
      </c>
      <c r="BE187" t="b">
        <v>0</v>
      </c>
      <c r="BF187" t="b">
        <v>0</v>
      </c>
      <c r="BG187" t="b">
        <v>0</v>
      </c>
      <c r="BH187" t="b">
        <v>0</v>
      </c>
      <c r="BI187" t="b">
        <v>0</v>
      </c>
      <c r="BJ187" t="b">
        <v>0</v>
      </c>
      <c r="BK187" t="b">
        <v>0</v>
      </c>
      <c r="BL187" t="b">
        <v>0</v>
      </c>
      <c r="BM187" t="b">
        <v>0</v>
      </c>
      <c r="BN187" t="b">
        <v>0</v>
      </c>
      <c r="BO187" t="b">
        <v>0</v>
      </c>
      <c r="BP187" t="b">
        <v>0</v>
      </c>
      <c r="BQ187" t="b">
        <v>0</v>
      </c>
      <c r="BR187" t="b">
        <v>0</v>
      </c>
      <c r="BS187" t="b">
        <v>0</v>
      </c>
      <c r="BT187" t="b">
        <v>0</v>
      </c>
      <c r="BU187" t="b">
        <v>0</v>
      </c>
      <c r="BV187" t="b">
        <v>0</v>
      </c>
      <c r="BW187" t="b">
        <v>0</v>
      </c>
      <c r="BX187" t="b">
        <v>0</v>
      </c>
      <c r="BY187" t="b">
        <v>0</v>
      </c>
      <c r="BZ187" t="b">
        <v>0</v>
      </c>
      <c r="CA187" t="b">
        <v>0</v>
      </c>
      <c r="CB187" t="b">
        <v>0</v>
      </c>
      <c r="CC187" t="s">
        <v>1253</v>
      </c>
      <c r="CD187" t="s">
        <v>1492</v>
      </c>
      <c r="CE187" t="s">
        <v>1513</v>
      </c>
      <c r="CF187" t="s">
        <v>1495</v>
      </c>
      <c r="CG187" t="b">
        <v>1</v>
      </c>
      <c r="CH187">
        <v>0</v>
      </c>
      <c r="CI187" t="s">
        <v>1662</v>
      </c>
      <c r="CJ187" t="s">
        <v>1858</v>
      </c>
      <c r="CK187" t="s">
        <v>1251</v>
      </c>
      <c r="CL187" t="s">
        <v>1860</v>
      </c>
    </row>
    <row r="188" spans="1:90">
      <c r="A188">
        <v>571</v>
      </c>
      <c r="B188">
        <v>100063</v>
      </c>
      <c r="C188" t="s">
        <v>1250</v>
      </c>
      <c r="D188">
        <v>1</v>
      </c>
      <c r="E188" t="s">
        <v>1492</v>
      </c>
      <c r="F188">
        <v>15</v>
      </c>
      <c r="G188">
        <v>1</v>
      </c>
      <c r="H188">
        <v>2</v>
      </c>
      <c r="I188" t="s">
        <v>1015</v>
      </c>
      <c r="J188" t="s">
        <v>1297</v>
      </c>
      <c r="K188" t="s">
        <v>15</v>
      </c>
      <c r="L188" t="s">
        <v>1511</v>
      </c>
      <c r="M188" t="s">
        <v>1576</v>
      </c>
      <c r="N188" t="s">
        <v>1492</v>
      </c>
      <c r="O188" t="s">
        <v>1302</v>
      </c>
      <c r="P188" t="s">
        <v>1379</v>
      </c>
      <c r="Q188" t="s">
        <v>1302</v>
      </c>
      <c r="R188" t="s">
        <v>1379</v>
      </c>
      <c r="S188" t="s">
        <v>1302</v>
      </c>
      <c r="T188" t="s">
        <v>1379</v>
      </c>
      <c r="U188" t="s">
        <v>1302</v>
      </c>
      <c r="V188" t="s">
        <v>1379</v>
      </c>
      <c r="W188" t="s">
        <v>1302</v>
      </c>
      <c r="X188" t="s">
        <v>1372</v>
      </c>
      <c r="Y188" t="s">
        <v>1257</v>
      </c>
      <c r="Z188" t="s">
        <v>1257</v>
      </c>
      <c r="AA188" t="s">
        <v>1257</v>
      </c>
      <c r="AB188" t="s">
        <v>1257</v>
      </c>
      <c r="AC188" t="b">
        <v>0</v>
      </c>
      <c r="AD188" t="b">
        <v>0</v>
      </c>
      <c r="AE188" t="b">
        <v>0</v>
      </c>
      <c r="AF188" t="b">
        <v>0</v>
      </c>
      <c r="AG188" t="b">
        <v>0</v>
      </c>
      <c r="AH188" t="b">
        <v>0</v>
      </c>
      <c r="AI188" t="b">
        <v>0</v>
      </c>
      <c r="AJ188" t="b">
        <v>0</v>
      </c>
      <c r="AK188" t="b">
        <v>0</v>
      </c>
      <c r="AL188" t="b">
        <v>0</v>
      </c>
      <c r="AM188" t="b">
        <v>0</v>
      </c>
      <c r="AN188" t="b">
        <v>0</v>
      </c>
      <c r="AO188" t="b">
        <v>0</v>
      </c>
      <c r="AP188" t="b">
        <v>0</v>
      </c>
      <c r="AQ188" t="b">
        <v>0</v>
      </c>
      <c r="AR188" t="b">
        <v>0</v>
      </c>
      <c r="AS188" t="b">
        <v>0</v>
      </c>
      <c r="AT188" t="b">
        <v>0</v>
      </c>
      <c r="AU188" t="b">
        <v>0</v>
      </c>
      <c r="AV188" t="b">
        <v>0</v>
      </c>
      <c r="AW188" t="b">
        <v>0</v>
      </c>
      <c r="AX188" t="b">
        <v>0</v>
      </c>
      <c r="AY188" t="b">
        <v>0</v>
      </c>
      <c r="AZ188" t="b">
        <v>0</v>
      </c>
      <c r="BA188" t="b">
        <v>0</v>
      </c>
      <c r="BB188" t="b">
        <v>0</v>
      </c>
      <c r="BC188" t="b">
        <v>0</v>
      </c>
      <c r="BD188" t="b">
        <v>0</v>
      </c>
      <c r="BE188" t="b">
        <v>0</v>
      </c>
      <c r="BF188" t="b">
        <v>0</v>
      </c>
      <c r="BG188" t="b">
        <v>0</v>
      </c>
      <c r="BH188" t="b">
        <v>0</v>
      </c>
      <c r="BI188" t="b">
        <v>0</v>
      </c>
      <c r="BJ188" t="b">
        <v>0</v>
      </c>
      <c r="BK188" t="b">
        <v>0</v>
      </c>
      <c r="BL188" t="b">
        <v>0</v>
      </c>
      <c r="BM188" t="b">
        <v>0</v>
      </c>
      <c r="BN188" t="b">
        <v>0</v>
      </c>
      <c r="BO188" t="b">
        <v>0</v>
      </c>
      <c r="BP188" t="b">
        <v>0</v>
      </c>
      <c r="BQ188" t="b">
        <v>0</v>
      </c>
      <c r="BR188" t="b">
        <v>0</v>
      </c>
      <c r="BS188" t="b">
        <v>0</v>
      </c>
      <c r="BT188" t="b">
        <v>0</v>
      </c>
      <c r="BU188" t="b">
        <v>0</v>
      </c>
      <c r="BV188" t="b">
        <v>0</v>
      </c>
      <c r="BW188" t="b">
        <v>0</v>
      </c>
      <c r="BX188" t="b">
        <v>0</v>
      </c>
      <c r="BY188" t="b">
        <v>0</v>
      </c>
      <c r="BZ188" t="b">
        <v>0</v>
      </c>
      <c r="CA188" t="b">
        <v>0</v>
      </c>
      <c r="CB188" t="b">
        <v>0</v>
      </c>
      <c r="CC188" t="s">
        <v>1253</v>
      </c>
      <c r="CD188" t="s">
        <v>1492</v>
      </c>
      <c r="CE188" t="s">
        <v>1518</v>
      </c>
      <c r="CF188" t="s">
        <v>1495</v>
      </c>
      <c r="CG188" t="b">
        <v>1</v>
      </c>
      <c r="CH188">
        <v>0</v>
      </c>
      <c r="CI188" t="s">
        <v>1861</v>
      </c>
      <c r="CJ188" t="s">
        <v>1862</v>
      </c>
      <c r="CK188" t="s">
        <v>1251</v>
      </c>
      <c r="CL188" t="s">
        <v>1863</v>
      </c>
    </row>
    <row r="189" spans="1:90">
      <c r="A189">
        <v>572</v>
      </c>
      <c r="B189">
        <v>100063</v>
      </c>
      <c r="C189" t="s">
        <v>1250</v>
      </c>
      <c r="D189">
        <v>2</v>
      </c>
      <c r="E189" t="s">
        <v>1492</v>
      </c>
      <c r="F189">
        <v>15</v>
      </c>
      <c r="G189">
        <v>1</v>
      </c>
      <c r="H189">
        <v>2</v>
      </c>
      <c r="I189" t="s">
        <v>1015</v>
      </c>
      <c r="J189" t="s">
        <v>1297</v>
      </c>
      <c r="K189" t="s">
        <v>15</v>
      </c>
      <c r="L189" t="s">
        <v>1511</v>
      </c>
      <c r="M189" t="s">
        <v>1576</v>
      </c>
      <c r="N189" t="s">
        <v>1492</v>
      </c>
      <c r="O189" t="s">
        <v>1302</v>
      </c>
      <c r="P189" t="s">
        <v>1379</v>
      </c>
      <c r="Q189" t="s">
        <v>1302</v>
      </c>
      <c r="R189" t="s">
        <v>1379</v>
      </c>
      <c r="S189" t="s">
        <v>1302</v>
      </c>
      <c r="T189" t="s">
        <v>1379</v>
      </c>
      <c r="U189" t="s">
        <v>1302</v>
      </c>
      <c r="V189" t="s">
        <v>1379</v>
      </c>
      <c r="W189" t="s">
        <v>1302</v>
      </c>
      <c r="X189" t="s">
        <v>1372</v>
      </c>
      <c r="Y189" t="s">
        <v>1257</v>
      </c>
      <c r="Z189" t="s">
        <v>1257</v>
      </c>
      <c r="AA189" t="s">
        <v>1257</v>
      </c>
      <c r="AB189" t="s">
        <v>1257</v>
      </c>
      <c r="AC189" t="b">
        <v>0</v>
      </c>
      <c r="AD189" t="b">
        <v>0</v>
      </c>
      <c r="AE189" t="b">
        <v>0</v>
      </c>
      <c r="AF189" t="b">
        <v>0</v>
      </c>
      <c r="AG189" t="b">
        <v>0</v>
      </c>
      <c r="AH189" t="b">
        <v>0</v>
      </c>
      <c r="AI189" t="b">
        <v>0</v>
      </c>
      <c r="AJ189" t="b">
        <v>0</v>
      </c>
      <c r="AK189" t="b">
        <v>0</v>
      </c>
      <c r="AL189" t="b">
        <v>0</v>
      </c>
      <c r="AM189" t="b">
        <v>0</v>
      </c>
      <c r="AN189" t="b">
        <v>0</v>
      </c>
      <c r="AO189" t="b">
        <v>0</v>
      </c>
      <c r="AP189" t="b">
        <v>0</v>
      </c>
      <c r="AQ189" t="b">
        <v>0</v>
      </c>
      <c r="AR189" t="b">
        <v>0</v>
      </c>
      <c r="AS189" t="b">
        <v>0</v>
      </c>
      <c r="AT189" t="b">
        <v>0</v>
      </c>
      <c r="AU189" t="b">
        <v>0</v>
      </c>
      <c r="AV189" t="b">
        <v>0</v>
      </c>
      <c r="AW189" t="b">
        <v>0</v>
      </c>
      <c r="AX189" t="b">
        <v>0</v>
      </c>
      <c r="AY189" t="b">
        <v>0</v>
      </c>
      <c r="AZ189" t="b">
        <v>0</v>
      </c>
      <c r="BA189" t="b">
        <v>0</v>
      </c>
      <c r="BB189" t="b">
        <v>0</v>
      </c>
      <c r="BC189" t="b">
        <v>0</v>
      </c>
      <c r="BD189" t="b">
        <v>0</v>
      </c>
      <c r="BE189" t="b">
        <v>0</v>
      </c>
      <c r="BF189" t="b">
        <v>0</v>
      </c>
      <c r="BG189" t="b">
        <v>0</v>
      </c>
      <c r="BH189" t="b">
        <v>0</v>
      </c>
      <c r="BI189" t="b">
        <v>0</v>
      </c>
      <c r="BJ189" t="b">
        <v>0</v>
      </c>
      <c r="BK189" t="b">
        <v>0</v>
      </c>
      <c r="BL189" t="b">
        <v>0</v>
      </c>
      <c r="BM189" t="b">
        <v>0</v>
      </c>
      <c r="BN189" t="b">
        <v>0</v>
      </c>
      <c r="BO189" t="b">
        <v>0</v>
      </c>
      <c r="BP189" t="b">
        <v>0</v>
      </c>
      <c r="BQ189" t="b">
        <v>0</v>
      </c>
      <c r="BR189" t="b">
        <v>0</v>
      </c>
      <c r="BS189" t="b">
        <v>0</v>
      </c>
      <c r="BT189" t="b">
        <v>0</v>
      </c>
      <c r="BU189" t="b">
        <v>0</v>
      </c>
      <c r="BV189" t="b">
        <v>0</v>
      </c>
      <c r="BW189" t="b">
        <v>0</v>
      </c>
      <c r="BX189" t="b">
        <v>0</v>
      </c>
      <c r="BY189" t="b">
        <v>0</v>
      </c>
      <c r="BZ189" t="b">
        <v>0</v>
      </c>
      <c r="CA189" t="b">
        <v>0</v>
      </c>
      <c r="CB189" t="b">
        <v>0</v>
      </c>
      <c r="CC189" t="s">
        <v>1253</v>
      </c>
      <c r="CD189" t="s">
        <v>1492</v>
      </c>
      <c r="CE189" t="s">
        <v>1518</v>
      </c>
      <c r="CF189" t="s">
        <v>1495</v>
      </c>
      <c r="CG189" t="b">
        <v>1</v>
      </c>
      <c r="CH189">
        <v>0</v>
      </c>
      <c r="CI189" t="s">
        <v>1864</v>
      </c>
      <c r="CJ189" t="s">
        <v>1862</v>
      </c>
      <c r="CK189" t="s">
        <v>1251</v>
      </c>
      <c r="CL189" t="s">
        <v>1865</v>
      </c>
    </row>
    <row r="190" spans="1:90">
      <c r="A190">
        <v>365</v>
      </c>
      <c r="B190">
        <v>514</v>
      </c>
      <c r="C190" t="s">
        <v>1250</v>
      </c>
      <c r="D190">
        <v>1</v>
      </c>
      <c r="E190" t="s">
        <v>1492</v>
      </c>
      <c r="F190">
        <v>10</v>
      </c>
      <c r="G190">
        <v>1</v>
      </c>
      <c r="H190">
        <v>2</v>
      </c>
      <c r="I190" t="s">
        <v>1492</v>
      </c>
      <c r="J190" t="s">
        <v>1297</v>
      </c>
      <c r="K190" t="s">
        <v>16</v>
      </c>
      <c r="L190" t="s">
        <v>1492</v>
      </c>
      <c r="M190" t="s">
        <v>1576</v>
      </c>
      <c r="N190" t="s">
        <v>1492</v>
      </c>
      <c r="O190" t="s">
        <v>1302</v>
      </c>
      <c r="P190" t="s">
        <v>1379</v>
      </c>
      <c r="Q190" t="s">
        <v>1302</v>
      </c>
      <c r="R190" t="s">
        <v>1379</v>
      </c>
      <c r="S190" t="s">
        <v>1302</v>
      </c>
      <c r="T190" t="s">
        <v>1379</v>
      </c>
      <c r="U190" t="s">
        <v>1302</v>
      </c>
      <c r="V190" t="s">
        <v>1379</v>
      </c>
      <c r="W190" t="s">
        <v>1302</v>
      </c>
      <c r="X190" t="s">
        <v>1372</v>
      </c>
      <c r="Y190" t="s">
        <v>1257</v>
      </c>
      <c r="Z190" t="s">
        <v>1257</v>
      </c>
      <c r="AA190" t="s">
        <v>1257</v>
      </c>
      <c r="AB190" t="s">
        <v>1257</v>
      </c>
      <c r="AC190" t="b">
        <v>0</v>
      </c>
      <c r="AD190" t="b">
        <v>0</v>
      </c>
      <c r="AE190" t="b">
        <v>0</v>
      </c>
      <c r="AF190" t="b">
        <v>0</v>
      </c>
      <c r="AG190" t="b">
        <v>0</v>
      </c>
      <c r="AH190" t="b">
        <v>0</v>
      </c>
      <c r="AI190" t="b">
        <v>0</v>
      </c>
      <c r="AJ190" t="b">
        <v>0</v>
      </c>
      <c r="AK190" t="b">
        <v>0</v>
      </c>
      <c r="AL190" t="b">
        <v>0</v>
      </c>
      <c r="AM190" t="b">
        <v>0</v>
      </c>
      <c r="AN190" t="b">
        <v>0</v>
      </c>
      <c r="AO190" t="b">
        <v>0</v>
      </c>
      <c r="AP190" t="b">
        <v>0</v>
      </c>
      <c r="AQ190" t="b">
        <v>0</v>
      </c>
      <c r="AR190" t="b">
        <v>0</v>
      </c>
      <c r="AS190" t="b">
        <v>0</v>
      </c>
      <c r="AT190" t="b">
        <v>0</v>
      </c>
      <c r="AU190" t="b">
        <v>0</v>
      </c>
      <c r="AV190" t="b">
        <v>0</v>
      </c>
      <c r="AW190" t="b">
        <v>0</v>
      </c>
      <c r="AX190" t="b">
        <v>0</v>
      </c>
      <c r="AY190" t="b">
        <v>0</v>
      </c>
      <c r="AZ190" t="b">
        <v>0</v>
      </c>
      <c r="BA190" t="b">
        <v>0</v>
      </c>
      <c r="BB190" t="b">
        <v>0</v>
      </c>
      <c r="BC190" t="b">
        <v>0</v>
      </c>
      <c r="BD190" t="b">
        <v>0</v>
      </c>
      <c r="BE190" t="b">
        <v>0</v>
      </c>
      <c r="BF190" t="b">
        <v>0</v>
      </c>
      <c r="BG190" t="b">
        <v>0</v>
      </c>
      <c r="BH190" t="b">
        <v>0</v>
      </c>
      <c r="BI190" t="b">
        <v>0</v>
      </c>
      <c r="BJ190" t="b">
        <v>0</v>
      </c>
      <c r="BK190" t="b">
        <v>0</v>
      </c>
      <c r="BL190" t="b">
        <v>0</v>
      </c>
      <c r="BM190" t="b">
        <v>0</v>
      </c>
      <c r="BN190" t="b">
        <v>0</v>
      </c>
      <c r="BO190" t="b">
        <v>0</v>
      </c>
      <c r="BP190" t="b">
        <v>0</v>
      </c>
      <c r="BQ190" t="b">
        <v>0</v>
      </c>
      <c r="BR190" t="b">
        <v>0</v>
      </c>
      <c r="BS190" t="b">
        <v>0</v>
      </c>
      <c r="BT190" t="b">
        <v>0</v>
      </c>
      <c r="BU190" t="b">
        <v>0</v>
      </c>
      <c r="BV190" t="b">
        <v>0</v>
      </c>
      <c r="BW190" t="b">
        <v>0</v>
      </c>
      <c r="BX190" t="b">
        <v>0</v>
      </c>
      <c r="BY190" t="b">
        <v>0</v>
      </c>
      <c r="BZ190" t="b">
        <v>0</v>
      </c>
      <c r="CA190" t="b">
        <v>0</v>
      </c>
      <c r="CB190" t="b">
        <v>0</v>
      </c>
      <c r="CC190" t="s">
        <v>1253</v>
      </c>
      <c r="CD190" t="s">
        <v>1492</v>
      </c>
      <c r="CE190" t="s">
        <v>1513</v>
      </c>
      <c r="CF190" t="s">
        <v>1495</v>
      </c>
      <c r="CG190" t="b">
        <v>1</v>
      </c>
      <c r="CH190">
        <v>0</v>
      </c>
      <c r="CI190" t="s">
        <v>1866</v>
      </c>
      <c r="CJ190" t="s">
        <v>1867</v>
      </c>
      <c r="CK190" t="s">
        <v>1251</v>
      </c>
      <c r="CL190" t="s">
        <v>1868</v>
      </c>
    </row>
    <row r="191" spans="1:90">
      <c r="A191">
        <v>366</v>
      </c>
      <c r="B191">
        <v>514</v>
      </c>
      <c r="C191" t="s">
        <v>1250</v>
      </c>
      <c r="D191">
        <v>2</v>
      </c>
      <c r="E191" t="s">
        <v>1492</v>
      </c>
      <c r="F191">
        <v>10</v>
      </c>
      <c r="G191">
        <v>1</v>
      </c>
      <c r="H191">
        <v>2</v>
      </c>
      <c r="I191" t="s">
        <v>1492</v>
      </c>
      <c r="J191" t="s">
        <v>1297</v>
      </c>
      <c r="K191" t="s">
        <v>16</v>
      </c>
      <c r="L191" t="s">
        <v>1522</v>
      </c>
      <c r="M191" t="s">
        <v>1576</v>
      </c>
      <c r="N191" t="s">
        <v>1492</v>
      </c>
      <c r="O191" t="s">
        <v>1302</v>
      </c>
      <c r="P191" t="s">
        <v>1379</v>
      </c>
      <c r="Q191" t="s">
        <v>1302</v>
      </c>
      <c r="R191" t="s">
        <v>1379</v>
      </c>
      <c r="S191" t="s">
        <v>1302</v>
      </c>
      <c r="T191" t="s">
        <v>1379</v>
      </c>
      <c r="U191" t="s">
        <v>1302</v>
      </c>
      <c r="V191" t="s">
        <v>1379</v>
      </c>
      <c r="W191" t="s">
        <v>1302</v>
      </c>
      <c r="X191" t="s">
        <v>1372</v>
      </c>
      <c r="Y191" t="s">
        <v>1257</v>
      </c>
      <c r="Z191" t="s">
        <v>1257</v>
      </c>
      <c r="AA191" t="s">
        <v>1257</v>
      </c>
      <c r="AB191" t="s">
        <v>1257</v>
      </c>
      <c r="AC191" t="b">
        <v>0</v>
      </c>
      <c r="AD191" t="b">
        <v>0</v>
      </c>
      <c r="AE191" t="b">
        <v>0</v>
      </c>
      <c r="AF191" t="b">
        <v>0</v>
      </c>
      <c r="AG191" t="b">
        <v>0</v>
      </c>
      <c r="AH191" t="b">
        <v>0</v>
      </c>
      <c r="AI191" t="b">
        <v>0</v>
      </c>
      <c r="AJ191" t="b">
        <v>0</v>
      </c>
      <c r="AK191" t="b">
        <v>0</v>
      </c>
      <c r="AL191" t="b">
        <v>0</v>
      </c>
      <c r="AM191" t="b">
        <v>0</v>
      </c>
      <c r="AN191" t="b">
        <v>0</v>
      </c>
      <c r="AO191" t="b">
        <v>0</v>
      </c>
      <c r="AP191" t="b">
        <v>0</v>
      </c>
      <c r="AQ191" t="b">
        <v>0</v>
      </c>
      <c r="AR191" t="b">
        <v>0</v>
      </c>
      <c r="AS191" t="b">
        <v>0</v>
      </c>
      <c r="AT191" t="b">
        <v>0</v>
      </c>
      <c r="AU191" t="b">
        <v>0</v>
      </c>
      <c r="AV191" t="b">
        <v>0</v>
      </c>
      <c r="AW191" t="b">
        <v>0</v>
      </c>
      <c r="AX191" t="b">
        <v>0</v>
      </c>
      <c r="AY191" t="b">
        <v>0</v>
      </c>
      <c r="AZ191" t="b">
        <v>0</v>
      </c>
      <c r="BA191" t="b">
        <v>0</v>
      </c>
      <c r="BB191" t="b">
        <v>0</v>
      </c>
      <c r="BC191" t="b">
        <v>0</v>
      </c>
      <c r="BD191" t="b">
        <v>0</v>
      </c>
      <c r="BE191" t="b">
        <v>0</v>
      </c>
      <c r="BF191" t="b">
        <v>0</v>
      </c>
      <c r="BG191" t="b">
        <v>0</v>
      </c>
      <c r="BH191" t="b">
        <v>0</v>
      </c>
      <c r="BI191" t="b">
        <v>0</v>
      </c>
      <c r="BJ191" t="b">
        <v>0</v>
      </c>
      <c r="BK191" t="b">
        <v>0</v>
      </c>
      <c r="BL191" t="b">
        <v>0</v>
      </c>
      <c r="BM191" t="b">
        <v>0</v>
      </c>
      <c r="BN191" t="b">
        <v>0</v>
      </c>
      <c r="BO191" t="b">
        <v>0</v>
      </c>
      <c r="BP191" t="b">
        <v>0</v>
      </c>
      <c r="BQ191" t="b">
        <v>0</v>
      </c>
      <c r="BR191" t="b">
        <v>0</v>
      </c>
      <c r="BS191" t="b">
        <v>0</v>
      </c>
      <c r="BT191" t="b">
        <v>0</v>
      </c>
      <c r="BU191" t="b">
        <v>0</v>
      </c>
      <c r="BV191" t="b">
        <v>0</v>
      </c>
      <c r="BW191" t="b">
        <v>0</v>
      </c>
      <c r="BX191" t="b">
        <v>0</v>
      </c>
      <c r="BY191" t="b">
        <v>0</v>
      </c>
      <c r="BZ191" t="b">
        <v>0</v>
      </c>
      <c r="CA191" t="b">
        <v>0</v>
      </c>
      <c r="CB191" t="b">
        <v>0</v>
      </c>
      <c r="CC191" t="s">
        <v>1253</v>
      </c>
      <c r="CD191" t="s">
        <v>1492</v>
      </c>
      <c r="CE191" t="s">
        <v>1513</v>
      </c>
      <c r="CF191" t="s">
        <v>1495</v>
      </c>
      <c r="CG191" t="b">
        <v>1</v>
      </c>
      <c r="CH191">
        <v>0</v>
      </c>
      <c r="CI191" t="s">
        <v>1866</v>
      </c>
      <c r="CJ191" t="s">
        <v>1867</v>
      </c>
      <c r="CK191" t="s">
        <v>1251</v>
      </c>
      <c r="CL191" t="s">
        <v>1869</v>
      </c>
    </row>
    <row r="192" spans="1:90">
      <c r="A192">
        <v>573</v>
      </c>
      <c r="B192">
        <v>100064</v>
      </c>
      <c r="C192" t="s">
        <v>1250</v>
      </c>
      <c r="D192">
        <v>1</v>
      </c>
      <c r="E192" t="s">
        <v>1492</v>
      </c>
      <c r="F192">
        <v>10</v>
      </c>
      <c r="G192">
        <v>1</v>
      </c>
      <c r="H192">
        <v>2</v>
      </c>
      <c r="I192" t="s">
        <v>1492</v>
      </c>
      <c r="J192" t="s">
        <v>1297</v>
      </c>
      <c r="K192" t="s">
        <v>16</v>
      </c>
      <c r="L192" t="s">
        <v>1492</v>
      </c>
      <c r="M192" t="s">
        <v>1576</v>
      </c>
      <c r="N192" t="s">
        <v>1492</v>
      </c>
      <c r="O192" t="s">
        <v>1302</v>
      </c>
      <c r="P192" t="s">
        <v>1379</v>
      </c>
      <c r="Q192" t="s">
        <v>1302</v>
      </c>
      <c r="R192" t="s">
        <v>1379</v>
      </c>
      <c r="S192" t="s">
        <v>1302</v>
      </c>
      <c r="T192" t="s">
        <v>1379</v>
      </c>
      <c r="U192" t="s">
        <v>1302</v>
      </c>
      <c r="V192" t="s">
        <v>1379</v>
      </c>
      <c r="W192" t="s">
        <v>1302</v>
      </c>
      <c r="X192" t="s">
        <v>1372</v>
      </c>
      <c r="Y192" t="s">
        <v>1257</v>
      </c>
      <c r="Z192" t="s">
        <v>1257</v>
      </c>
      <c r="AA192" t="s">
        <v>1257</v>
      </c>
      <c r="AB192" t="s">
        <v>1257</v>
      </c>
      <c r="AC192" t="b">
        <v>0</v>
      </c>
      <c r="AD192" t="b">
        <v>0</v>
      </c>
      <c r="AE192" t="b">
        <v>0</v>
      </c>
      <c r="AF192" t="b">
        <v>0</v>
      </c>
      <c r="AG192" t="b">
        <v>0</v>
      </c>
      <c r="AH192" t="b">
        <v>0</v>
      </c>
      <c r="AI192" t="b">
        <v>0</v>
      </c>
      <c r="AJ192" t="b">
        <v>0</v>
      </c>
      <c r="AK192" t="b">
        <v>0</v>
      </c>
      <c r="AL192" t="b">
        <v>0</v>
      </c>
      <c r="AM192" t="b">
        <v>0</v>
      </c>
      <c r="AN192" t="b">
        <v>0</v>
      </c>
      <c r="AO192" t="b">
        <v>0</v>
      </c>
      <c r="AP192" t="b">
        <v>0</v>
      </c>
      <c r="AQ192" t="b">
        <v>0</v>
      </c>
      <c r="AR192" t="b">
        <v>0</v>
      </c>
      <c r="AS192" t="b">
        <v>0</v>
      </c>
      <c r="AT192" t="b">
        <v>0</v>
      </c>
      <c r="AU192" t="b">
        <v>0</v>
      </c>
      <c r="AV192" t="b">
        <v>0</v>
      </c>
      <c r="AW192" t="b">
        <v>0</v>
      </c>
      <c r="AX192" t="b">
        <v>0</v>
      </c>
      <c r="AY192" t="b">
        <v>0</v>
      </c>
      <c r="AZ192" t="b">
        <v>0</v>
      </c>
      <c r="BA192" t="b">
        <v>0</v>
      </c>
      <c r="BB192" t="b">
        <v>0</v>
      </c>
      <c r="BC192" t="b">
        <v>0</v>
      </c>
      <c r="BD192" t="b">
        <v>0</v>
      </c>
      <c r="BE192" t="b">
        <v>0</v>
      </c>
      <c r="BF192" t="b">
        <v>0</v>
      </c>
      <c r="BG192" t="b">
        <v>0</v>
      </c>
      <c r="BH192" t="b">
        <v>0</v>
      </c>
      <c r="BI192" t="b">
        <v>0</v>
      </c>
      <c r="BJ192" t="b">
        <v>0</v>
      </c>
      <c r="BK192" t="b">
        <v>0</v>
      </c>
      <c r="BL192" t="b">
        <v>0</v>
      </c>
      <c r="BM192" t="b">
        <v>0</v>
      </c>
      <c r="BN192" t="b">
        <v>0</v>
      </c>
      <c r="BO192" t="b">
        <v>0</v>
      </c>
      <c r="BP192" t="b">
        <v>0</v>
      </c>
      <c r="BQ192" t="b">
        <v>0</v>
      </c>
      <c r="BR192" t="b">
        <v>0</v>
      </c>
      <c r="BS192" t="b">
        <v>0</v>
      </c>
      <c r="BT192" t="b">
        <v>0</v>
      </c>
      <c r="BU192" t="b">
        <v>0</v>
      </c>
      <c r="BV192" t="b">
        <v>0</v>
      </c>
      <c r="BW192" t="b">
        <v>0</v>
      </c>
      <c r="BX192" t="b">
        <v>0</v>
      </c>
      <c r="BY192" t="b">
        <v>0</v>
      </c>
      <c r="BZ192" t="b">
        <v>0</v>
      </c>
      <c r="CA192" t="b">
        <v>0</v>
      </c>
      <c r="CB192" t="b">
        <v>0</v>
      </c>
      <c r="CC192" t="s">
        <v>1253</v>
      </c>
      <c r="CD192" t="s">
        <v>1492</v>
      </c>
      <c r="CE192" t="s">
        <v>1518</v>
      </c>
      <c r="CF192" t="s">
        <v>1495</v>
      </c>
      <c r="CG192" t="b">
        <v>1</v>
      </c>
      <c r="CH192">
        <v>0</v>
      </c>
      <c r="CI192" t="s">
        <v>1864</v>
      </c>
      <c r="CJ192" t="s">
        <v>1870</v>
      </c>
      <c r="CK192" t="s">
        <v>1251</v>
      </c>
      <c r="CL192" t="s">
        <v>1871</v>
      </c>
    </row>
    <row r="193" spans="1:90">
      <c r="A193">
        <v>574</v>
      </c>
      <c r="B193">
        <v>100064</v>
      </c>
      <c r="C193" t="s">
        <v>1250</v>
      </c>
      <c r="D193">
        <v>2</v>
      </c>
      <c r="E193" t="s">
        <v>1492</v>
      </c>
      <c r="F193">
        <v>10</v>
      </c>
      <c r="G193">
        <v>1</v>
      </c>
      <c r="H193">
        <v>2</v>
      </c>
      <c r="I193" t="s">
        <v>1492</v>
      </c>
      <c r="J193" t="s">
        <v>1297</v>
      </c>
      <c r="K193" t="s">
        <v>16</v>
      </c>
      <c r="L193" t="s">
        <v>1492</v>
      </c>
      <c r="M193" t="s">
        <v>1576</v>
      </c>
      <c r="N193" t="s">
        <v>1492</v>
      </c>
      <c r="O193" t="s">
        <v>1302</v>
      </c>
      <c r="P193" t="s">
        <v>1379</v>
      </c>
      <c r="Q193" t="s">
        <v>1302</v>
      </c>
      <c r="R193" t="s">
        <v>1379</v>
      </c>
      <c r="S193" t="s">
        <v>1302</v>
      </c>
      <c r="T193" t="s">
        <v>1379</v>
      </c>
      <c r="U193" t="s">
        <v>1302</v>
      </c>
      <c r="V193" t="s">
        <v>1379</v>
      </c>
      <c r="W193" t="s">
        <v>1302</v>
      </c>
      <c r="X193" t="s">
        <v>1372</v>
      </c>
      <c r="Y193" t="s">
        <v>1257</v>
      </c>
      <c r="Z193" t="s">
        <v>1257</v>
      </c>
      <c r="AA193" t="s">
        <v>1257</v>
      </c>
      <c r="AB193" t="s">
        <v>1257</v>
      </c>
      <c r="AC193" t="b">
        <v>0</v>
      </c>
      <c r="AD193" t="b">
        <v>0</v>
      </c>
      <c r="AE193" t="b">
        <v>0</v>
      </c>
      <c r="AF193" t="b">
        <v>0</v>
      </c>
      <c r="AG193" t="b">
        <v>0</v>
      </c>
      <c r="AH193" t="b">
        <v>0</v>
      </c>
      <c r="AI193" t="b">
        <v>0</v>
      </c>
      <c r="AJ193" t="b">
        <v>0</v>
      </c>
      <c r="AK193" t="b">
        <v>0</v>
      </c>
      <c r="AL193" t="b">
        <v>0</v>
      </c>
      <c r="AM193" t="b">
        <v>0</v>
      </c>
      <c r="AN193" t="b">
        <v>0</v>
      </c>
      <c r="AO193" t="b">
        <v>0</v>
      </c>
      <c r="AP193" t="b">
        <v>0</v>
      </c>
      <c r="AQ193" t="b">
        <v>0</v>
      </c>
      <c r="AR193" t="b">
        <v>0</v>
      </c>
      <c r="AS193" t="b">
        <v>0</v>
      </c>
      <c r="AT193" t="b">
        <v>0</v>
      </c>
      <c r="AU193" t="b">
        <v>0</v>
      </c>
      <c r="AV193" t="b">
        <v>0</v>
      </c>
      <c r="AW193" t="b">
        <v>0</v>
      </c>
      <c r="AX193" t="b">
        <v>0</v>
      </c>
      <c r="AY193" t="b">
        <v>0</v>
      </c>
      <c r="AZ193" t="b">
        <v>0</v>
      </c>
      <c r="BA193" t="b">
        <v>0</v>
      </c>
      <c r="BB193" t="b">
        <v>0</v>
      </c>
      <c r="BC193" t="b">
        <v>0</v>
      </c>
      <c r="BD193" t="b">
        <v>0</v>
      </c>
      <c r="BE193" t="b">
        <v>0</v>
      </c>
      <c r="BF193" t="b">
        <v>0</v>
      </c>
      <c r="BG193" t="b">
        <v>0</v>
      </c>
      <c r="BH193" t="b">
        <v>0</v>
      </c>
      <c r="BI193" t="b">
        <v>0</v>
      </c>
      <c r="BJ193" t="b">
        <v>0</v>
      </c>
      <c r="BK193" t="b">
        <v>0</v>
      </c>
      <c r="BL193" t="b">
        <v>0</v>
      </c>
      <c r="BM193" t="b">
        <v>0</v>
      </c>
      <c r="BN193" t="b">
        <v>0</v>
      </c>
      <c r="BO193" t="b">
        <v>0</v>
      </c>
      <c r="BP193" t="b">
        <v>0</v>
      </c>
      <c r="BQ193" t="b">
        <v>0</v>
      </c>
      <c r="BR193" t="b">
        <v>0</v>
      </c>
      <c r="BS193" t="b">
        <v>0</v>
      </c>
      <c r="BT193" t="b">
        <v>0</v>
      </c>
      <c r="BU193" t="b">
        <v>0</v>
      </c>
      <c r="BV193" t="b">
        <v>0</v>
      </c>
      <c r="BW193" t="b">
        <v>0</v>
      </c>
      <c r="BX193" t="b">
        <v>0</v>
      </c>
      <c r="BY193" t="b">
        <v>0</v>
      </c>
      <c r="BZ193" t="b">
        <v>0</v>
      </c>
      <c r="CA193" t="b">
        <v>0</v>
      </c>
      <c r="CB193" t="b">
        <v>0</v>
      </c>
      <c r="CC193" t="s">
        <v>1253</v>
      </c>
      <c r="CD193" t="s">
        <v>1492</v>
      </c>
      <c r="CE193" t="s">
        <v>1518</v>
      </c>
      <c r="CF193" t="s">
        <v>1495</v>
      </c>
      <c r="CG193" t="b">
        <v>1</v>
      </c>
      <c r="CH193">
        <v>0</v>
      </c>
      <c r="CI193" t="s">
        <v>1864</v>
      </c>
      <c r="CJ193" t="s">
        <v>1870</v>
      </c>
      <c r="CK193" t="s">
        <v>1251</v>
      </c>
      <c r="CL193" t="s">
        <v>1872</v>
      </c>
    </row>
    <row r="194" spans="1:90">
      <c r="A194">
        <v>477</v>
      </c>
      <c r="B194">
        <v>100010</v>
      </c>
      <c r="C194" t="s">
        <v>1250</v>
      </c>
      <c r="D194">
        <v>1</v>
      </c>
      <c r="E194" t="s">
        <v>1492</v>
      </c>
      <c r="F194">
        <v>1</v>
      </c>
      <c r="G194">
        <v>1</v>
      </c>
      <c r="H194">
        <v>2</v>
      </c>
      <c r="I194" t="s">
        <v>1003</v>
      </c>
      <c r="J194" t="s">
        <v>1297</v>
      </c>
      <c r="K194" t="s">
        <v>15</v>
      </c>
      <c r="L194" t="s">
        <v>1511</v>
      </c>
      <c r="M194" t="s">
        <v>1576</v>
      </c>
      <c r="N194" t="s">
        <v>1492</v>
      </c>
      <c r="O194" t="s">
        <v>1302</v>
      </c>
      <c r="P194" t="s">
        <v>1379</v>
      </c>
      <c r="Q194" t="s">
        <v>1302</v>
      </c>
      <c r="R194" t="s">
        <v>1379</v>
      </c>
      <c r="S194" t="s">
        <v>1302</v>
      </c>
      <c r="T194" t="s">
        <v>1379</v>
      </c>
      <c r="U194" t="s">
        <v>1302</v>
      </c>
      <c r="V194" t="s">
        <v>1379</v>
      </c>
      <c r="W194" t="s">
        <v>1302</v>
      </c>
      <c r="X194" t="s">
        <v>1372</v>
      </c>
      <c r="Y194" t="s">
        <v>1257</v>
      </c>
      <c r="Z194" t="s">
        <v>1257</v>
      </c>
      <c r="AA194" t="s">
        <v>1257</v>
      </c>
      <c r="AB194" t="s">
        <v>1257</v>
      </c>
      <c r="AC194" t="b">
        <v>0</v>
      </c>
      <c r="AD194" t="b">
        <v>0</v>
      </c>
      <c r="AE194" t="b">
        <v>0</v>
      </c>
      <c r="AF194" t="b">
        <v>0</v>
      </c>
      <c r="AG194" t="b">
        <v>0</v>
      </c>
      <c r="AH194" t="b">
        <v>0</v>
      </c>
      <c r="AI194" t="b">
        <v>0</v>
      </c>
      <c r="AJ194" t="b">
        <v>0</v>
      </c>
      <c r="AK194" t="b">
        <v>0</v>
      </c>
      <c r="AL194" t="b">
        <v>0</v>
      </c>
      <c r="AM194" t="b">
        <v>0</v>
      </c>
      <c r="AN194" t="b">
        <v>0</v>
      </c>
      <c r="AO194" t="b">
        <v>0</v>
      </c>
      <c r="AP194" t="b">
        <v>0</v>
      </c>
      <c r="AQ194" t="b">
        <v>0</v>
      </c>
      <c r="AR194" t="b">
        <v>0</v>
      </c>
      <c r="AS194" t="b">
        <v>0</v>
      </c>
      <c r="AT194" t="b">
        <v>0</v>
      </c>
      <c r="AU194" t="b">
        <v>0</v>
      </c>
      <c r="AV194" t="b">
        <v>0</v>
      </c>
      <c r="AW194" t="b">
        <v>0</v>
      </c>
      <c r="AX194" t="b">
        <v>0</v>
      </c>
      <c r="AY194" t="b">
        <v>0</v>
      </c>
      <c r="AZ194" t="b">
        <v>0</v>
      </c>
      <c r="BA194" t="b">
        <v>0</v>
      </c>
      <c r="BB194" t="b">
        <v>0</v>
      </c>
      <c r="BC194" t="b">
        <v>0</v>
      </c>
      <c r="BD194" t="b">
        <v>0</v>
      </c>
      <c r="BE194" t="b">
        <v>0</v>
      </c>
      <c r="BF194" t="b">
        <v>0</v>
      </c>
      <c r="BG194" t="b">
        <v>0</v>
      </c>
      <c r="BH194" t="b">
        <v>0</v>
      </c>
      <c r="BI194" t="b">
        <v>0</v>
      </c>
      <c r="BJ194" t="b">
        <v>0</v>
      </c>
      <c r="BK194" t="b">
        <v>0</v>
      </c>
      <c r="BL194" t="b">
        <v>0</v>
      </c>
      <c r="BM194" t="b">
        <v>0</v>
      </c>
      <c r="BN194" t="b">
        <v>0</v>
      </c>
      <c r="BO194" t="b">
        <v>0</v>
      </c>
      <c r="BP194" t="b">
        <v>0</v>
      </c>
      <c r="BQ194" t="b">
        <v>0</v>
      </c>
      <c r="BR194" t="b">
        <v>0</v>
      </c>
      <c r="BS194" t="b">
        <v>0</v>
      </c>
      <c r="BT194" t="b">
        <v>0</v>
      </c>
      <c r="BU194" t="b">
        <v>0</v>
      </c>
      <c r="BV194" t="b">
        <v>0</v>
      </c>
      <c r="BW194" t="b">
        <v>0</v>
      </c>
      <c r="BX194" t="b">
        <v>0</v>
      </c>
      <c r="BY194" t="b">
        <v>0</v>
      </c>
      <c r="BZ194" t="b">
        <v>0</v>
      </c>
      <c r="CA194" t="b">
        <v>0</v>
      </c>
      <c r="CB194" t="b">
        <v>0</v>
      </c>
      <c r="CC194" t="s">
        <v>1253</v>
      </c>
      <c r="CD194" t="s">
        <v>1492</v>
      </c>
      <c r="CE194" t="s">
        <v>1518</v>
      </c>
      <c r="CF194" t="s">
        <v>1495</v>
      </c>
      <c r="CG194" t="b">
        <v>1</v>
      </c>
      <c r="CH194">
        <v>0</v>
      </c>
      <c r="CI194" t="s">
        <v>1873</v>
      </c>
      <c r="CJ194" t="s">
        <v>1874</v>
      </c>
      <c r="CK194" t="s">
        <v>1251</v>
      </c>
      <c r="CL194" t="s">
        <v>1875</v>
      </c>
    </row>
    <row r="195" spans="1:90">
      <c r="A195">
        <v>478</v>
      </c>
      <c r="B195">
        <v>100010</v>
      </c>
      <c r="C195" t="s">
        <v>1250</v>
      </c>
      <c r="D195">
        <v>2</v>
      </c>
      <c r="E195" t="s">
        <v>1492</v>
      </c>
      <c r="F195">
        <v>1</v>
      </c>
      <c r="G195">
        <v>1</v>
      </c>
      <c r="H195">
        <v>2</v>
      </c>
      <c r="I195" t="s">
        <v>1003</v>
      </c>
      <c r="J195" t="s">
        <v>1297</v>
      </c>
      <c r="K195" t="s">
        <v>15</v>
      </c>
      <c r="L195" t="s">
        <v>1511</v>
      </c>
      <c r="M195" t="s">
        <v>1576</v>
      </c>
      <c r="N195" t="s">
        <v>1492</v>
      </c>
      <c r="O195" t="s">
        <v>1302</v>
      </c>
      <c r="P195" t="s">
        <v>1379</v>
      </c>
      <c r="Q195" t="s">
        <v>1302</v>
      </c>
      <c r="R195" t="s">
        <v>1379</v>
      </c>
      <c r="S195" t="s">
        <v>1302</v>
      </c>
      <c r="T195" t="s">
        <v>1379</v>
      </c>
      <c r="U195" t="s">
        <v>1302</v>
      </c>
      <c r="V195" t="s">
        <v>1379</v>
      </c>
      <c r="W195" t="s">
        <v>1302</v>
      </c>
      <c r="X195" t="s">
        <v>1372</v>
      </c>
      <c r="Y195" t="s">
        <v>1257</v>
      </c>
      <c r="Z195" t="s">
        <v>1257</v>
      </c>
      <c r="AA195" t="s">
        <v>1257</v>
      </c>
      <c r="AB195" t="s">
        <v>1257</v>
      </c>
      <c r="AC195" t="b">
        <v>0</v>
      </c>
      <c r="AD195" t="b">
        <v>0</v>
      </c>
      <c r="AE195" t="b">
        <v>0</v>
      </c>
      <c r="AF195" t="b">
        <v>0</v>
      </c>
      <c r="AG195" t="b">
        <v>0</v>
      </c>
      <c r="AH195" t="b">
        <v>0</v>
      </c>
      <c r="AI195" t="b">
        <v>0</v>
      </c>
      <c r="AJ195" t="b">
        <v>0</v>
      </c>
      <c r="AK195" t="b">
        <v>0</v>
      </c>
      <c r="AL195" t="b">
        <v>0</v>
      </c>
      <c r="AM195" t="b">
        <v>0</v>
      </c>
      <c r="AN195" t="b">
        <v>0</v>
      </c>
      <c r="AO195" t="b">
        <v>0</v>
      </c>
      <c r="AP195" t="b">
        <v>0</v>
      </c>
      <c r="AQ195" t="b">
        <v>0</v>
      </c>
      <c r="AR195" t="b">
        <v>0</v>
      </c>
      <c r="AS195" t="b">
        <v>0</v>
      </c>
      <c r="AT195" t="b">
        <v>0</v>
      </c>
      <c r="AU195" t="b">
        <v>0</v>
      </c>
      <c r="AV195" t="b">
        <v>0</v>
      </c>
      <c r="AW195" t="b">
        <v>0</v>
      </c>
      <c r="AX195" t="b">
        <v>0</v>
      </c>
      <c r="AY195" t="b">
        <v>0</v>
      </c>
      <c r="AZ195" t="b">
        <v>0</v>
      </c>
      <c r="BA195" t="b">
        <v>0</v>
      </c>
      <c r="BB195" t="b">
        <v>0</v>
      </c>
      <c r="BC195" t="b">
        <v>0</v>
      </c>
      <c r="BD195" t="b">
        <v>0</v>
      </c>
      <c r="BE195" t="b">
        <v>0</v>
      </c>
      <c r="BF195" t="b">
        <v>0</v>
      </c>
      <c r="BG195" t="b">
        <v>0</v>
      </c>
      <c r="BH195" t="b">
        <v>0</v>
      </c>
      <c r="BI195" t="b">
        <v>0</v>
      </c>
      <c r="BJ195" t="b">
        <v>0</v>
      </c>
      <c r="BK195" t="b">
        <v>0</v>
      </c>
      <c r="BL195" t="b">
        <v>0</v>
      </c>
      <c r="BM195" t="b">
        <v>0</v>
      </c>
      <c r="BN195" t="b">
        <v>0</v>
      </c>
      <c r="BO195" t="b">
        <v>0</v>
      </c>
      <c r="BP195" t="b">
        <v>0</v>
      </c>
      <c r="BQ195" t="b">
        <v>0</v>
      </c>
      <c r="BR195" t="b">
        <v>0</v>
      </c>
      <c r="BS195" t="b">
        <v>0</v>
      </c>
      <c r="BT195" t="b">
        <v>0</v>
      </c>
      <c r="BU195" t="b">
        <v>0</v>
      </c>
      <c r="BV195" t="b">
        <v>0</v>
      </c>
      <c r="BW195" t="b">
        <v>0</v>
      </c>
      <c r="BX195" t="b">
        <v>0</v>
      </c>
      <c r="BY195" t="b">
        <v>0</v>
      </c>
      <c r="BZ195" t="b">
        <v>0</v>
      </c>
      <c r="CA195" t="b">
        <v>0</v>
      </c>
      <c r="CB195" t="b">
        <v>0</v>
      </c>
      <c r="CC195" t="s">
        <v>1253</v>
      </c>
      <c r="CD195" t="s">
        <v>1492</v>
      </c>
      <c r="CE195" t="s">
        <v>1518</v>
      </c>
      <c r="CF195" t="s">
        <v>1495</v>
      </c>
      <c r="CG195" t="b">
        <v>1</v>
      </c>
      <c r="CH195">
        <v>0</v>
      </c>
      <c r="CI195" t="s">
        <v>1873</v>
      </c>
      <c r="CJ195" t="s">
        <v>1874</v>
      </c>
      <c r="CK195" t="s">
        <v>1251</v>
      </c>
      <c r="CL195" t="s">
        <v>1876</v>
      </c>
    </row>
    <row r="196" spans="1:90">
      <c r="A196">
        <v>374</v>
      </c>
      <c r="B196">
        <v>518</v>
      </c>
      <c r="C196" t="s">
        <v>1250</v>
      </c>
      <c r="D196">
        <v>1</v>
      </c>
      <c r="E196" t="s">
        <v>1492</v>
      </c>
      <c r="F196">
        <v>2</v>
      </c>
      <c r="G196">
        <v>1</v>
      </c>
      <c r="H196">
        <v>2</v>
      </c>
      <c r="I196" t="s">
        <v>1492</v>
      </c>
      <c r="J196" t="s">
        <v>1297</v>
      </c>
      <c r="K196" t="s">
        <v>16</v>
      </c>
      <c r="L196" t="s">
        <v>1522</v>
      </c>
      <c r="M196" t="s">
        <v>1576</v>
      </c>
      <c r="N196" t="s">
        <v>1492</v>
      </c>
      <c r="O196" t="s">
        <v>1302</v>
      </c>
      <c r="P196" t="s">
        <v>1379</v>
      </c>
      <c r="Q196" t="s">
        <v>1302</v>
      </c>
      <c r="R196" t="s">
        <v>1379</v>
      </c>
      <c r="S196" t="s">
        <v>1302</v>
      </c>
      <c r="T196" t="s">
        <v>1379</v>
      </c>
      <c r="U196" t="s">
        <v>1302</v>
      </c>
      <c r="V196" t="s">
        <v>1379</v>
      </c>
      <c r="W196" t="s">
        <v>1302</v>
      </c>
      <c r="X196" t="s">
        <v>1372</v>
      </c>
      <c r="Y196" t="s">
        <v>1257</v>
      </c>
      <c r="Z196" t="s">
        <v>1257</v>
      </c>
      <c r="AA196" t="s">
        <v>1257</v>
      </c>
      <c r="AB196" t="s">
        <v>1257</v>
      </c>
      <c r="AC196" t="b">
        <v>0</v>
      </c>
      <c r="AD196" t="b">
        <v>0</v>
      </c>
      <c r="AE196" t="b">
        <v>0</v>
      </c>
      <c r="AF196" t="b">
        <v>0</v>
      </c>
      <c r="AG196" t="b">
        <v>0</v>
      </c>
      <c r="AH196" t="b">
        <v>0</v>
      </c>
      <c r="AI196" t="b">
        <v>0</v>
      </c>
      <c r="AJ196" t="b">
        <v>0</v>
      </c>
      <c r="AK196" t="b">
        <v>0</v>
      </c>
      <c r="AL196" t="b">
        <v>0</v>
      </c>
      <c r="AM196" t="b">
        <v>0</v>
      </c>
      <c r="AN196" t="b">
        <v>0</v>
      </c>
      <c r="AO196" t="b">
        <v>0</v>
      </c>
      <c r="AP196" t="b">
        <v>0</v>
      </c>
      <c r="AQ196" t="b">
        <v>0</v>
      </c>
      <c r="AR196" t="b">
        <v>0</v>
      </c>
      <c r="AS196" t="b">
        <v>0</v>
      </c>
      <c r="AT196" t="b">
        <v>0</v>
      </c>
      <c r="AU196" t="b">
        <v>1</v>
      </c>
      <c r="AV196" t="b">
        <v>1</v>
      </c>
      <c r="AW196" t="b">
        <v>1</v>
      </c>
      <c r="AX196" t="b">
        <v>1</v>
      </c>
      <c r="AY196" t="b">
        <v>1</v>
      </c>
      <c r="AZ196" t="b">
        <v>1</v>
      </c>
      <c r="BA196" t="b">
        <v>1</v>
      </c>
      <c r="BB196" t="b">
        <v>1</v>
      </c>
      <c r="BC196" t="b">
        <v>1</v>
      </c>
      <c r="BD196" t="b">
        <v>0</v>
      </c>
      <c r="BE196" t="b">
        <v>0</v>
      </c>
      <c r="BF196" t="b">
        <v>0</v>
      </c>
      <c r="BG196" t="b">
        <v>0</v>
      </c>
      <c r="BH196" t="b">
        <v>0</v>
      </c>
      <c r="BI196" t="b">
        <v>0</v>
      </c>
      <c r="BJ196" t="b">
        <v>0</v>
      </c>
      <c r="BK196" t="b">
        <v>0</v>
      </c>
      <c r="BL196" t="b">
        <v>0</v>
      </c>
      <c r="BM196" t="b">
        <v>0</v>
      </c>
      <c r="BN196" t="b">
        <v>0</v>
      </c>
      <c r="BO196" t="b">
        <v>0</v>
      </c>
      <c r="BP196" t="b">
        <v>0</v>
      </c>
      <c r="BQ196" t="b">
        <v>0</v>
      </c>
      <c r="BR196" t="b">
        <v>0</v>
      </c>
      <c r="BS196" t="b">
        <v>0</v>
      </c>
      <c r="BT196" t="b">
        <v>0</v>
      </c>
      <c r="BU196" t="b">
        <v>0</v>
      </c>
      <c r="BV196" t="b">
        <v>0</v>
      </c>
      <c r="BW196" t="b">
        <v>0</v>
      </c>
      <c r="BX196" t="b">
        <v>0</v>
      </c>
      <c r="BY196" t="b">
        <v>0</v>
      </c>
      <c r="BZ196" t="b">
        <v>0</v>
      </c>
      <c r="CA196" t="b">
        <v>0</v>
      </c>
      <c r="CB196" t="b">
        <v>0</v>
      </c>
      <c r="CC196" t="s">
        <v>1512</v>
      </c>
      <c r="CD196" t="s">
        <v>1492</v>
      </c>
      <c r="CE196" t="s">
        <v>1518</v>
      </c>
      <c r="CF196" t="s">
        <v>1495</v>
      </c>
      <c r="CG196" t="b">
        <v>1</v>
      </c>
      <c r="CH196">
        <v>0</v>
      </c>
      <c r="CI196" t="s">
        <v>1877</v>
      </c>
      <c r="CJ196" t="s">
        <v>1878</v>
      </c>
      <c r="CK196" t="s">
        <v>1251</v>
      </c>
      <c r="CL196" t="s">
        <v>1879</v>
      </c>
    </row>
    <row r="197" spans="1:90">
      <c r="A197">
        <v>373</v>
      </c>
      <c r="B197">
        <v>518</v>
      </c>
      <c r="C197" t="s">
        <v>1250</v>
      </c>
      <c r="D197">
        <v>2</v>
      </c>
      <c r="E197" t="s">
        <v>1492</v>
      </c>
      <c r="F197">
        <v>2</v>
      </c>
      <c r="G197">
        <v>1</v>
      </c>
      <c r="H197">
        <v>2</v>
      </c>
      <c r="I197" t="s">
        <v>1492</v>
      </c>
      <c r="J197" t="s">
        <v>1297</v>
      </c>
      <c r="K197" t="s">
        <v>16</v>
      </c>
      <c r="L197" t="s">
        <v>1522</v>
      </c>
      <c r="M197" t="s">
        <v>1576</v>
      </c>
      <c r="N197" t="s">
        <v>1492</v>
      </c>
      <c r="O197" t="s">
        <v>1302</v>
      </c>
      <c r="P197" t="s">
        <v>1379</v>
      </c>
      <c r="Q197" t="s">
        <v>1302</v>
      </c>
      <c r="R197" t="s">
        <v>1379</v>
      </c>
      <c r="S197" t="s">
        <v>1302</v>
      </c>
      <c r="T197" t="s">
        <v>1379</v>
      </c>
      <c r="U197" t="s">
        <v>1302</v>
      </c>
      <c r="V197" t="s">
        <v>1379</v>
      </c>
      <c r="W197" t="s">
        <v>1302</v>
      </c>
      <c r="X197" t="s">
        <v>1372</v>
      </c>
      <c r="Y197" t="s">
        <v>1257</v>
      </c>
      <c r="Z197" t="s">
        <v>1257</v>
      </c>
      <c r="AA197" t="s">
        <v>1257</v>
      </c>
      <c r="AB197" t="s">
        <v>1257</v>
      </c>
      <c r="AC197" t="b">
        <v>0</v>
      </c>
      <c r="AD197" t="b">
        <v>0</v>
      </c>
      <c r="AE197" t="b">
        <v>0</v>
      </c>
      <c r="AF197" t="b">
        <v>0</v>
      </c>
      <c r="AG197" t="b">
        <v>0</v>
      </c>
      <c r="AH197" t="b">
        <v>0</v>
      </c>
      <c r="AI197" t="b">
        <v>0</v>
      </c>
      <c r="AJ197" t="b">
        <v>0</v>
      </c>
      <c r="AK197" t="b">
        <v>0</v>
      </c>
      <c r="AL197" t="b">
        <v>0</v>
      </c>
      <c r="AM197" t="b">
        <v>0</v>
      </c>
      <c r="AN197" t="b">
        <v>0</v>
      </c>
      <c r="AO197" t="b">
        <v>0</v>
      </c>
      <c r="AP197" t="b">
        <v>0</v>
      </c>
      <c r="AQ197" t="b">
        <v>0</v>
      </c>
      <c r="AR197" t="b">
        <v>0</v>
      </c>
      <c r="AS197" t="b">
        <v>0</v>
      </c>
      <c r="AT197" t="b">
        <v>0</v>
      </c>
      <c r="AU197" t="b">
        <v>1</v>
      </c>
      <c r="AV197" t="b">
        <v>1</v>
      </c>
      <c r="AW197" t="b">
        <v>1</v>
      </c>
      <c r="AX197" t="b">
        <v>1</v>
      </c>
      <c r="AY197" t="b">
        <v>1</v>
      </c>
      <c r="AZ197" t="b">
        <v>1</v>
      </c>
      <c r="BA197" t="b">
        <v>1</v>
      </c>
      <c r="BB197" t="b">
        <v>1</v>
      </c>
      <c r="BC197" t="b">
        <v>1</v>
      </c>
      <c r="BD197" t="b">
        <v>0</v>
      </c>
      <c r="BE197" t="b">
        <v>0</v>
      </c>
      <c r="BF197" t="b">
        <v>0</v>
      </c>
      <c r="BG197" t="b">
        <v>0</v>
      </c>
      <c r="BH197" t="b">
        <v>0</v>
      </c>
      <c r="BI197" t="b">
        <v>0</v>
      </c>
      <c r="BJ197" t="b">
        <v>0</v>
      </c>
      <c r="BK197" t="b">
        <v>0</v>
      </c>
      <c r="BL197" t="b">
        <v>0</v>
      </c>
      <c r="BM197" t="b">
        <v>0</v>
      </c>
      <c r="BN197" t="b">
        <v>0</v>
      </c>
      <c r="BO197" t="b">
        <v>0</v>
      </c>
      <c r="BP197" t="b">
        <v>0</v>
      </c>
      <c r="BQ197" t="b">
        <v>0</v>
      </c>
      <c r="BR197" t="b">
        <v>0</v>
      </c>
      <c r="BS197" t="b">
        <v>0</v>
      </c>
      <c r="BT197" t="b">
        <v>0</v>
      </c>
      <c r="BU197" t="b">
        <v>0</v>
      </c>
      <c r="BV197" t="b">
        <v>0</v>
      </c>
      <c r="BW197" t="b">
        <v>0</v>
      </c>
      <c r="BX197" t="b">
        <v>0</v>
      </c>
      <c r="BY197" t="b">
        <v>0</v>
      </c>
      <c r="BZ197" t="b">
        <v>0</v>
      </c>
      <c r="CA197" t="b">
        <v>0</v>
      </c>
      <c r="CB197" t="b">
        <v>0</v>
      </c>
      <c r="CC197" t="s">
        <v>1512</v>
      </c>
      <c r="CD197" t="s">
        <v>1492</v>
      </c>
      <c r="CE197" t="s">
        <v>1518</v>
      </c>
      <c r="CF197" t="s">
        <v>1495</v>
      </c>
      <c r="CG197" t="b">
        <v>1</v>
      </c>
      <c r="CH197">
        <v>0</v>
      </c>
      <c r="CI197" t="s">
        <v>1877</v>
      </c>
      <c r="CJ197" t="s">
        <v>1878</v>
      </c>
      <c r="CK197" t="s">
        <v>1251</v>
      </c>
      <c r="CL197" t="s">
        <v>1880</v>
      </c>
    </row>
    <row r="198" spans="1:90">
      <c r="A198">
        <v>376</v>
      </c>
      <c r="B198">
        <v>532</v>
      </c>
      <c r="C198" t="s">
        <v>1250</v>
      </c>
      <c r="D198">
        <v>1</v>
      </c>
      <c r="E198" t="s">
        <v>1492</v>
      </c>
      <c r="F198">
        <v>10</v>
      </c>
      <c r="G198">
        <v>1</v>
      </c>
      <c r="H198">
        <v>2</v>
      </c>
      <c r="I198" t="s">
        <v>286</v>
      </c>
      <c r="J198" t="s">
        <v>1297</v>
      </c>
      <c r="K198" t="s">
        <v>15</v>
      </c>
      <c r="L198" t="s">
        <v>1511</v>
      </c>
      <c r="M198" t="s">
        <v>1576</v>
      </c>
      <c r="N198" t="s">
        <v>1492</v>
      </c>
      <c r="O198" t="s">
        <v>1302</v>
      </c>
      <c r="P198" t="s">
        <v>1379</v>
      </c>
      <c r="Q198" t="s">
        <v>1302</v>
      </c>
      <c r="R198" t="s">
        <v>1379</v>
      </c>
      <c r="S198" t="s">
        <v>1302</v>
      </c>
      <c r="T198" t="s">
        <v>1379</v>
      </c>
      <c r="U198" t="s">
        <v>1302</v>
      </c>
      <c r="V198" t="s">
        <v>1379</v>
      </c>
      <c r="W198" t="s">
        <v>1302</v>
      </c>
      <c r="X198" t="s">
        <v>1372</v>
      </c>
      <c r="Y198" t="s">
        <v>1257</v>
      </c>
      <c r="Z198" t="s">
        <v>1257</v>
      </c>
      <c r="AA198" t="s">
        <v>1257</v>
      </c>
      <c r="AB198" t="s">
        <v>1257</v>
      </c>
      <c r="AC198" t="b">
        <v>0</v>
      </c>
      <c r="AD198" t="b">
        <v>0</v>
      </c>
      <c r="AE198" t="b">
        <v>0</v>
      </c>
      <c r="AF198" t="b">
        <v>0</v>
      </c>
      <c r="AG198" t="b">
        <v>0</v>
      </c>
      <c r="AH198" t="b">
        <v>0</v>
      </c>
      <c r="AI198" t="b">
        <v>0</v>
      </c>
      <c r="AJ198" t="b">
        <v>1</v>
      </c>
      <c r="AK198" t="b">
        <v>1</v>
      </c>
      <c r="AL198" t="b">
        <v>1</v>
      </c>
      <c r="AM198" t="b">
        <v>1</v>
      </c>
      <c r="AN198" t="b">
        <v>1</v>
      </c>
      <c r="AO198" t="b">
        <v>1</v>
      </c>
      <c r="AP198" t="b">
        <v>1</v>
      </c>
      <c r="AQ198" t="b">
        <v>1</v>
      </c>
      <c r="AR198" t="b">
        <v>0</v>
      </c>
      <c r="AS198" t="b">
        <v>0</v>
      </c>
      <c r="AT198" t="b">
        <v>1</v>
      </c>
      <c r="AU198" t="b">
        <v>1</v>
      </c>
      <c r="AV198" t="b">
        <v>1</v>
      </c>
      <c r="AW198" t="b">
        <v>1</v>
      </c>
      <c r="AX198" t="b">
        <v>1</v>
      </c>
      <c r="AY198" t="b">
        <v>1</v>
      </c>
      <c r="AZ198" t="b">
        <v>0</v>
      </c>
      <c r="BA198" t="b">
        <v>0</v>
      </c>
      <c r="BB198" t="b">
        <v>0</v>
      </c>
      <c r="BC198" t="b">
        <v>0</v>
      </c>
      <c r="BD198" t="b">
        <v>0</v>
      </c>
      <c r="BE198" t="b">
        <v>0</v>
      </c>
      <c r="BF198" t="b">
        <v>0</v>
      </c>
      <c r="BG198" t="b">
        <v>0</v>
      </c>
      <c r="BH198" t="b">
        <v>0</v>
      </c>
      <c r="BI198" t="b">
        <v>0</v>
      </c>
      <c r="BJ198" t="b">
        <v>0</v>
      </c>
      <c r="BK198" t="b">
        <v>0</v>
      </c>
      <c r="BL198" t="b">
        <v>0</v>
      </c>
      <c r="BM198" t="b">
        <v>0</v>
      </c>
      <c r="BN198" t="b">
        <v>0</v>
      </c>
      <c r="BO198" t="b">
        <v>0</v>
      </c>
      <c r="BP198" t="b">
        <v>0</v>
      </c>
      <c r="BQ198" t="b">
        <v>0</v>
      </c>
      <c r="BR198" t="b">
        <v>0</v>
      </c>
      <c r="BS198" t="b">
        <v>0</v>
      </c>
      <c r="BT198" t="b">
        <v>0</v>
      </c>
      <c r="BU198" t="b">
        <v>0</v>
      </c>
      <c r="BV198" t="b">
        <v>0</v>
      </c>
      <c r="BW198" t="b">
        <v>0</v>
      </c>
      <c r="BX198" t="b">
        <v>0</v>
      </c>
      <c r="BY198" t="b">
        <v>0</v>
      </c>
      <c r="BZ198" t="b">
        <v>0</v>
      </c>
      <c r="CA198" t="b">
        <v>0</v>
      </c>
      <c r="CB198" t="b">
        <v>0</v>
      </c>
      <c r="CC198" t="s">
        <v>1512</v>
      </c>
      <c r="CD198" t="s">
        <v>1492</v>
      </c>
      <c r="CE198" t="s">
        <v>1513</v>
      </c>
      <c r="CF198" t="s">
        <v>1495</v>
      </c>
      <c r="CG198" t="b">
        <v>1</v>
      </c>
      <c r="CH198">
        <v>0</v>
      </c>
      <c r="CI198" t="s">
        <v>1662</v>
      </c>
      <c r="CJ198" t="s">
        <v>1881</v>
      </c>
      <c r="CK198" t="s">
        <v>1251</v>
      </c>
      <c r="CL198" t="s">
        <v>1882</v>
      </c>
    </row>
    <row r="199" spans="1:90">
      <c r="A199">
        <v>375</v>
      </c>
      <c r="B199">
        <v>532</v>
      </c>
      <c r="C199" t="s">
        <v>1250</v>
      </c>
      <c r="D199">
        <v>2</v>
      </c>
      <c r="E199" t="s">
        <v>1492</v>
      </c>
      <c r="F199">
        <v>10</v>
      </c>
      <c r="G199">
        <v>1</v>
      </c>
      <c r="H199">
        <v>2</v>
      </c>
      <c r="I199" t="s">
        <v>286</v>
      </c>
      <c r="J199" t="s">
        <v>1297</v>
      </c>
      <c r="K199" t="s">
        <v>15</v>
      </c>
      <c r="L199" t="s">
        <v>1511</v>
      </c>
      <c r="M199" t="s">
        <v>1576</v>
      </c>
      <c r="N199" t="s">
        <v>1492</v>
      </c>
      <c r="O199" t="s">
        <v>1302</v>
      </c>
      <c r="P199" t="s">
        <v>1379</v>
      </c>
      <c r="Q199" t="s">
        <v>1302</v>
      </c>
      <c r="R199" t="s">
        <v>1379</v>
      </c>
      <c r="S199" t="s">
        <v>1302</v>
      </c>
      <c r="T199" t="s">
        <v>1379</v>
      </c>
      <c r="U199" t="s">
        <v>1302</v>
      </c>
      <c r="V199" t="s">
        <v>1379</v>
      </c>
      <c r="W199" t="s">
        <v>1302</v>
      </c>
      <c r="X199" t="s">
        <v>1372</v>
      </c>
      <c r="Y199" t="s">
        <v>1257</v>
      </c>
      <c r="Z199" t="s">
        <v>1257</v>
      </c>
      <c r="AA199" t="s">
        <v>1257</v>
      </c>
      <c r="AB199" t="s">
        <v>1257</v>
      </c>
      <c r="AC199" t="b">
        <v>0</v>
      </c>
      <c r="AD199" t="b">
        <v>0</v>
      </c>
      <c r="AE199" t="b">
        <v>0</v>
      </c>
      <c r="AF199" t="b">
        <v>0</v>
      </c>
      <c r="AG199" t="b">
        <v>0</v>
      </c>
      <c r="AH199" t="b">
        <v>0</v>
      </c>
      <c r="AI199" t="b">
        <v>0</v>
      </c>
      <c r="AJ199" t="b">
        <v>1</v>
      </c>
      <c r="AK199" t="b">
        <v>1</v>
      </c>
      <c r="AL199" t="b">
        <v>1</v>
      </c>
      <c r="AM199" t="b">
        <v>1</v>
      </c>
      <c r="AN199" t="b">
        <v>1</v>
      </c>
      <c r="AO199" t="b">
        <v>1</v>
      </c>
      <c r="AP199" t="b">
        <v>1</v>
      </c>
      <c r="AQ199" t="b">
        <v>1</v>
      </c>
      <c r="AR199" t="b">
        <v>0</v>
      </c>
      <c r="AS199" t="b">
        <v>0</v>
      </c>
      <c r="AT199" t="b">
        <v>1</v>
      </c>
      <c r="AU199" t="b">
        <v>1</v>
      </c>
      <c r="AV199" t="b">
        <v>1</v>
      </c>
      <c r="AW199" t="b">
        <v>1</v>
      </c>
      <c r="AX199" t="b">
        <v>1</v>
      </c>
      <c r="AY199" t="b">
        <v>1</v>
      </c>
      <c r="AZ199" t="b">
        <v>0</v>
      </c>
      <c r="BA199" t="b">
        <v>0</v>
      </c>
      <c r="BB199" t="b">
        <v>0</v>
      </c>
      <c r="BC199" t="b">
        <v>0</v>
      </c>
      <c r="BD199" t="b">
        <v>0</v>
      </c>
      <c r="BE199" t="b">
        <v>0</v>
      </c>
      <c r="BF199" t="b">
        <v>0</v>
      </c>
      <c r="BG199" t="b">
        <v>0</v>
      </c>
      <c r="BH199" t="b">
        <v>0</v>
      </c>
      <c r="BI199" t="b">
        <v>0</v>
      </c>
      <c r="BJ199" t="b">
        <v>0</v>
      </c>
      <c r="BK199" t="b">
        <v>0</v>
      </c>
      <c r="BL199" t="b">
        <v>0</v>
      </c>
      <c r="BM199" t="b">
        <v>0</v>
      </c>
      <c r="BN199" t="b">
        <v>0</v>
      </c>
      <c r="BO199" t="b">
        <v>0</v>
      </c>
      <c r="BP199" t="b">
        <v>0</v>
      </c>
      <c r="BQ199" t="b">
        <v>0</v>
      </c>
      <c r="BR199" t="b">
        <v>0</v>
      </c>
      <c r="BS199" t="b">
        <v>0</v>
      </c>
      <c r="BT199" t="b">
        <v>0</v>
      </c>
      <c r="BU199" t="b">
        <v>0</v>
      </c>
      <c r="BV199" t="b">
        <v>0</v>
      </c>
      <c r="BW199" t="b">
        <v>0</v>
      </c>
      <c r="BX199" t="b">
        <v>0</v>
      </c>
      <c r="BY199" t="b">
        <v>0</v>
      </c>
      <c r="BZ199" t="b">
        <v>0</v>
      </c>
      <c r="CA199" t="b">
        <v>0</v>
      </c>
      <c r="CB199" t="b">
        <v>0</v>
      </c>
      <c r="CC199" t="s">
        <v>1512</v>
      </c>
      <c r="CD199" t="s">
        <v>1492</v>
      </c>
      <c r="CE199" t="s">
        <v>1513</v>
      </c>
      <c r="CF199" t="s">
        <v>1495</v>
      </c>
      <c r="CG199" t="b">
        <v>1</v>
      </c>
      <c r="CH199">
        <v>0</v>
      </c>
      <c r="CI199" t="s">
        <v>1662</v>
      </c>
      <c r="CJ199" t="s">
        <v>1881</v>
      </c>
      <c r="CK199" t="s">
        <v>1251</v>
      </c>
      <c r="CL199" t="s">
        <v>1883</v>
      </c>
    </row>
    <row r="200" spans="1:90">
      <c r="A200">
        <v>565</v>
      </c>
      <c r="B200">
        <v>100060</v>
      </c>
      <c r="C200" t="s">
        <v>1250</v>
      </c>
      <c r="D200">
        <v>1</v>
      </c>
      <c r="E200" t="s">
        <v>1492</v>
      </c>
      <c r="F200">
        <v>5</v>
      </c>
      <c r="G200">
        <v>1</v>
      </c>
      <c r="H200">
        <v>2</v>
      </c>
      <c r="I200" t="s">
        <v>1492</v>
      </c>
      <c r="J200" t="s">
        <v>1297</v>
      </c>
      <c r="K200" t="s">
        <v>16</v>
      </c>
      <c r="L200" t="s">
        <v>1492</v>
      </c>
      <c r="M200" t="s">
        <v>1576</v>
      </c>
      <c r="N200" t="s">
        <v>1492</v>
      </c>
      <c r="O200" t="s">
        <v>1302</v>
      </c>
      <c r="P200" t="s">
        <v>1379</v>
      </c>
      <c r="Q200" t="s">
        <v>1302</v>
      </c>
      <c r="R200" t="s">
        <v>1379</v>
      </c>
      <c r="S200" t="s">
        <v>1302</v>
      </c>
      <c r="T200" t="s">
        <v>1379</v>
      </c>
      <c r="U200" t="s">
        <v>1302</v>
      </c>
      <c r="V200" t="s">
        <v>1379</v>
      </c>
      <c r="W200" t="s">
        <v>1302</v>
      </c>
      <c r="X200" t="s">
        <v>1372</v>
      </c>
      <c r="Y200" t="s">
        <v>1257</v>
      </c>
      <c r="Z200" t="s">
        <v>1257</v>
      </c>
      <c r="AA200" t="s">
        <v>1257</v>
      </c>
      <c r="AB200" t="s">
        <v>1257</v>
      </c>
      <c r="AC200" t="b">
        <v>0</v>
      </c>
      <c r="AD200" t="b">
        <v>0</v>
      </c>
      <c r="AE200" t="b">
        <v>0</v>
      </c>
      <c r="AF200" t="b">
        <v>0</v>
      </c>
      <c r="AG200" t="b">
        <v>0</v>
      </c>
      <c r="AH200" t="b">
        <v>0</v>
      </c>
      <c r="AI200" t="b">
        <v>0</v>
      </c>
      <c r="AJ200" t="b">
        <v>1</v>
      </c>
      <c r="AK200" t="b">
        <v>1</v>
      </c>
      <c r="AL200" t="b">
        <v>1</v>
      </c>
      <c r="AM200" t="b">
        <v>1</v>
      </c>
      <c r="AN200" t="b">
        <v>1</v>
      </c>
      <c r="AO200" t="b">
        <v>1</v>
      </c>
      <c r="AP200" t="b">
        <v>1</v>
      </c>
      <c r="AQ200" t="b">
        <v>1</v>
      </c>
      <c r="AR200" t="b">
        <v>0</v>
      </c>
      <c r="AS200" t="b">
        <v>0</v>
      </c>
      <c r="AT200" t="b">
        <v>1</v>
      </c>
      <c r="AU200" t="b">
        <v>1</v>
      </c>
      <c r="AV200" t="b">
        <v>1</v>
      </c>
      <c r="AW200" t="b">
        <v>1</v>
      </c>
      <c r="AX200" t="b">
        <v>1</v>
      </c>
      <c r="AY200" t="b">
        <v>1</v>
      </c>
      <c r="AZ200" t="b">
        <v>0</v>
      </c>
      <c r="BA200" t="b">
        <v>0</v>
      </c>
      <c r="BB200" t="b">
        <v>0</v>
      </c>
      <c r="BC200" t="b">
        <v>0</v>
      </c>
      <c r="BD200" t="b">
        <v>0</v>
      </c>
      <c r="BE200" t="b">
        <v>0</v>
      </c>
      <c r="BF200" t="b">
        <v>0</v>
      </c>
      <c r="BG200" t="b">
        <v>0</v>
      </c>
      <c r="BH200" t="b">
        <v>0</v>
      </c>
      <c r="BI200" t="b">
        <v>0</v>
      </c>
      <c r="BJ200" t="b">
        <v>0</v>
      </c>
      <c r="BK200" t="b">
        <v>0</v>
      </c>
      <c r="BL200" t="b">
        <v>0</v>
      </c>
      <c r="BM200" t="b">
        <v>0</v>
      </c>
      <c r="BN200" t="b">
        <v>0</v>
      </c>
      <c r="BO200" t="b">
        <v>0</v>
      </c>
      <c r="BP200" t="b">
        <v>0</v>
      </c>
      <c r="BQ200" t="b">
        <v>0</v>
      </c>
      <c r="BR200" t="b">
        <v>0</v>
      </c>
      <c r="BS200" t="b">
        <v>0</v>
      </c>
      <c r="BT200" t="b">
        <v>0</v>
      </c>
      <c r="BU200" t="b">
        <v>0</v>
      </c>
      <c r="BV200" t="b">
        <v>0</v>
      </c>
      <c r="BW200" t="b">
        <v>0</v>
      </c>
      <c r="BX200" t="b">
        <v>0</v>
      </c>
      <c r="BY200" t="b">
        <v>0</v>
      </c>
      <c r="BZ200" t="b">
        <v>0</v>
      </c>
      <c r="CA200" t="b">
        <v>0</v>
      </c>
      <c r="CB200" t="b">
        <v>0</v>
      </c>
      <c r="CC200" t="s">
        <v>1253</v>
      </c>
      <c r="CD200" t="s">
        <v>1492</v>
      </c>
      <c r="CE200" t="s">
        <v>1513</v>
      </c>
      <c r="CF200" t="s">
        <v>1495</v>
      </c>
      <c r="CG200" t="b">
        <v>1</v>
      </c>
      <c r="CH200">
        <v>0</v>
      </c>
      <c r="CI200" t="s">
        <v>1662</v>
      </c>
      <c r="CJ200" t="s">
        <v>1884</v>
      </c>
      <c r="CK200" t="s">
        <v>1251</v>
      </c>
      <c r="CL200" t="s">
        <v>1885</v>
      </c>
    </row>
    <row r="201" spans="1:90">
      <c r="A201">
        <v>566</v>
      </c>
      <c r="B201">
        <v>100060</v>
      </c>
      <c r="C201" t="s">
        <v>1250</v>
      </c>
      <c r="D201">
        <v>2</v>
      </c>
      <c r="E201" t="s">
        <v>1492</v>
      </c>
      <c r="F201">
        <v>5</v>
      </c>
      <c r="G201">
        <v>1</v>
      </c>
      <c r="H201">
        <v>2</v>
      </c>
      <c r="I201" t="s">
        <v>1492</v>
      </c>
      <c r="J201" t="s">
        <v>1297</v>
      </c>
      <c r="K201" t="s">
        <v>16</v>
      </c>
      <c r="L201" t="s">
        <v>1492</v>
      </c>
      <c r="M201" t="s">
        <v>1576</v>
      </c>
      <c r="N201" t="s">
        <v>1492</v>
      </c>
      <c r="O201" t="s">
        <v>1302</v>
      </c>
      <c r="P201" t="s">
        <v>1379</v>
      </c>
      <c r="Q201" t="s">
        <v>1302</v>
      </c>
      <c r="R201" t="s">
        <v>1379</v>
      </c>
      <c r="S201" t="s">
        <v>1302</v>
      </c>
      <c r="T201" t="s">
        <v>1379</v>
      </c>
      <c r="U201" t="s">
        <v>1302</v>
      </c>
      <c r="V201" t="s">
        <v>1379</v>
      </c>
      <c r="W201" t="s">
        <v>1302</v>
      </c>
      <c r="X201" t="s">
        <v>1372</v>
      </c>
      <c r="Y201" t="s">
        <v>1257</v>
      </c>
      <c r="Z201" t="s">
        <v>1257</v>
      </c>
      <c r="AA201" t="s">
        <v>1257</v>
      </c>
      <c r="AB201" t="s">
        <v>1257</v>
      </c>
      <c r="AC201" t="b">
        <v>0</v>
      </c>
      <c r="AD201" t="b">
        <v>0</v>
      </c>
      <c r="AE201" t="b">
        <v>0</v>
      </c>
      <c r="AF201" t="b">
        <v>0</v>
      </c>
      <c r="AG201" t="b">
        <v>0</v>
      </c>
      <c r="AH201" t="b">
        <v>0</v>
      </c>
      <c r="AI201" t="b">
        <v>0</v>
      </c>
      <c r="AJ201" t="b">
        <v>1</v>
      </c>
      <c r="AK201" t="b">
        <v>1</v>
      </c>
      <c r="AL201" t="b">
        <v>1</v>
      </c>
      <c r="AM201" t="b">
        <v>1</v>
      </c>
      <c r="AN201" t="b">
        <v>1</v>
      </c>
      <c r="AO201" t="b">
        <v>1</v>
      </c>
      <c r="AP201" t="b">
        <v>1</v>
      </c>
      <c r="AQ201" t="b">
        <v>1</v>
      </c>
      <c r="AR201" t="b">
        <v>0</v>
      </c>
      <c r="AS201" t="b">
        <v>0</v>
      </c>
      <c r="AT201" t="b">
        <v>1</v>
      </c>
      <c r="AU201" t="b">
        <v>1</v>
      </c>
      <c r="AV201" t="b">
        <v>1</v>
      </c>
      <c r="AW201" t="b">
        <v>1</v>
      </c>
      <c r="AX201" t="b">
        <v>1</v>
      </c>
      <c r="AY201" t="b">
        <v>1</v>
      </c>
      <c r="AZ201" t="b">
        <v>0</v>
      </c>
      <c r="BA201" t="b">
        <v>0</v>
      </c>
      <c r="BB201" t="b">
        <v>0</v>
      </c>
      <c r="BC201" t="b">
        <v>0</v>
      </c>
      <c r="BD201" t="b">
        <v>0</v>
      </c>
      <c r="BE201" t="b">
        <v>0</v>
      </c>
      <c r="BF201" t="b">
        <v>0</v>
      </c>
      <c r="BG201" t="b">
        <v>0</v>
      </c>
      <c r="BH201" t="b">
        <v>0</v>
      </c>
      <c r="BI201" t="b">
        <v>0</v>
      </c>
      <c r="BJ201" t="b">
        <v>0</v>
      </c>
      <c r="BK201" t="b">
        <v>0</v>
      </c>
      <c r="BL201" t="b">
        <v>0</v>
      </c>
      <c r="BM201" t="b">
        <v>0</v>
      </c>
      <c r="BN201" t="b">
        <v>0</v>
      </c>
      <c r="BO201" t="b">
        <v>0</v>
      </c>
      <c r="BP201" t="b">
        <v>0</v>
      </c>
      <c r="BQ201" t="b">
        <v>0</v>
      </c>
      <c r="BR201" t="b">
        <v>0</v>
      </c>
      <c r="BS201" t="b">
        <v>0</v>
      </c>
      <c r="BT201" t="b">
        <v>0</v>
      </c>
      <c r="BU201" t="b">
        <v>0</v>
      </c>
      <c r="BV201" t="b">
        <v>0</v>
      </c>
      <c r="BW201" t="b">
        <v>0</v>
      </c>
      <c r="BX201" t="b">
        <v>0</v>
      </c>
      <c r="BY201" t="b">
        <v>0</v>
      </c>
      <c r="BZ201" t="b">
        <v>0</v>
      </c>
      <c r="CA201" t="b">
        <v>0</v>
      </c>
      <c r="CB201" t="b">
        <v>0</v>
      </c>
      <c r="CC201" t="s">
        <v>1253</v>
      </c>
      <c r="CD201" t="s">
        <v>1492</v>
      </c>
      <c r="CE201" t="s">
        <v>1513</v>
      </c>
      <c r="CF201" t="s">
        <v>1495</v>
      </c>
      <c r="CG201" t="b">
        <v>1</v>
      </c>
      <c r="CH201">
        <v>0</v>
      </c>
      <c r="CI201" t="s">
        <v>1662</v>
      </c>
      <c r="CJ201" t="s">
        <v>1884</v>
      </c>
      <c r="CK201" t="s">
        <v>1251</v>
      </c>
      <c r="CL201" t="s">
        <v>1886</v>
      </c>
    </row>
    <row r="202" spans="1:90">
      <c r="A202">
        <v>380</v>
      </c>
      <c r="B202">
        <v>534</v>
      </c>
      <c r="C202" t="s">
        <v>1250</v>
      </c>
      <c r="D202">
        <v>1</v>
      </c>
      <c r="E202" t="s">
        <v>1492</v>
      </c>
      <c r="F202">
        <v>6</v>
      </c>
      <c r="G202">
        <v>1</v>
      </c>
      <c r="H202">
        <v>2</v>
      </c>
      <c r="I202" t="s">
        <v>1115</v>
      </c>
      <c r="J202" t="s">
        <v>1297</v>
      </c>
      <c r="K202" t="s">
        <v>15</v>
      </c>
      <c r="L202" t="s">
        <v>1511</v>
      </c>
      <c r="M202" t="s">
        <v>1576</v>
      </c>
      <c r="N202" t="s">
        <v>1492</v>
      </c>
      <c r="O202" t="s">
        <v>1302</v>
      </c>
      <c r="P202" t="s">
        <v>1379</v>
      </c>
      <c r="Q202" t="s">
        <v>1302</v>
      </c>
      <c r="R202" t="s">
        <v>1379</v>
      </c>
      <c r="S202" t="s">
        <v>1302</v>
      </c>
      <c r="T202" t="s">
        <v>1379</v>
      </c>
      <c r="U202" t="s">
        <v>1302</v>
      </c>
      <c r="V202" t="s">
        <v>1379</v>
      </c>
      <c r="W202" t="s">
        <v>1302</v>
      </c>
      <c r="X202" t="s">
        <v>1372</v>
      </c>
      <c r="Y202" t="s">
        <v>1257</v>
      </c>
      <c r="Z202" t="s">
        <v>1257</v>
      </c>
      <c r="AA202" t="s">
        <v>1257</v>
      </c>
      <c r="AB202" t="s">
        <v>1257</v>
      </c>
      <c r="AC202" t="b">
        <v>0</v>
      </c>
      <c r="AD202" t="b">
        <v>0</v>
      </c>
      <c r="AE202" t="b">
        <v>0</v>
      </c>
      <c r="AF202" t="b">
        <v>0</v>
      </c>
      <c r="AG202" t="b">
        <v>0</v>
      </c>
      <c r="AH202" t="b">
        <v>0</v>
      </c>
      <c r="AI202" t="b">
        <v>0</v>
      </c>
      <c r="AJ202" t="b">
        <v>1</v>
      </c>
      <c r="AK202" t="b">
        <v>1</v>
      </c>
      <c r="AL202" t="b">
        <v>1</v>
      </c>
      <c r="AM202" t="b">
        <v>1</v>
      </c>
      <c r="AN202" t="b">
        <v>1</v>
      </c>
      <c r="AO202" t="b">
        <v>1</v>
      </c>
      <c r="AP202" t="b">
        <v>1</v>
      </c>
      <c r="AQ202" t="b">
        <v>1</v>
      </c>
      <c r="AR202" t="b">
        <v>0</v>
      </c>
      <c r="AS202" t="b">
        <v>0</v>
      </c>
      <c r="AT202" t="b">
        <v>1</v>
      </c>
      <c r="AU202" t="b">
        <v>1</v>
      </c>
      <c r="AV202" t="b">
        <v>1</v>
      </c>
      <c r="AW202" t="b">
        <v>1</v>
      </c>
      <c r="AX202" t="b">
        <v>1</v>
      </c>
      <c r="AY202" t="b">
        <v>1</v>
      </c>
      <c r="AZ202" t="b">
        <v>0</v>
      </c>
      <c r="BA202" t="b">
        <v>0</v>
      </c>
      <c r="BB202" t="b">
        <v>0</v>
      </c>
      <c r="BC202" t="b">
        <v>0</v>
      </c>
      <c r="BD202" t="b">
        <v>0</v>
      </c>
      <c r="BE202" t="b">
        <v>0</v>
      </c>
      <c r="BF202" t="b">
        <v>0</v>
      </c>
      <c r="BG202" t="b">
        <v>0</v>
      </c>
      <c r="BH202" t="b">
        <v>0</v>
      </c>
      <c r="BI202" t="b">
        <v>0</v>
      </c>
      <c r="BJ202" t="b">
        <v>0</v>
      </c>
      <c r="BK202" t="b">
        <v>0</v>
      </c>
      <c r="BL202" t="b">
        <v>0</v>
      </c>
      <c r="BM202" t="b">
        <v>0</v>
      </c>
      <c r="BN202" t="b">
        <v>0</v>
      </c>
      <c r="BO202" t="b">
        <v>0</v>
      </c>
      <c r="BP202" t="b">
        <v>0</v>
      </c>
      <c r="BQ202" t="b">
        <v>0</v>
      </c>
      <c r="BR202" t="b">
        <v>0</v>
      </c>
      <c r="BS202" t="b">
        <v>0</v>
      </c>
      <c r="BT202" t="b">
        <v>0</v>
      </c>
      <c r="BU202" t="b">
        <v>0</v>
      </c>
      <c r="BV202" t="b">
        <v>0</v>
      </c>
      <c r="BW202" t="b">
        <v>0</v>
      </c>
      <c r="BX202" t="b">
        <v>0</v>
      </c>
      <c r="BY202" t="b">
        <v>0</v>
      </c>
      <c r="BZ202" t="b">
        <v>0</v>
      </c>
      <c r="CA202" t="b">
        <v>0</v>
      </c>
      <c r="CB202" t="b">
        <v>0</v>
      </c>
      <c r="CC202" t="s">
        <v>1512</v>
      </c>
      <c r="CD202" t="s">
        <v>1492</v>
      </c>
      <c r="CE202" t="s">
        <v>1513</v>
      </c>
      <c r="CF202" t="s">
        <v>1495</v>
      </c>
      <c r="CG202" t="b">
        <v>1</v>
      </c>
      <c r="CH202">
        <v>0</v>
      </c>
      <c r="CI202" t="s">
        <v>1662</v>
      </c>
      <c r="CJ202" t="s">
        <v>1887</v>
      </c>
      <c r="CK202" t="s">
        <v>1251</v>
      </c>
      <c r="CL202" t="s">
        <v>1888</v>
      </c>
    </row>
    <row r="203" spans="1:90">
      <c r="A203">
        <v>379</v>
      </c>
      <c r="B203">
        <v>534</v>
      </c>
      <c r="C203" t="s">
        <v>1250</v>
      </c>
      <c r="D203">
        <v>2</v>
      </c>
      <c r="E203" t="s">
        <v>1492</v>
      </c>
      <c r="F203">
        <v>6</v>
      </c>
      <c r="G203">
        <v>1</v>
      </c>
      <c r="H203">
        <v>2</v>
      </c>
      <c r="I203" t="s">
        <v>1115</v>
      </c>
      <c r="J203" t="s">
        <v>1297</v>
      </c>
      <c r="K203" t="s">
        <v>15</v>
      </c>
      <c r="L203" t="s">
        <v>1511</v>
      </c>
      <c r="M203" t="s">
        <v>1576</v>
      </c>
      <c r="N203" t="s">
        <v>1492</v>
      </c>
      <c r="O203" t="s">
        <v>1302</v>
      </c>
      <c r="P203" t="s">
        <v>1379</v>
      </c>
      <c r="Q203" t="s">
        <v>1302</v>
      </c>
      <c r="R203" t="s">
        <v>1379</v>
      </c>
      <c r="S203" t="s">
        <v>1302</v>
      </c>
      <c r="T203" t="s">
        <v>1379</v>
      </c>
      <c r="U203" t="s">
        <v>1302</v>
      </c>
      <c r="V203" t="s">
        <v>1379</v>
      </c>
      <c r="W203" t="s">
        <v>1302</v>
      </c>
      <c r="X203" t="s">
        <v>1372</v>
      </c>
      <c r="Y203" t="s">
        <v>1257</v>
      </c>
      <c r="Z203" t="s">
        <v>1257</v>
      </c>
      <c r="AA203" t="s">
        <v>1257</v>
      </c>
      <c r="AB203" t="s">
        <v>1257</v>
      </c>
      <c r="AC203" t="b">
        <v>0</v>
      </c>
      <c r="AD203" t="b">
        <v>0</v>
      </c>
      <c r="AE203" t="b">
        <v>0</v>
      </c>
      <c r="AF203" t="b">
        <v>0</v>
      </c>
      <c r="AG203" t="b">
        <v>0</v>
      </c>
      <c r="AH203" t="b">
        <v>0</v>
      </c>
      <c r="AI203" t="b">
        <v>0</v>
      </c>
      <c r="AJ203" t="b">
        <v>1</v>
      </c>
      <c r="AK203" t="b">
        <v>1</v>
      </c>
      <c r="AL203" t="b">
        <v>1</v>
      </c>
      <c r="AM203" t="b">
        <v>1</v>
      </c>
      <c r="AN203" t="b">
        <v>1</v>
      </c>
      <c r="AO203" t="b">
        <v>1</v>
      </c>
      <c r="AP203" t="b">
        <v>1</v>
      </c>
      <c r="AQ203" t="b">
        <v>1</v>
      </c>
      <c r="AR203" t="b">
        <v>0</v>
      </c>
      <c r="AS203" t="b">
        <v>0</v>
      </c>
      <c r="AT203" t="b">
        <v>1</v>
      </c>
      <c r="AU203" t="b">
        <v>1</v>
      </c>
      <c r="AV203" t="b">
        <v>1</v>
      </c>
      <c r="AW203" t="b">
        <v>1</v>
      </c>
      <c r="AX203" t="b">
        <v>1</v>
      </c>
      <c r="AY203" t="b">
        <v>1</v>
      </c>
      <c r="AZ203" t="b">
        <v>0</v>
      </c>
      <c r="BA203" t="b">
        <v>0</v>
      </c>
      <c r="BB203" t="b">
        <v>0</v>
      </c>
      <c r="BC203" t="b">
        <v>0</v>
      </c>
      <c r="BD203" t="b">
        <v>0</v>
      </c>
      <c r="BE203" t="b">
        <v>0</v>
      </c>
      <c r="BF203" t="b">
        <v>0</v>
      </c>
      <c r="BG203" t="b">
        <v>0</v>
      </c>
      <c r="BH203" t="b">
        <v>0</v>
      </c>
      <c r="BI203" t="b">
        <v>0</v>
      </c>
      <c r="BJ203" t="b">
        <v>0</v>
      </c>
      <c r="BK203" t="b">
        <v>0</v>
      </c>
      <c r="BL203" t="b">
        <v>0</v>
      </c>
      <c r="BM203" t="b">
        <v>0</v>
      </c>
      <c r="BN203" t="b">
        <v>0</v>
      </c>
      <c r="BO203" t="b">
        <v>0</v>
      </c>
      <c r="BP203" t="b">
        <v>0</v>
      </c>
      <c r="BQ203" t="b">
        <v>0</v>
      </c>
      <c r="BR203" t="b">
        <v>0</v>
      </c>
      <c r="BS203" t="b">
        <v>0</v>
      </c>
      <c r="BT203" t="b">
        <v>0</v>
      </c>
      <c r="BU203" t="b">
        <v>0</v>
      </c>
      <c r="BV203" t="b">
        <v>0</v>
      </c>
      <c r="BW203" t="b">
        <v>0</v>
      </c>
      <c r="BX203" t="b">
        <v>0</v>
      </c>
      <c r="BY203" t="b">
        <v>0</v>
      </c>
      <c r="BZ203" t="b">
        <v>0</v>
      </c>
      <c r="CA203" t="b">
        <v>0</v>
      </c>
      <c r="CB203" t="b">
        <v>0</v>
      </c>
      <c r="CC203" t="s">
        <v>1512</v>
      </c>
      <c r="CD203" t="s">
        <v>1492</v>
      </c>
      <c r="CE203" t="s">
        <v>1513</v>
      </c>
      <c r="CF203" t="s">
        <v>1495</v>
      </c>
      <c r="CG203" t="b">
        <v>1</v>
      </c>
      <c r="CH203">
        <v>0</v>
      </c>
      <c r="CI203" t="s">
        <v>1662</v>
      </c>
      <c r="CJ203" t="s">
        <v>1887</v>
      </c>
      <c r="CK203" t="s">
        <v>1251</v>
      </c>
      <c r="CL203" t="s">
        <v>1889</v>
      </c>
    </row>
    <row r="204" spans="1:90">
      <c r="A204">
        <v>567</v>
      </c>
      <c r="B204">
        <v>100061</v>
      </c>
      <c r="C204" t="s">
        <v>1250</v>
      </c>
      <c r="D204">
        <v>1</v>
      </c>
      <c r="E204" t="s">
        <v>1492</v>
      </c>
      <c r="F204">
        <v>5</v>
      </c>
      <c r="G204">
        <v>1</v>
      </c>
      <c r="H204">
        <v>2</v>
      </c>
      <c r="I204" t="s">
        <v>1492</v>
      </c>
      <c r="J204" t="s">
        <v>1297</v>
      </c>
      <c r="K204" t="s">
        <v>16</v>
      </c>
      <c r="L204" t="s">
        <v>1492</v>
      </c>
      <c r="M204" t="s">
        <v>1576</v>
      </c>
      <c r="N204" t="s">
        <v>1492</v>
      </c>
      <c r="O204" t="s">
        <v>1302</v>
      </c>
      <c r="P204" t="s">
        <v>1379</v>
      </c>
      <c r="Q204" t="s">
        <v>1302</v>
      </c>
      <c r="R204" t="s">
        <v>1379</v>
      </c>
      <c r="S204" t="s">
        <v>1302</v>
      </c>
      <c r="T204" t="s">
        <v>1379</v>
      </c>
      <c r="U204" t="s">
        <v>1302</v>
      </c>
      <c r="V204" t="s">
        <v>1379</v>
      </c>
      <c r="W204" t="s">
        <v>1302</v>
      </c>
      <c r="X204" t="s">
        <v>1372</v>
      </c>
      <c r="Y204" t="s">
        <v>1257</v>
      </c>
      <c r="Z204" t="s">
        <v>1257</v>
      </c>
      <c r="AA204" t="s">
        <v>1257</v>
      </c>
      <c r="AB204" t="s">
        <v>1257</v>
      </c>
      <c r="AC204" t="b">
        <v>0</v>
      </c>
      <c r="AD204" t="b">
        <v>0</v>
      </c>
      <c r="AE204" t="b">
        <v>0</v>
      </c>
      <c r="AF204" t="b">
        <v>0</v>
      </c>
      <c r="AG204" t="b">
        <v>0</v>
      </c>
      <c r="AH204" t="b">
        <v>0</v>
      </c>
      <c r="AI204" t="b">
        <v>0</v>
      </c>
      <c r="AJ204" t="b">
        <v>0</v>
      </c>
      <c r="AK204" t="b">
        <v>0</v>
      </c>
      <c r="AL204" t="b">
        <v>0</v>
      </c>
      <c r="AM204" t="b">
        <v>0</v>
      </c>
      <c r="AN204" t="b">
        <v>0</v>
      </c>
      <c r="AO204" t="b">
        <v>0</v>
      </c>
      <c r="AP204" t="b">
        <v>0</v>
      </c>
      <c r="AQ204" t="b">
        <v>0</v>
      </c>
      <c r="AR204" t="b">
        <v>0</v>
      </c>
      <c r="AS204" t="b">
        <v>0</v>
      </c>
      <c r="AT204" t="b">
        <v>0</v>
      </c>
      <c r="AU204" t="b">
        <v>0</v>
      </c>
      <c r="AV204" t="b">
        <v>0</v>
      </c>
      <c r="AW204" t="b">
        <v>0</v>
      </c>
      <c r="AX204" t="b">
        <v>0</v>
      </c>
      <c r="AY204" t="b">
        <v>0</v>
      </c>
      <c r="AZ204" t="b">
        <v>0</v>
      </c>
      <c r="BA204" t="b">
        <v>0</v>
      </c>
      <c r="BB204" t="b">
        <v>0</v>
      </c>
      <c r="BC204" t="b">
        <v>0</v>
      </c>
      <c r="BD204" t="b">
        <v>0</v>
      </c>
      <c r="BE204" t="b">
        <v>0</v>
      </c>
      <c r="BF204" t="b">
        <v>0</v>
      </c>
      <c r="BG204" t="b">
        <v>0</v>
      </c>
      <c r="BH204" t="b">
        <v>0</v>
      </c>
      <c r="BI204" t="b">
        <v>0</v>
      </c>
      <c r="BJ204" t="b">
        <v>0</v>
      </c>
      <c r="BK204" t="b">
        <v>0</v>
      </c>
      <c r="BL204" t="b">
        <v>0</v>
      </c>
      <c r="BM204" t="b">
        <v>0</v>
      </c>
      <c r="BN204" t="b">
        <v>0</v>
      </c>
      <c r="BO204" t="b">
        <v>0</v>
      </c>
      <c r="BP204" t="b">
        <v>0</v>
      </c>
      <c r="BQ204" t="b">
        <v>0</v>
      </c>
      <c r="BR204" t="b">
        <v>0</v>
      </c>
      <c r="BS204" t="b">
        <v>0</v>
      </c>
      <c r="BT204" t="b">
        <v>0</v>
      </c>
      <c r="BU204" t="b">
        <v>0</v>
      </c>
      <c r="BV204" t="b">
        <v>0</v>
      </c>
      <c r="BW204" t="b">
        <v>0</v>
      </c>
      <c r="BX204" t="b">
        <v>0</v>
      </c>
      <c r="BY204" t="b">
        <v>0</v>
      </c>
      <c r="BZ204" t="b">
        <v>0</v>
      </c>
      <c r="CA204" t="b">
        <v>0</v>
      </c>
      <c r="CB204" t="b">
        <v>0</v>
      </c>
      <c r="CC204" t="s">
        <v>1253</v>
      </c>
      <c r="CD204" t="s">
        <v>1492</v>
      </c>
      <c r="CE204" t="s">
        <v>1513</v>
      </c>
      <c r="CF204" t="s">
        <v>1495</v>
      </c>
      <c r="CG204" t="b">
        <v>1</v>
      </c>
      <c r="CH204">
        <v>0</v>
      </c>
      <c r="CI204" t="s">
        <v>1662</v>
      </c>
      <c r="CJ204" t="s">
        <v>1890</v>
      </c>
      <c r="CK204" t="s">
        <v>1251</v>
      </c>
      <c r="CL204" t="s">
        <v>1891</v>
      </c>
    </row>
    <row r="205" spans="1:90">
      <c r="A205">
        <v>568</v>
      </c>
      <c r="B205">
        <v>100061</v>
      </c>
      <c r="C205" t="s">
        <v>1250</v>
      </c>
      <c r="D205">
        <v>2</v>
      </c>
      <c r="E205" t="s">
        <v>1492</v>
      </c>
      <c r="F205">
        <v>5</v>
      </c>
      <c r="G205">
        <v>1</v>
      </c>
      <c r="H205">
        <v>2</v>
      </c>
      <c r="I205" t="s">
        <v>1492</v>
      </c>
      <c r="J205" t="s">
        <v>1297</v>
      </c>
      <c r="K205" t="s">
        <v>16</v>
      </c>
      <c r="L205" t="s">
        <v>1492</v>
      </c>
      <c r="M205" t="s">
        <v>1576</v>
      </c>
      <c r="N205" t="s">
        <v>1492</v>
      </c>
      <c r="O205" t="s">
        <v>1293</v>
      </c>
      <c r="P205" t="s">
        <v>1379</v>
      </c>
      <c r="Q205" t="s">
        <v>1302</v>
      </c>
      <c r="R205" t="s">
        <v>1379</v>
      </c>
      <c r="S205" t="s">
        <v>1302</v>
      </c>
      <c r="T205" t="s">
        <v>1379</v>
      </c>
      <c r="U205" t="s">
        <v>1302</v>
      </c>
      <c r="V205" t="s">
        <v>1379</v>
      </c>
      <c r="W205" t="s">
        <v>1302</v>
      </c>
      <c r="X205" t="s">
        <v>1372</v>
      </c>
      <c r="Y205" t="s">
        <v>1257</v>
      </c>
      <c r="Z205" t="s">
        <v>1257</v>
      </c>
      <c r="AA205" t="s">
        <v>1257</v>
      </c>
      <c r="AB205" t="s">
        <v>1257</v>
      </c>
      <c r="AC205" t="b">
        <v>0</v>
      </c>
      <c r="AD205" t="b">
        <v>0</v>
      </c>
      <c r="AE205" t="b">
        <v>0</v>
      </c>
      <c r="AF205" t="b">
        <v>0</v>
      </c>
      <c r="AG205" t="b">
        <v>0</v>
      </c>
      <c r="AH205" t="b">
        <v>0</v>
      </c>
      <c r="AI205" t="b">
        <v>0</v>
      </c>
      <c r="AJ205" t="b">
        <v>0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t="b">
        <v>0</v>
      </c>
      <c r="AS205" t="b">
        <v>0</v>
      </c>
      <c r="AT205" t="b">
        <v>0</v>
      </c>
      <c r="AU205" t="b">
        <v>0</v>
      </c>
      <c r="AV205" t="b">
        <v>0</v>
      </c>
      <c r="AW205" t="b">
        <v>0</v>
      </c>
      <c r="AX205" t="b">
        <v>0</v>
      </c>
      <c r="AY205" t="b">
        <v>0</v>
      </c>
      <c r="AZ205" t="b">
        <v>0</v>
      </c>
      <c r="BA205" t="b">
        <v>0</v>
      </c>
      <c r="BB205" t="b">
        <v>0</v>
      </c>
      <c r="BC205" t="b">
        <v>0</v>
      </c>
      <c r="BD205" t="b">
        <v>0</v>
      </c>
      <c r="BE205" t="b">
        <v>0</v>
      </c>
      <c r="BF205" t="b">
        <v>0</v>
      </c>
      <c r="BG205" t="b">
        <v>0</v>
      </c>
      <c r="BH205" t="b">
        <v>0</v>
      </c>
      <c r="BI205" t="b">
        <v>0</v>
      </c>
      <c r="BJ205" t="b">
        <v>0</v>
      </c>
      <c r="BK205" t="b">
        <v>0</v>
      </c>
      <c r="BL205" t="b">
        <v>0</v>
      </c>
      <c r="BM205" t="b">
        <v>0</v>
      </c>
      <c r="BN205" t="b">
        <v>0</v>
      </c>
      <c r="BO205" t="b">
        <v>0</v>
      </c>
      <c r="BP205" t="b">
        <v>0</v>
      </c>
      <c r="BQ205" t="b">
        <v>0</v>
      </c>
      <c r="BR205" t="b">
        <v>0</v>
      </c>
      <c r="BS205" t="b">
        <v>0</v>
      </c>
      <c r="BT205" t="b">
        <v>0</v>
      </c>
      <c r="BU205" t="b">
        <v>0</v>
      </c>
      <c r="BV205" t="b">
        <v>0</v>
      </c>
      <c r="BW205" t="b">
        <v>0</v>
      </c>
      <c r="BX205" t="b">
        <v>0</v>
      </c>
      <c r="BY205" t="b">
        <v>0</v>
      </c>
      <c r="BZ205" t="b">
        <v>0</v>
      </c>
      <c r="CA205" t="b">
        <v>0</v>
      </c>
      <c r="CB205" t="b">
        <v>0</v>
      </c>
      <c r="CC205" t="s">
        <v>1253</v>
      </c>
      <c r="CD205" t="s">
        <v>1492</v>
      </c>
      <c r="CE205" t="s">
        <v>1513</v>
      </c>
      <c r="CF205" t="s">
        <v>1495</v>
      </c>
      <c r="CG205" t="b">
        <v>1</v>
      </c>
      <c r="CH205">
        <v>0</v>
      </c>
      <c r="CI205" t="s">
        <v>1662</v>
      </c>
      <c r="CJ205" t="s">
        <v>1890</v>
      </c>
      <c r="CK205" t="s">
        <v>1251</v>
      </c>
      <c r="CL205" t="s">
        <v>1892</v>
      </c>
    </row>
    <row r="206" spans="1:90">
      <c r="A206">
        <v>381</v>
      </c>
      <c r="B206">
        <v>535</v>
      </c>
      <c r="C206" t="s">
        <v>1250</v>
      </c>
      <c r="D206">
        <v>1</v>
      </c>
      <c r="E206" t="s">
        <v>1492</v>
      </c>
      <c r="F206">
        <v>1</v>
      </c>
      <c r="G206">
        <v>1</v>
      </c>
      <c r="H206">
        <v>2</v>
      </c>
      <c r="I206" t="s">
        <v>286</v>
      </c>
      <c r="J206" t="s">
        <v>1297</v>
      </c>
      <c r="K206" t="s">
        <v>15</v>
      </c>
      <c r="L206" t="s">
        <v>1511</v>
      </c>
      <c r="M206" t="s">
        <v>1576</v>
      </c>
      <c r="N206" t="s">
        <v>1492</v>
      </c>
      <c r="O206" t="s">
        <v>1302</v>
      </c>
      <c r="P206" t="s">
        <v>1379</v>
      </c>
      <c r="Q206" t="s">
        <v>1302</v>
      </c>
      <c r="R206" t="s">
        <v>1379</v>
      </c>
      <c r="S206" t="s">
        <v>1302</v>
      </c>
      <c r="T206" t="s">
        <v>1379</v>
      </c>
      <c r="U206" t="s">
        <v>1302</v>
      </c>
      <c r="V206" t="s">
        <v>1379</v>
      </c>
      <c r="W206" t="s">
        <v>1302</v>
      </c>
      <c r="X206" t="s">
        <v>1372</v>
      </c>
      <c r="Y206" t="s">
        <v>1257</v>
      </c>
      <c r="Z206" t="s">
        <v>1257</v>
      </c>
      <c r="AA206" t="s">
        <v>1257</v>
      </c>
      <c r="AB206" t="s">
        <v>1257</v>
      </c>
      <c r="AC206" t="b">
        <v>0</v>
      </c>
      <c r="AD206" t="b">
        <v>0</v>
      </c>
      <c r="AE206" t="b">
        <v>0</v>
      </c>
      <c r="AF206" t="b">
        <v>0</v>
      </c>
      <c r="AG206" t="b">
        <v>0</v>
      </c>
      <c r="AH206" t="b">
        <v>0</v>
      </c>
      <c r="AI206" t="b">
        <v>0</v>
      </c>
      <c r="AJ206" t="b">
        <v>0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t="b">
        <v>0</v>
      </c>
      <c r="AS206" t="b">
        <v>0</v>
      </c>
      <c r="AT206" t="b">
        <v>0</v>
      </c>
      <c r="AU206" t="b">
        <v>0</v>
      </c>
      <c r="AV206" t="b">
        <v>0</v>
      </c>
      <c r="AW206" t="b">
        <v>0</v>
      </c>
      <c r="AX206" t="b">
        <v>0</v>
      </c>
      <c r="AY206" t="b">
        <v>0</v>
      </c>
      <c r="AZ206" t="b">
        <v>0</v>
      </c>
      <c r="BA206" t="b">
        <v>0</v>
      </c>
      <c r="BB206" t="b">
        <v>0</v>
      </c>
      <c r="BC206" t="b">
        <v>0</v>
      </c>
      <c r="BD206" t="b">
        <v>0</v>
      </c>
      <c r="BE206" t="b">
        <v>0</v>
      </c>
      <c r="BF206" t="b">
        <v>1</v>
      </c>
      <c r="BG206" t="b">
        <v>1</v>
      </c>
      <c r="BH206" t="b">
        <v>1</v>
      </c>
      <c r="BI206" t="b">
        <v>1</v>
      </c>
      <c r="BJ206" t="b">
        <v>1</v>
      </c>
      <c r="BK206" t="b">
        <v>1</v>
      </c>
      <c r="BL206" t="b">
        <v>1</v>
      </c>
      <c r="BM206" t="b">
        <v>1</v>
      </c>
      <c r="BN206" t="b">
        <v>1</v>
      </c>
      <c r="BO206" t="b">
        <v>1</v>
      </c>
      <c r="BP206" t="b">
        <v>0</v>
      </c>
      <c r="BQ206" t="b">
        <v>0</v>
      </c>
      <c r="BR206" t="b">
        <v>1</v>
      </c>
      <c r="BS206" t="b">
        <v>1</v>
      </c>
      <c r="BT206" t="b">
        <v>1</v>
      </c>
      <c r="BU206" t="b">
        <v>1</v>
      </c>
      <c r="BV206" t="b">
        <v>0</v>
      </c>
      <c r="BW206" t="b">
        <v>0</v>
      </c>
      <c r="BX206" t="b">
        <v>0</v>
      </c>
      <c r="BY206" t="b">
        <v>0</v>
      </c>
      <c r="BZ206" t="b">
        <v>0</v>
      </c>
      <c r="CA206" t="b">
        <v>0</v>
      </c>
      <c r="CB206" t="b">
        <v>0</v>
      </c>
      <c r="CC206" t="s">
        <v>1512</v>
      </c>
      <c r="CD206" t="s">
        <v>1492</v>
      </c>
      <c r="CE206" t="s">
        <v>1518</v>
      </c>
      <c r="CF206" t="s">
        <v>1495</v>
      </c>
      <c r="CG206" t="b">
        <v>1</v>
      </c>
      <c r="CH206">
        <v>0</v>
      </c>
      <c r="CI206" t="s">
        <v>1662</v>
      </c>
      <c r="CJ206" t="s">
        <v>1893</v>
      </c>
      <c r="CK206" t="s">
        <v>1251</v>
      </c>
      <c r="CL206" t="s">
        <v>1894</v>
      </c>
    </row>
    <row r="207" spans="1:90">
      <c r="A207">
        <v>382</v>
      </c>
      <c r="B207">
        <v>535</v>
      </c>
      <c r="C207" t="s">
        <v>1250</v>
      </c>
      <c r="D207">
        <v>2</v>
      </c>
      <c r="E207" t="s">
        <v>1492</v>
      </c>
      <c r="F207">
        <v>1</v>
      </c>
      <c r="G207">
        <v>1</v>
      </c>
      <c r="H207">
        <v>2</v>
      </c>
      <c r="I207" t="s">
        <v>286</v>
      </c>
      <c r="J207" t="s">
        <v>1297</v>
      </c>
      <c r="K207" t="s">
        <v>15</v>
      </c>
      <c r="L207" t="s">
        <v>1511</v>
      </c>
      <c r="M207" t="s">
        <v>1576</v>
      </c>
      <c r="N207" t="s">
        <v>1492</v>
      </c>
      <c r="O207" t="s">
        <v>1302</v>
      </c>
      <c r="P207" t="s">
        <v>1379</v>
      </c>
      <c r="Q207" t="s">
        <v>1302</v>
      </c>
      <c r="R207" t="s">
        <v>1379</v>
      </c>
      <c r="S207" t="s">
        <v>1302</v>
      </c>
      <c r="T207" t="s">
        <v>1379</v>
      </c>
      <c r="U207" t="s">
        <v>1302</v>
      </c>
      <c r="V207" t="s">
        <v>1379</v>
      </c>
      <c r="W207" t="s">
        <v>1302</v>
      </c>
      <c r="X207" t="s">
        <v>1372</v>
      </c>
      <c r="Y207" t="s">
        <v>1257</v>
      </c>
      <c r="Z207" t="s">
        <v>1257</v>
      </c>
      <c r="AA207" t="s">
        <v>1257</v>
      </c>
      <c r="AB207" t="s">
        <v>1257</v>
      </c>
      <c r="AC207" t="b">
        <v>0</v>
      </c>
      <c r="AD207" t="b">
        <v>0</v>
      </c>
      <c r="AE207" t="b">
        <v>0</v>
      </c>
      <c r="AF207" t="b">
        <v>0</v>
      </c>
      <c r="AG207" t="b">
        <v>0</v>
      </c>
      <c r="AH207" t="b">
        <v>0</v>
      </c>
      <c r="AI207" t="b">
        <v>0</v>
      </c>
      <c r="AJ207" t="b">
        <v>0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t="b">
        <v>0</v>
      </c>
      <c r="AS207" t="b">
        <v>0</v>
      </c>
      <c r="AT207" t="b">
        <v>0</v>
      </c>
      <c r="AU207" t="b">
        <v>0</v>
      </c>
      <c r="AV207" t="b">
        <v>0</v>
      </c>
      <c r="AW207" t="b">
        <v>0</v>
      </c>
      <c r="AX207" t="b">
        <v>0</v>
      </c>
      <c r="AY207" t="b">
        <v>0</v>
      </c>
      <c r="AZ207" t="b">
        <v>0</v>
      </c>
      <c r="BA207" t="b">
        <v>0</v>
      </c>
      <c r="BB207" t="b">
        <v>0</v>
      </c>
      <c r="BC207" t="b">
        <v>0</v>
      </c>
      <c r="BD207" t="b">
        <v>0</v>
      </c>
      <c r="BE207" t="b">
        <v>0</v>
      </c>
      <c r="BF207" t="b">
        <v>1</v>
      </c>
      <c r="BG207" t="b">
        <v>1</v>
      </c>
      <c r="BH207" t="b">
        <v>1</v>
      </c>
      <c r="BI207" t="b">
        <v>1</v>
      </c>
      <c r="BJ207" t="b">
        <v>1</v>
      </c>
      <c r="BK207" t="b">
        <v>1</v>
      </c>
      <c r="BL207" t="b">
        <v>1</v>
      </c>
      <c r="BM207" t="b">
        <v>1</v>
      </c>
      <c r="BN207" t="b">
        <v>1</v>
      </c>
      <c r="BO207" t="b">
        <v>1</v>
      </c>
      <c r="BP207" t="b">
        <v>0</v>
      </c>
      <c r="BQ207" t="b">
        <v>0</v>
      </c>
      <c r="BR207" t="b">
        <v>1</v>
      </c>
      <c r="BS207" t="b">
        <v>1</v>
      </c>
      <c r="BT207" t="b">
        <v>1</v>
      </c>
      <c r="BU207" t="b">
        <v>1</v>
      </c>
      <c r="BV207" t="b">
        <v>0</v>
      </c>
      <c r="BW207" t="b">
        <v>0</v>
      </c>
      <c r="BX207" t="b">
        <v>0</v>
      </c>
      <c r="BY207" t="b">
        <v>0</v>
      </c>
      <c r="BZ207" t="b">
        <v>0</v>
      </c>
      <c r="CA207" t="b">
        <v>0</v>
      </c>
      <c r="CB207" t="b">
        <v>0</v>
      </c>
      <c r="CC207" t="s">
        <v>1512</v>
      </c>
      <c r="CD207" t="s">
        <v>1492</v>
      </c>
      <c r="CE207" t="s">
        <v>1518</v>
      </c>
      <c r="CF207" t="s">
        <v>1495</v>
      </c>
      <c r="CG207" t="b">
        <v>1</v>
      </c>
      <c r="CH207">
        <v>0</v>
      </c>
      <c r="CI207" t="s">
        <v>1662</v>
      </c>
      <c r="CJ207" t="s">
        <v>1893</v>
      </c>
      <c r="CK207" t="s">
        <v>1251</v>
      </c>
      <c r="CL207" t="s">
        <v>1895</v>
      </c>
    </row>
    <row r="208" spans="1:90">
      <c r="A208">
        <v>569</v>
      </c>
      <c r="B208">
        <v>100062</v>
      </c>
      <c r="C208" t="s">
        <v>1250</v>
      </c>
      <c r="D208">
        <v>1</v>
      </c>
      <c r="E208" t="s">
        <v>1492</v>
      </c>
      <c r="F208">
        <v>5</v>
      </c>
      <c r="G208">
        <v>1</v>
      </c>
      <c r="H208">
        <v>2</v>
      </c>
      <c r="I208" t="s">
        <v>1492</v>
      </c>
      <c r="J208" t="s">
        <v>1297</v>
      </c>
      <c r="K208" t="s">
        <v>16</v>
      </c>
      <c r="L208" t="s">
        <v>1492</v>
      </c>
      <c r="M208" t="s">
        <v>1576</v>
      </c>
      <c r="N208" t="s">
        <v>1492</v>
      </c>
      <c r="O208" t="s">
        <v>1302</v>
      </c>
      <c r="P208" t="s">
        <v>1379</v>
      </c>
      <c r="Q208" t="s">
        <v>1302</v>
      </c>
      <c r="R208" t="s">
        <v>1379</v>
      </c>
      <c r="S208" t="s">
        <v>1302</v>
      </c>
      <c r="T208" t="s">
        <v>1379</v>
      </c>
      <c r="U208" t="s">
        <v>1302</v>
      </c>
      <c r="V208" t="s">
        <v>1379</v>
      </c>
      <c r="W208" t="s">
        <v>1302</v>
      </c>
      <c r="X208" t="s">
        <v>1379</v>
      </c>
      <c r="Y208" t="s">
        <v>1257</v>
      </c>
      <c r="Z208" t="s">
        <v>1257</v>
      </c>
      <c r="AA208" t="s">
        <v>1257</v>
      </c>
      <c r="AB208" t="s">
        <v>1257</v>
      </c>
      <c r="AC208" t="b">
        <v>0</v>
      </c>
      <c r="AD208" t="b">
        <v>0</v>
      </c>
      <c r="AE208" t="b">
        <v>0</v>
      </c>
      <c r="AF208" t="b">
        <v>0</v>
      </c>
      <c r="AG208" t="b">
        <v>0</v>
      </c>
      <c r="AH208" t="b">
        <v>0</v>
      </c>
      <c r="AI208" t="b">
        <v>0</v>
      </c>
      <c r="AJ208" t="b">
        <v>0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t="b">
        <v>0</v>
      </c>
      <c r="AS208" t="b">
        <v>0</v>
      </c>
      <c r="AT208" t="b">
        <v>0</v>
      </c>
      <c r="AU208" t="b">
        <v>0</v>
      </c>
      <c r="AV208" t="b">
        <v>0</v>
      </c>
      <c r="AW208" t="b">
        <v>0</v>
      </c>
      <c r="AX208" t="b">
        <v>0</v>
      </c>
      <c r="AY208" t="b">
        <v>0</v>
      </c>
      <c r="AZ208" t="b">
        <v>0</v>
      </c>
      <c r="BA208" t="b">
        <v>0</v>
      </c>
      <c r="BB208" t="b">
        <v>0</v>
      </c>
      <c r="BC208" t="b">
        <v>0</v>
      </c>
      <c r="BD208" t="b">
        <v>0</v>
      </c>
      <c r="BE208" t="b">
        <v>0</v>
      </c>
      <c r="BF208" t="b">
        <v>1</v>
      </c>
      <c r="BG208" t="b">
        <v>1</v>
      </c>
      <c r="BH208" t="b">
        <v>1</v>
      </c>
      <c r="BI208" t="b">
        <v>1</v>
      </c>
      <c r="BJ208" t="b">
        <v>1</v>
      </c>
      <c r="BK208" t="b">
        <v>1</v>
      </c>
      <c r="BL208" t="b">
        <v>1</v>
      </c>
      <c r="BM208" t="b">
        <v>1</v>
      </c>
      <c r="BN208" t="b">
        <v>1</v>
      </c>
      <c r="BO208" t="b">
        <v>1</v>
      </c>
      <c r="BP208" t="b">
        <v>0</v>
      </c>
      <c r="BQ208" t="b">
        <v>0</v>
      </c>
      <c r="BR208" t="b">
        <v>1</v>
      </c>
      <c r="BS208" t="b">
        <v>1</v>
      </c>
      <c r="BT208" t="b">
        <v>1</v>
      </c>
      <c r="BU208" t="b">
        <v>1</v>
      </c>
      <c r="BV208" t="b">
        <v>0</v>
      </c>
      <c r="BW208" t="b">
        <v>0</v>
      </c>
      <c r="BX208" t="b">
        <v>0</v>
      </c>
      <c r="BY208" t="b">
        <v>0</v>
      </c>
      <c r="BZ208" t="b">
        <v>0</v>
      </c>
      <c r="CA208" t="b">
        <v>0</v>
      </c>
      <c r="CB208" t="b">
        <v>0</v>
      </c>
      <c r="CC208" t="s">
        <v>1253</v>
      </c>
      <c r="CD208" t="s">
        <v>1492</v>
      </c>
      <c r="CE208" t="s">
        <v>1518</v>
      </c>
      <c r="CF208" t="s">
        <v>1495</v>
      </c>
      <c r="CG208" t="b">
        <v>1</v>
      </c>
      <c r="CH208">
        <v>0</v>
      </c>
      <c r="CI208" t="s">
        <v>1864</v>
      </c>
      <c r="CJ208" t="s">
        <v>1896</v>
      </c>
      <c r="CK208" t="s">
        <v>1251</v>
      </c>
      <c r="CL208" t="s">
        <v>1897</v>
      </c>
    </row>
    <row r="209" spans="1:90">
      <c r="A209">
        <v>570</v>
      </c>
      <c r="B209">
        <v>100062</v>
      </c>
      <c r="C209" t="s">
        <v>1250</v>
      </c>
      <c r="D209">
        <v>2</v>
      </c>
      <c r="E209" t="s">
        <v>1492</v>
      </c>
      <c r="F209">
        <v>5</v>
      </c>
      <c r="G209">
        <v>1</v>
      </c>
      <c r="H209">
        <v>2</v>
      </c>
      <c r="I209" t="s">
        <v>1492</v>
      </c>
      <c r="J209" t="s">
        <v>1297</v>
      </c>
      <c r="K209" t="s">
        <v>16</v>
      </c>
      <c r="L209" t="s">
        <v>1492</v>
      </c>
      <c r="M209" t="s">
        <v>1576</v>
      </c>
      <c r="N209" t="s">
        <v>1492</v>
      </c>
      <c r="O209" t="s">
        <v>1302</v>
      </c>
      <c r="P209" t="s">
        <v>1379</v>
      </c>
      <c r="Q209" t="s">
        <v>1302</v>
      </c>
      <c r="R209" t="s">
        <v>1379</v>
      </c>
      <c r="S209" t="s">
        <v>1302</v>
      </c>
      <c r="T209" t="s">
        <v>1379</v>
      </c>
      <c r="U209" t="s">
        <v>1302</v>
      </c>
      <c r="V209" t="s">
        <v>1379</v>
      </c>
      <c r="W209" t="s">
        <v>1302</v>
      </c>
      <c r="X209" t="s">
        <v>1372</v>
      </c>
      <c r="Y209" t="s">
        <v>1257</v>
      </c>
      <c r="Z209" t="s">
        <v>1257</v>
      </c>
      <c r="AA209" t="s">
        <v>1257</v>
      </c>
      <c r="AB209" t="s">
        <v>1257</v>
      </c>
      <c r="AC209" t="b">
        <v>0</v>
      </c>
      <c r="AD209" t="b">
        <v>0</v>
      </c>
      <c r="AE209" t="b">
        <v>0</v>
      </c>
      <c r="AF209" t="b">
        <v>0</v>
      </c>
      <c r="AG209" t="b">
        <v>0</v>
      </c>
      <c r="AH209" t="b">
        <v>0</v>
      </c>
      <c r="AI209" t="b">
        <v>0</v>
      </c>
      <c r="AJ209" t="b">
        <v>0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t="b">
        <v>0</v>
      </c>
      <c r="AS209" t="b">
        <v>0</v>
      </c>
      <c r="AT209" t="b">
        <v>0</v>
      </c>
      <c r="AU209" t="b">
        <v>0</v>
      </c>
      <c r="AV209" t="b">
        <v>0</v>
      </c>
      <c r="AW209" t="b">
        <v>0</v>
      </c>
      <c r="AX209" t="b">
        <v>0</v>
      </c>
      <c r="AY209" t="b">
        <v>0</v>
      </c>
      <c r="AZ209" t="b">
        <v>0</v>
      </c>
      <c r="BA209" t="b">
        <v>0</v>
      </c>
      <c r="BB209" t="b">
        <v>0</v>
      </c>
      <c r="BC209" t="b">
        <v>0</v>
      </c>
      <c r="BD209" t="b">
        <v>0</v>
      </c>
      <c r="BE209" t="b">
        <v>0</v>
      </c>
      <c r="BF209" t="b">
        <v>1</v>
      </c>
      <c r="BG209" t="b">
        <v>1</v>
      </c>
      <c r="BH209" t="b">
        <v>1</v>
      </c>
      <c r="BI209" t="b">
        <v>1</v>
      </c>
      <c r="BJ209" t="b">
        <v>1</v>
      </c>
      <c r="BK209" t="b">
        <v>1</v>
      </c>
      <c r="BL209" t="b">
        <v>1</v>
      </c>
      <c r="BM209" t="b">
        <v>1</v>
      </c>
      <c r="BN209" t="b">
        <v>1</v>
      </c>
      <c r="BO209" t="b">
        <v>1</v>
      </c>
      <c r="BP209" t="b">
        <v>0</v>
      </c>
      <c r="BQ209" t="b">
        <v>0</v>
      </c>
      <c r="BR209" t="b">
        <v>1</v>
      </c>
      <c r="BS209" t="b">
        <v>1</v>
      </c>
      <c r="BT209" t="b">
        <v>1</v>
      </c>
      <c r="BU209" t="b">
        <v>1</v>
      </c>
      <c r="BV209" t="b">
        <v>0</v>
      </c>
      <c r="BW209" t="b">
        <v>0</v>
      </c>
      <c r="BX209" t="b">
        <v>0</v>
      </c>
      <c r="BY209" t="b">
        <v>0</v>
      </c>
      <c r="BZ209" t="b">
        <v>0</v>
      </c>
      <c r="CA209" t="b">
        <v>0</v>
      </c>
      <c r="CB209" t="b">
        <v>0</v>
      </c>
      <c r="CC209" t="s">
        <v>1253</v>
      </c>
      <c r="CD209" t="s">
        <v>1492</v>
      </c>
      <c r="CE209" t="s">
        <v>1518</v>
      </c>
      <c r="CF209" t="s">
        <v>1495</v>
      </c>
      <c r="CG209" t="b">
        <v>1</v>
      </c>
      <c r="CH209">
        <v>0</v>
      </c>
      <c r="CI209" t="s">
        <v>1864</v>
      </c>
      <c r="CJ209" t="s">
        <v>1896</v>
      </c>
      <c r="CK209" t="s">
        <v>1251</v>
      </c>
      <c r="CL209" t="s">
        <v>1898</v>
      </c>
    </row>
    <row r="210" spans="1:90">
      <c r="A210">
        <v>384</v>
      </c>
      <c r="B210">
        <v>537</v>
      </c>
      <c r="C210" t="s">
        <v>1250</v>
      </c>
      <c r="D210">
        <v>1</v>
      </c>
      <c r="E210" t="s">
        <v>1492</v>
      </c>
      <c r="F210">
        <v>7</v>
      </c>
      <c r="G210">
        <v>1</v>
      </c>
      <c r="H210">
        <v>2</v>
      </c>
      <c r="I210" t="s">
        <v>1115</v>
      </c>
      <c r="J210" t="s">
        <v>1297</v>
      </c>
      <c r="K210" t="s">
        <v>15</v>
      </c>
      <c r="L210" t="s">
        <v>1511</v>
      </c>
      <c r="M210" t="s">
        <v>1492</v>
      </c>
      <c r="N210" t="s">
        <v>1492</v>
      </c>
      <c r="O210" t="s">
        <v>1285</v>
      </c>
      <c r="P210" t="s">
        <v>1379</v>
      </c>
      <c r="Q210" t="s">
        <v>1285</v>
      </c>
      <c r="R210" t="s">
        <v>1379</v>
      </c>
      <c r="S210" t="s">
        <v>1285</v>
      </c>
      <c r="T210" t="s">
        <v>1379</v>
      </c>
      <c r="U210" t="s">
        <v>1285</v>
      </c>
      <c r="V210" t="s">
        <v>1379</v>
      </c>
      <c r="W210" t="s">
        <v>1285</v>
      </c>
      <c r="X210" t="s">
        <v>1372</v>
      </c>
      <c r="Y210" t="s">
        <v>1257</v>
      </c>
      <c r="Z210" t="s">
        <v>1257</v>
      </c>
      <c r="AA210" t="s">
        <v>1257</v>
      </c>
      <c r="AB210" t="s">
        <v>1257</v>
      </c>
      <c r="AC210" t="b">
        <v>0</v>
      </c>
      <c r="AD210" t="b">
        <v>0</v>
      </c>
      <c r="AE210" t="b">
        <v>0</v>
      </c>
      <c r="AF210" t="b">
        <v>0</v>
      </c>
      <c r="AG210" t="b">
        <v>0</v>
      </c>
      <c r="AH210" t="b">
        <v>0</v>
      </c>
      <c r="AI210" t="b">
        <v>1</v>
      </c>
      <c r="AJ210" t="b">
        <v>1</v>
      </c>
      <c r="AK210" t="b">
        <v>1</v>
      </c>
      <c r="AL210" t="b">
        <v>1</v>
      </c>
      <c r="AM210" t="b">
        <v>1</v>
      </c>
      <c r="AN210" t="b">
        <v>1</v>
      </c>
      <c r="AO210" t="b">
        <v>1</v>
      </c>
      <c r="AP210" t="b">
        <v>1</v>
      </c>
      <c r="AQ210" t="b">
        <v>1</v>
      </c>
      <c r="AR210" t="b">
        <v>0</v>
      </c>
      <c r="AS210" t="b">
        <v>0</v>
      </c>
      <c r="AT210" t="b">
        <v>0</v>
      </c>
      <c r="AU210" t="b">
        <v>0</v>
      </c>
      <c r="AV210" t="b">
        <v>0</v>
      </c>
      <c r="AW210" t="b">
        <v>0</v>
      </c>
      <c r="AX210" t="b">
        <v>0</v>
      </c>
      <c r="AY210" t="b">
        <v>0</v>
      </c>
      <c r="AZ210" t="b">
        <v>0</v>
      </c>
      <c r="BA210" t="b">
        <v>0</v>
      </c>
      <c r="BB210" t="b">
        <v>0</v>
      </c>
      <c r="BC210" t="b">
        <v>0</v>
      </c>
      <c r="BD210" t="b">
        <v>0</v>
      </c>
      <c r="BE210" t="b">
        <v>0</v>
      </c>
      <c r="BF210" t="b">
        <v>0</v>
      </c>
      <c r="BG210" t="b">
        <v>0</v>
      </c>
      <c r="BH210" t="b">
        <v>0</v>
      </c>
      <c r="BI210" t="b">
        <v>0</v>
      </c>
      <c r="BJ210" t="b">
        <v>0</v>
      </c>
      <c r="BK210" t="b">
        <v>0</v>
      </c>
      <c r="BL210" t="b">
        <v>0</v>
      </c>
      <c r="BM210" t="b">
        <v>0</v>
      </c>
      <c r="BN210" t="b">
        <v>0</v>
      </c>
      <c r="BO210" t="b">
        <v>0</v>
      </c>
      <c r="BP210" t="b">
        <v>0</v>
      </c>
      <c r="BQ210" t="b">
        <v>0</v>
      </c>
      <c r="BR210" t="b">
        <v>0</v>
      </c>
      <c r="BS210" t="b">
        <v>0</v>
      </c>
      <c r="BT210" t="b">
        <v>0</v>
      </c>
      <c r="BU210" t="b">
        <v>0</v>
      </c>
      <c r="BV210" t="b">
        <v>0</v>
      </c>
      <c r="BW210" t="b">
        <v>0</v>
      </c>
      <c r="BX210" t="b">
        <v>0</v>
      </c>
      <c r="BY210" t="b">
        <v>0</v>
      </c>
      <c r="BZ210" t="b">
        <v>0</v>
      </c>
      <c r="CA210" t="b">
        <v>0</v>
      </c>
      <c r="CB210" t="b">
        <v>0</v>
      </c>
      <c r="CC210" t="s">
        <v>1512</v>
      </c>
      <c r="CD210" t="s">
        <v>1492</v>
      </c>
      <c r="CE210" t="s">
        <v>1518</v>
      </c>
      <c r="CF210" t="s">
        <v>1495</v>
      </c>
      <c r="CG210" t="b">
        <v>0</v>
      </c>
      <c r="CH210">
        <v>0</v>
      </c>
      <c r="CI210" t="s">
        <v>1662</v>
      </c>
      <c r="CJ210" t="s">
        <v>1899</v>
      </c>
      <c r="CK210" t="s">
        <v>1251</v>
      </c>
      <c r="CL210" t="s">
        <v>1900</v>
      </c>
    </row>
    <row r="211" spans="1:90">
      <c r="A211">
        <v>383</v>
      </c>
      <c r="B211">
        <v>537</v>
      </c>
      <c r="C211" t="s">
        <v>1250</v>
      </c>
      <c r="D211">
        <v>2</v>
      </c>
      <c r="E211" t="s">
        <v>1492</v>
      </c>
      <c r="F211">
        <v>7</v>
      </c>
      <c r="G211">
        <v>1</v>
      </c>
      <c r="H211">
        <v>2</v>
      </c>
      <c r="I211" t="s">
        <v>1115</v>
      </c>
      <c r="J211" t="s">
        <v>1297</v>
      </c>
      <c r="K211" t="s">
        <v>15</v>
      </c>
      <c r="L211" t="s">
        <v>1511</v>
      </c>
      <c r="M211" t="s">
        <v>1492</v>
      </c>
      <c r="N211" t="s">
        <v>1492</v>
      </c>
      <c r="O211" t="s">
        <v>1285</v>
      </c>
      <c r="P211" t="s">
        <v>1379</v>
      </c>
      <c r="Q211" t="s">
        <v>1285</v>
      </c>
      <c r="R211" t="s">
        <v>1379</v>
      </c>
      <c r="S211" t="s">
        <v>1285</v>
      </c>
      <c r="T211" t="s">
        <v>1379</v>
      </c>
      <c r="U211" t="s">
        <v>1285</v>
      </c>
      <c r="V211" t="s">
        <v>1379</v>
      </c>
      <c r="W211" t="s">
        <v>1285</v>
      </c>
      <c r="X211" t="s">
        <v>1372</v>
      </c>
      <c r="Y211" t="s">
        <v>1257</v>
      </c>
      <c r="Z211" t="s">
        <v>1257</v>
      </c>
      <c r="AA211" t="s">
        <v>1257</v>
      </c>
      <c r="AB211" t="s">
        <v>1257</v>
      </c>
      <c r="AC211" t="b">
        <v>0</v>
      </c>
      <c r="AD211" t="b">
        <v>0</v>
      </c>
      <c r="AE211" t="b">
        <v>0</v>
      </c>
      <c r="AF211" t="b">
        <v>0</v>
      </c>
      <c r="AG211" t="b">
        <v>0</v>
      </c>
      <c r="AH211" t="b">
        <v>0</v>
      </c>
      <c r="AI211" t="b">
        <v>1</v>
      </c>
      <c r="AJ211" t="b">
        <v>1</v>
      </c>
      <c r="AK211" t="b">
        <v>1</v>
      </c>
      <c r="AL211" t="b">
        <v>1</v>
      </c>
      <c r="AM211" t="b">
        <v>1</v>
      </c>
      <c r="AN211" t="b">
        <v>1</v>
      </c>
      <c r="AO211" t="b">
        <v>1</v>
      </c>
      <c r="AP211" t="b">
        <v>1</v>
      </c>
      <c r="AQ211" t="b">
        <v>1</v>
      </c>
      <c r="AR211" t="b">
        <v>0</v>
      </c>
      <c r="AS211" t="b">
        <v>0</v>
      </c>
      <c r="AT211" t="b">
        <v>0</v>
      </c>
      <c r="AU211" t="b">
        <v>0</v>
      </c>
      <c r="AV211" t="b">
        <v>0</v>
      </c>
      <c r="AW211" t="b">
        <v>0</v>
      </c>
      <c r="AX211" t="b">
        <v>0</v>
      </c>
      <c r="AY211" t="b">
        <v>0</v>
      </c>
      <c r="AZ211" t="b">
        <v>0</v>
      </c>
      <c r="BA211" t="b">
        <v>0</v>
      </c>
      <c r="BB211" t="b">
        <v>0</v>
      </c>
      <c r="BC211" t="b">
        <v>0</v>
      </c>
      <c r="BD211" t="b">
        <v>0</v>
      </c>
      <c r="BE211" t="b">
        <v>0</v>
      </c>
      <c r="BF211" t="b">
        <v>0</v>
      </c>
      <c r="BG211" t="b">
        <v>0</v>
      </c>
      <c r="BH211" t="b">
        <v>0</v>
      </c>
      <c r="BI211" t="b">
        <v>0</v>
      </c>
      <c r="BJ211" t="b">
        <v>0</v>
      </c>
      <c r="BK211" t="b">
        <v>0</v>
      </c>
      <c r="BL211" t="b">
        <v>0</v>
      </c>
      <c r="BM211" t="b">
        <v>0</v>
      </c>
      <c r="BN211" t="b">
        <v>0</v>
      </c>
      <c r="BO211" t="b">
        <v>0</v>
      </c>
      <c r="BP211" t="b">
        <v>0</v>
      </c>
      <c r="BQ211" t="b">
        <v>0</v>
      </c>
      <c r="BR211" t="b">
        <v>0</v>
      </c>
      <c r="BS211" t="b">
        <v>0</v>
      </c>
      <c r="BT211" t="b">
        <v>0</v>
      </c>
      <c r="BU211" t="b">
        <v>0</v>
      </c>
      <c r="BV211" t="b">
        <v>0</v>
      </c>
      <c r="BW211" t="b">
        <v>0</v>
      </c>
      <c r="BX211" t="b">
        <v>0</v>
      </c>
      <c r="BY211" t="b">
        <v>0</v>
      </c>
      <c r="BZ211" t="b">
        <v>0</v>
      </c>
      <c r="CA211" t="b">
        <v>0</v>
      </c>
      <c r="CB211" t="b">
        <v>0</v>
      </c>
      <c r="CC211" t="s">
        <v>1512</v>
      </c>
      <c r="CD211" t="s">
        <v>1492</v>
      </c>
      <c r="CE211" t="s">
        <v>1518</v>
      </c>
      <c r="CF211" t="s">
        <v>1495</v>
      </c>
      <c r="CG211" t="b">
        <v>0</v>
      </c>
      <c r="CH211">
        <v>0</v>
      </c>
      <c r="CI211" t="s">
        <v>1662</v>
      </c>
      <c r="CJ211" t="s">
        <v>1899</v>
      </c>
      <c r="CK211" t="s">
        <v>1251</v>
      </c>
      <c r="CL211" t="s">
        <v>1901</v>
      </c>
    </row>
    <row r="212" spans="1:90">
      <c r="A212">
        <v>386</v>
      </c>
      <c r="B212">
        <v>539</v>
      </c>
      <c r="C212" t="s">
        <v>1250</v>
      </c>
      <c r="D212">
        <v>1</v>
      </c>
      <c r="E212" t="s">
        <v>1492</v>
      </c>
      <c r="F212">
        <v>6</v>
      </c>
      <c r="G212">
        <v>1</v>
      </c>
      <c r="H212">
        <v>2</v>
      </c>
      <c r="I212" t="s">
        <v>1115</v>
      </c>
      <c r="J212" t="s">
        <v>1254</v>
      </c>
      <c r="K212" t="s">
        <v>15</v>
      </c>
      <c r="L212" t="s">
        <v>1493</v>
      </c>
      <c r="M212" t="s">
        <v>1492</v>
      </c>
      <c r="N212" t="s">
        <v>1492</v>
      </c>
      <c r="O212" t="s">
        <v>1285</v>
      </c>
      <c r="P212" t="s">
        <v>1379</v>
      </c>
      <c r="Q212" t="s">
        <v>1285</v>
      </c>
      <c r="R212" t="s">
        <v>1379</v>
      </c>
      <c r="S212" t="s">
        <v>1285</v>
      </c>
      <c r="T212" t="s">
        <v>1379</v>
      </c>
      <c r="U212" t="s">
        <v>1285</v>
      </c>
      <c r="V212" t="s">
        <v>1379</v>
      </c>
      <c r="W212" t="s">
        <v>1285</v>
      </c>
      <c r="X212" t="s">
        <v>1372</v>
      </c>
      <c r="Y212" t="s">
        <v>1257</v>
      </c>
      <c r="Z212" t="s">
        <v>1257</v>
      </c>
      <c r="AA212" t="s">
        <v>1257</v>
      </c>
      <c r="AB212" t="s">
        <v>1257</v>
      </c>
      <c r="AC212" t="b">
        <v>0</v>
      </c>
      <c r="AD212" t="b">
        <v>0</v>
      </c>
      <c r="AE212" t="b">
        <v>0</v>
      </c>
      <c r="AF212" t="b">
        <v>0</v>
      </c>
      <c r="AG212" t="b">
        <v>0</v>
      </c>
      <c r="AH212" t="b">
        <v>0</v>
      </c>
      <c r="AI212" t="b">
        <v>0</v>
      </c>
      <c r="AJ212" t="b">
        <v>0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t="b">
        <v>0</v>
      </c>
      <c r="AS212" t="b">
        <v>0</v>
      </c>
      <c r="AT212" t="b">
        <v>0</v>
      </c>
      <c r="AU212" t="b">
        <v>1</v>
      </c>
      <c r="AV212" t="b">
        <v>1</v>
      </c>
      <c r="AW212" t="b">
        <v>1</v>
      </c>
      <c r="AX212" t="b">
        <v>1</v>
      </c>
      <c r="AY212" t="b">
        <v>1</v>
      </c>
      <c r="AZ212" t="b">
        <v>1</v>
      </c>
      <c r="BA212" t="b">
        <v>1</v>
      </c>
      <c r="BB212" t="b">
        <v>1</v>
      </c>
      <c r="BC212" t="b">
        <v>1</v>
      </c>
      <c r="BD212" t="b">
        <v>0</v>
      </c>
      <c r="BE212" t="b">
        <v>0</v>
      </c>
      <c r="BF212" t="b">
        <v>0</v>
      </c>
      <c r="BG212" t="b">
        <v>0</v>
      </c>
      <c r="BH212" t="b">
        <v>0</v>
      </c>
      <c r="BI212" t="b">
        <v>0</v>
      </c>
      <c r="BJ212" t="b">
        <v>0</v>
      </c>
      <c r="BK212" t="b">
        <v>0</v>
      </c>
      <c r="BL212" t="b">
        <v>0</v>
      </c>
      <c r="BM212" t="b">
        <v>0</v>
      </c>
      <c r="BN212" t="b">
        <v>0</v>
      </c>
      <c r="BO212" t="b">
        <v>0</v>
      </c>
      <c r="BP212" t="b">
        <v>0</v>
      </c>
      <c r="BQ212" t="b">
        <v>0</v>
      </c>
      <c r="BR212" t="b">
        <v>0</v>
      </c>
      <c r="BS212" t="b">
        <v>0</v>
      </c>
      <c r="BT212" t="b">
        <v>0</v>
      </c>
      <c r="BU212" t="b">
        <v>0</v>
      </c>
      <c r="BV212" t="b">
        <v>0</v>
      </c>
      <c r="BW212" t="b">
        <v>0</v>
      </c>
      <c r="BX212" t="b">
        <v>0</v>
      </c>
      <c r="BY212" t="b">
        <v>0</v>
      </c>
      <c r="BZ212" t="b">
        <v>0</v>
      </c>
      <c r="CA212" t="b">
        <v>0</v>
      </c>
      <c r="CB212" t="b">
        <v>0</v>
      </c>
      <c r="CC212" t="s">
        <v>1512</v>
      </c>
      <c r="CD212" t="s">
        <v>1492</v>
      </c>
      <c r="CE212" t="s">
        <v>1513</v>
      </c>
      <c r="CF212" t="s">
        <v>1495</v>
      </c>
      <c r="CG212" t="b">
        <v>0</v>
      </c>
      <c r="CH212">
        <v>0</v>
      </c>
      <c r="CI212" t="s">
        <v>1596</v>
      </c>
      <c r="CJ212" t="s">
        <v>1902</v>
      </c>
      <c r="CK212" t="s">
        <v>1251</v>
      </c>
      <c r="CL212" t="s">
        <v>1903</v>
      </c>
    </row>
    <row r="213" spans="1:90">
      <c r="A213">
        <v>385</v>
      </c>
      <c r="B213">
        <v>539</v>
      </c>
      <c r="C213" t="s">
        <v>1250</v>
      </c>
      <c r="D213">
        <v>2</v>
      </c>
      <c r="E213" t="s">
        <v>1492</v>
      </c>
      <c r="F213">
        <v>6</v>
      </c>
      <c r="G213">
        <v>1</v>
      </c>
      <c r="H213">
        <v>2</v>
      </c>
      <c r="I213" t="s">
        <v>1115</v>
      </c>
      <c r="J213" t="s">
        <v>1254</v>
      </c>
      <c r="K213" t="s">
        <v>15</v>
      </c>
      <c r="L213" t="s">
        <v>1493</v>
      </c>
      <c r="M213" t="s">
        <v>1492</v>
      </c>
      <c r="N213" t="s">
        <v>1492</v>
      </c>
      <c r="O213" t="s">
        <v>1285</v>
      </c>
      <c r="P213" t="s">
        <v>1379</v>
      </c>
      <c r="Q213" t="s">
        <v>1285</v>
      </c>
      <c r="R213" t="s">
        <v>1379</v>
      </c>
      <c r="S213" t="s">
        <v>1285</v>
      </c>
      <c r="T213" t="s">
        <v>1379</v>
      </c>
      <c r="U213" t="s">
        <v>1285</v>
      </c>
      <c r="V213" t="s">
        <v>1379</v>
      </c>
      <c r="W213" t="s">
        <v>1285</v>
      </c>
      <c r="X213" t="s">
        <v>1372</v>
      </c>
      <c r="Y213" t="s">
        <v>1257</v>
      </c>
      <c r="Z213" t="s">
        <v>1257</v>
      </c>
      <c r="AA213" t="s">
        <v>1257</v>
      </c>
      <c r="AB213" t="s">
        <v>1257</v>
      </c>
      <c r="AC213" t="b">
        <v>0</v>
      </c>
      <c r="AD213" t="b">
        <v>0</v>
      </c>
      <c r="AE213" t="b">
        <v>0</v>
      </c>
      <c r="AF213" t="b">
        <v>0</v>
      </c>
      <c r="AG213" t="b">
        <v>0</v>
      </c>
      <c r="AH213" t="b">
        <v>0</v>
      </c>
      <c r="AI213" t="b">
        <v>0</v>
      </c>
      <c r="AJ213" t="b">
        <v>0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t="b">
        <v>0</v>
      </c>
      <c r="AS213" t="b">
        <v>0</v>
      </c>
      <c r="AT213" t="b">
        <v>0</v>
      </c>
      <c r="AU213" t="b">
        <v>1</v>
      </c>
      <c r="AV213" t="b">
        <v>1</v>
      </c>
      <c r="AW213" t="b">
        <v>1</v>
      </c>
      <c r="AX213" t="b">
        <v>1</v>
      </c>
      <c r="AY213" t="b">
        <v>1</v>
      </c>
      <c r="AZ213" t="b">
        <v>1</v>
      </c>
      <c r="BA213" t="b">
        <v>1</v>
      </c>
      <c r="BB213" t="b">
        <v>1</v>
      </c>
      <c r="BC213" t="b">
        <v>1</v>
      </c>
      <c r="BD213" t="b">
        <v>0</v>
      </c>
      <c r="BE213" t="b">
        <v>0</v>
      </c>
      <c r="BF213" t="b">
        <v>0</v>
      </c>
      <c r="BG213" t="b">
        <v>0</v>
      </c>
      <c r="BH213" t="b">
        <v>0</v>
      </c>
      <c r="BI213" t="b">
        <v>0</v>
      </c>
      <c r="BJ213" t="b">
        <v>0</v>
      </c>
      <c r="BK213" t="b">
        <v>0</v>
      </c>
      <c r="BL213" t="b">
        <v>0</v>
      </c>
      <c r="BM213" t="b">
        <v>0</v>
      </c>
      <c r="BN213" t="b">
        <v>0</v>
      </c>
      <c r="BO213" t="b">
        <v>0</v>
      </c>
      <c r="BP213" t="b">
        <v>0</v>
      </c>
      <c r="BQ213" t="b">
        <v>0</v>
      </c>
      <c r="BR213" t="b">
        <v>0</v>
      </c>
      <c r="BS213" t="b">
        <v>0</v>
      </c>
      <c r="BT213" t="b">
        <v>0</v>
      </c>
      <c r="BU213" t="b">
        <v>0</v>
      </c>
      <c r="BV213" t="b">
        <v>0</v>
      </c>
      <c r="BW213" t="b">
        <v>0</v>
      </c>
      <c r="BX213" t="b">
        <v>0</v>
      </c>
      <c r="BY213" t="b">
        <v>0</v>
      </c>
      <c r="BZ213" t="b">
        <v>0</v>
      </c>
      <c r="CA213" t="b">
        <v>0</v>
      </c>
      <c r="CB213" t="b">
        <v>0</v>
      </c>
      <c r="CC213" t="s">
        <v>1512</v>
      </c>
      <c r="CD213" t="s">
        <v>1492</v>
      </c>
      <c r="CE213" t="s">
        <v>1513</v>
      </c>
      <c r="CF213" t="s">
        <v>1778</v>
      </c>
      <c r="CG213" t="b">
        <v>0</v>
      </c>
      <c r="CH213">
        <v>0</v>
      </c>
      <c r="CI213" t="s">
        <v>1904</v>
      </c>
      <c r="CJ213" t="s">
        <v>1902</v>
      </c>
      <c r="CK213" t="s">
        <v>1251</v>
      </c>
      <c r="CL213" t="s">
        <v>1905</v>
      </c>
    </row>
    <row r="214" spans="1:90">
      <c r="A214">
        <v>388</v>
      </c>
      <c r="B214">
        <v>541</v>
      </c>
      <c r="C214" t="s">
        <v>1250</v>
      </c>
      <c r="D214">
        <v>1</v>
      </c>
      <c r="E214" t="s">
        <v>1492</v>
      </c>
      <c r="F214">
        <v>3</v>
      </c>
      <c r="G214">
        <v>1</v>
      </c>
      <c r="H214">
        <v>2</v>
      </c>
      <c r="I214" t="s">
        <v>1115</v>
      </c>
      <c r="J214" t="s">
        <v>1254</v>
      </c>
      <c r="K214" t="s">
        <v>15</v>
      </c>
      <c r="L214" t="s">
        <v>1493</v>
      </c>
      <c r="M214" t="s">
        <v>1492</v>
      </c>
      <c r="N214" t="s">
        <v>1492</v>
      </c>
      <c r="O214" t="s">
        <v>1285</v>
      </c>
      <c r="P214" t="s">
        <v>1379</v>
      </c>
      <c r="Q214" t="s">
        <v>1285</v>
      </c>
      <c r="R214" t="s">
        <v>1379</v>
      </c>
      <c r="S214" t="s">
        <v>1285</v>
      </c>
      <c r="T214" t="s">
        <v>1379</v>
      </c>
      <c r="U214" t="s">
        <v>1285</v>
      </c>
      <c r="V214" t="s">
        <v>1379</v>
      </c>
      <c r="W214" t="s">
        <v>1285</v>
      </c>
      <c r="X214" t="s">
        <v>1372</v>
      </c>
      <c r="Y214" t="s">
        <v>1257</v>
      </c>
      <c r="Z214" t="s">
        <v>1257</v>
      </c>
      <c r="AA214" t="s">
        <v>1257</v>
      </c>
      <c r="AB214" t="s">
        <v>1257</v>
      </c>
      <c r="AC214" t="b">
        <v>0</v>
      </c>
      <c r="AD214" t="b">
        <v>0</v>
      </c>
      <c r="AE214" t="b">
        <v>0</v>
      </c>
      <c r="AF214" t="b">
        <v>0</v>
      </c>
      <c r="AG214" t="b">
        <v>0</v>
      </c>
      <c r="AH214" t="b">
        <v>0</v>
      </c>
      <c r="AI214" t="b">
        <v>0</v>
      </c>
      <c r="AJ214" t="b">
        <v>0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t="b">
        <v>0</v>
      </c>
      <c r="AS214" t="b">
        <v>0</v>
      </c>
      <c r="AT214" t="b">
        <v>0</v>
      </c>
      <c r="AU214" t="b">
        <v>0</v>
      </c>
      <c r="AV214" t="b">
        <v>0</v>
      </c>
      <c r="AW214" t="b">
        <v>0</v>
      </c>
      <c r="AX214" t="b">
        <v>0</v>
      </c>
      <c r="AY214" t="b">
        <v>0</v>
      </c>
      <c r="AZ214" t="b">
        <v>0</v>
      </c>
      <c r="BA214" t="b">
        <v>0</v>
      </c>
      <c r="BB214" t="b">
        <v>0</v>
      </c>
      <c r="BC214" t="b">
        <v>0</v>
      </c>
      <c r="BD214" t="b">
        <v>0</v>
      </c>
      <c r="BE214" t="b">
        <v>0</v>
      </c>
      <c r="BF214" t="b">
        <v>0</v>
      </c>
      <c r="BG214" t="b">
        <v>0</v>
      </c>
      <c r="BH214" t="b">
        <v>0</v>
      </c>
      <c r="BI214" t="b">
        <v>0</v>
      </c>
      <c r="BJ214" t="b">
        <v>0</v>
      </c>
      <c r="BK214" t="b">
        <v>0</v>
      </c>
      <c r="BL214" t="b">
        <v>0</v>
      </c>
      <c r="BM214" t="b">
        <v>0</v>
      </c>
      <c r="BN214" t="b">
        <v>0</v>
      </c>
      <c r="BO214" t="b">
        <v>0</v>
      </c>
      <c r="BP214" t="b">
        <v>0</v>
      </c>
      <c r="BQ214" t="b">
        <v>1</v>
      </c>
      <c r="BR214" t="b">
        <v>1</v>
      </c>
      <c r="BS214" t="b">
        <v>1</v>
      </c>
      <c r="BT214" t="b">
        <v>1</v>
      </c>
      <c r="BU214" t="b">
        <v>1</v>
      </c>
      <c r="BV214" t="b">
        <v>1</v>
      </c>
      <c r="BW214" t="b">
        <v>1</v>
      </c>
      <c r="BX214" t="b">
        <v>1</v>
      </c>
      <c r="BY214" t="b">
        <v>1</v>
      </c>
      <c r="BZ214" t="b">
        <v>0</v>
      </c>
      <c r="CA214" t="b">
        <v>0</v>
      </c>
      <c r="CB214" t="b">
        <v>0</v>
      </c>
      <c r="CC214" t="s">
        <v>1512</v>
      </c>
      <c r="CD214" t="s">
        <v>1492</v>
      </c>
      <c r="CE214" t="s">
        <v>1518</v>
      </c>
      <c r="CF214" t="s">
        <v>1495</v>
      </c>
      <c r="CG214" t="b">
        <v>0</v>
      </c>
      <c r="CH214">
        <v>0</v>
      </c>
      <c r="CI214" t="s">
        <v>1662</v>
      </c>
      <c r="CJ214" t="s">
        <v>1906</v>
      </c>
      <c r="CK214" t="s">
        <v>1251</v>
      </c>
      <c r="CL214" t="s">
        <v>1907</v>
      </c>
    </row>
    <row r="215" spans="1:90">
      <c r="A215">
        <v>387</v>
      </c>
      <c r="B215">
        <v>541</v>
      </c>
      <c r="C215" t="s">
        <v>1250</v>
      </c>
      <c r="D215">
        <v>2</v>
      </c>
      <c r="E215" t="s">
        <v>1492</v>
      </c>
      <c r="F215">
        <v>3</v>
      </c>
      <c r="G215">
        <v>1</v>
      </c>
      <c r="H215">
        <v>2</v>
      </c>
      <c r="I215" t="s">
        <v>1115</v>
      </c>
      <c r="J215" t="s">
        <v>1254</v>
      </c>
      <c r="K215" t="s">
        <v>15</v>
      </c>
      <c r="L215" t="s">
        <v>1493</v>
      </c>
      <c r="M215" t="s">
        <v>1492</v>
      </c>
      <c r="N215" t="s">
        <v>1492</v>
      </c>
      <c r="O215" t="s">
        <v>1285</v>
      </c>
      <c r="P215" t="s">
        <v>1379</v>
      </c>
      <c r="Q215" t="s">
        <v>1285</v>
      </c>
      <c r="R215" t="s">
        <v>1379</v>
      </c>
      <c r="S215" t="s">
        <v>1285</v>
      </c>
      <c r="T215" t="s">
        <v>1379</v>
      </c>
      <c r="U215" t="s">
        <v>1285</v>
      </c>
      <c r="V215" t="s">
        <v>1379</v>
      </c>
      <c r="W215" t="s">
        <v>1285</v>
      </c>
      <c r="X215" t="s">
        <v>1372</v>
      </c>
      <c r="Y215" t="s">
        <v>1257</v>
      </c>
      <c r="Z215" t="s">
        <v>1257</v>
      </c>
      <c r="AA215" t="s">
        <v>1257</v>
      </c>
      <c r="AB215" t="s">
        <v>1257</v>
      </c>
      <c r="AC215" t="b">
        <v>0</v>
      </c>
      <c r="AD215" t="b">
        <v>0</v>
      </c>
      <c r="AE215" t="b">
        <v>0</v>
      </c>
      <c r="AF215" t="b">
        <v>0</v>
      </c>
      <c r="AG215" t="b">
        <v>0</v>
      </c>
      <c r="AH215" t="b">
        <v>0</v>
      </c>
      <c r="AI215" t="b">
        <v>0</v>
      </c>
      <c r="AJ215" t="b">
        <v>0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t="b">
        <v>0</v>
      </c>
      <c r="AS215" t="b">
        <v>0</v>
      </c>
      <c r="AT215" t="b">
        <v>0</v>
      </c>
      <c r="AU215" t="b">
        <v>0</v>
      </c>
      <c r="AV215" t="b">
        <v>0</v>
      </c>
      <c r="AW215" t="b">
        <v>0</v>
      </c>
      <c r="AX215" t="b">
        <v>0</v>
      </c>
      <c r="AY215" t="b">
        <v>0</v>
      </c>
      <c r="AZ215" t="b">
        <v>0</v>
      </c>
      <c r="BA215" t="b">
        <v>0</v>
      </c>
      <c r="BB215" t="b">
        <v>0</v>
      </c>
      <c r="BC215" t="b">
        <v>0</v>
      </c>
      <c r="BD215" t="b">
        <v>0</v>
      </c>
      <c r="BE215" t="b">
        <v>0</v>
      </c>
      <c r="BF215" t="b">
        <v>0</v>
      </c>
      <c r="BG215" t="b">
        <v>0</v>
      </c>
      <c r="BH215" t="b">
        <v>0</v>
      </c>
      <c r="BI215" t="b">
        <v>0</v>
      </c>
      <c r="BJ215" t="b">
        <v>0</v>
      </c>
      <c r="BK215" t="b">
        <v>0</v>
      </c>
      <c r="BL215" t="b">
        <v>0</v>
      </c>
      <c r="BM215" t="b">
        <v>0</v>
      </c>
      <c r="BN215" t="b">
        <v>0</v>
      </c>
      <c r="BO215" t="b">
        <v>0</v>
      </c>
      <c r="BP215" t="b">
        <v>0</v>
      </c>
      <c r="BQ215" t="b">
        <v>1</v>
      </c>
      <c r="BR215" t="b">
        <v>1</v>
      </c>
      <c r="BS215" t="b">
        <v>1</v>
      </c>
      <c r="BT215" t="b">
        <v>1</v>
      </c>
      <c r="BU215" t="b">
        <v>1</v>
      </c>
      <c r="BV215" t="b">
        <v>1</v>
      </c>
      <c r="BW215" t="b">
        <v>1</v>
      </c>
      <c r="BX215" t="b">
        <v>1</v>
      </c>
      <c r="BY215" t="b">
        <v>1</v>
      </c>
      <c r="BZ215" t="b">
        <v>0</v>
      </c>
      <c r="CA215" t="b">
        <v>0</v>
      </c>
      <c r="CB215" t="b">
        <v>0</v>
      </c>
      <c r="CC215" t="s">
        <v>1512</v>
      </c>
      <c r="CD215" t="s">
        <v>1492</v>
      </c>
      <c r="CE215" t="s">
        <v>1518</v>
      </c>
      <c r="CF215" t="s">
        <v>1495</v>
      </c>
      <c r="CG215" t="b">
        <v>0</v>
      </c>
      <c r="CH215">
        <v>0</v>
      </c>
      <c r="CI215" t="s">
        <v>1662</v>
      </c>
      <c r="CJ215" t="s">
        <v>1906</v>
      </c>
      <c r="CK215" t="s">
        <v>1251</v>
      </c>
      <c r="CL215" t="s">
        <v>1908</v>
      </c>
    </row>
    <row r="216" spans="1:90">
      <c r="A216">
        <v>575</v>
      </c>
      <c r="B216">
        <v>100065</v>
      </c>
      <c r="C216" t="s">
        <v>1273</v>
      </c>
      <c r="D216">
        <v>1</v>
      </c>
      <c r="E216" t="s">
        <v>1492</v>
      </c>
      <c r="F216">
        <v>30</v>
      </c>
      <c r="G216">
        <v>1</v>
      </c>
      <c r="H216">
        <v>2</v>
      </c>
      <c r="I216" t="s">
        <v>1909</v>
      </c>
      <c r="J216" t="s">
        <v>1297</v>
      </c>
      <c r="K216" t="s">
        <v>15</v>
      </c>
      <c r="L216" t="s">
        <v>1511</v>
      </c>
      <c r="M216" t="s">
        <v>1576</v>
      </c>
      <c r="N216" t="s">
        <v>1492</v>
      </c>
      <c r="O216" t="s">
        <v>1257</v>
      </c>
      <c r="P216" t="s">
        <v>1257</v>
      </c>
      <c r="Q216" t="s">
        <v>1257</v>
      </c>
      <c r="R216" t="s">
        <v>1257</v>
      </c>
      <c r="S216" t="s">
        <v>1372</v>
      </c>
      <c r="T216" t="s">
        <v>1383</v>
      </c>
      <c r="U216" t="s">
        <v>1257</v>
      </c>
      <c r="V216" t="s">
        <v>1257</v>
      </c>
      <c r="W216" t="s">
        <v>1257</v>
      </c>
      <c r="X216" t="s">
        <v>1257</v>
      </c>
      <c r="Y216" t="s">
        <v>1257</v>
      </c>
      <c r="Z216" t="s">
        <v>1257</v>
      </c>
      <c r="AA216" t="s">
        <v>1257</v>
      </c>
      <c r="AB216" t="s">
        <v>1257</v>
      </c>
      <c r="AC216" t="b">
        <v>0</v>
      </c>
      <c r="AD216" t="b">
        <v>0</v>
      </c>
      <c r="AE216" t="b">
        <v>0</v>
      </c>
      <c r="AF216" t="b">
        <v>0</v>
      </c>
      <c r="AG216" t="b">
        <v>0</v>
      </c>
      <c r="AH216" t="b">
        <v>0</v>
      </c>
      <c r="AI216" t="b">
        <v>0</v>
      </c>
      <c r="AJ216" t="b">
        <v>0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t="b">
        <v>0</v>
      </c>
      <c r="AS216" t="b">
        <v>0</v>
      </c>
      <c r="AT216" t="b">
        <v>0</v>
      </c>
      <c r="AU216" t="b">
        <v>0</v>
      </c>
      <c r="AV216" t="b">
        <v>0</v>
      </c>
      <c r="AW216" t="b">
        <v>0</v>
      </c>
      <c r="AX216" t="b">
        <v>0</v>
      </c>
      <c r="AY216" t="b">
        <v>0</v>
      </c>
      <c r="AZ216" t="b">
        <v>0</v>
      </c>
      <c r="BA216" t="b">
        <v>0</v>
      </c>
      <c r="BB216" t="b">
        <v>0</v>
      </c>
      <c r="BC216" t="b">
        <v>0</v>
      </c>
      <c r="BD216" t="b">
        <v>0</v>
      </c>
      <c r="BE216" t="b">
        <v>0</v>
      </c>
      <c r="BF216" t="b">
        <v>0</v>
      </c>
      <c r="BG216" t="b">
        <v>0</v>
      </c>
      <c r="BH216" t="b">
        <v>0</v>
      </c>
      <c r="BI216" t="b">
        <v>0</v>
      </c>
      <c r="BJ216" t="b">
        <v>0</v>
      </c>
      <c r="BK216" t="b">
        <v>0</v>
      </c>
      <c r="BL216" t="b">
        <v>0</v>
      </c>
      <c r="BM216" t="b">
        <v>0</v>
      </c>
      <c r="BN216" t="b">
        <v>0</v>
      </c>
      <c r="BO216" t="b">
        <v>0</v>
      </c>
      <c r="BP216" t="b">
        <v>0</v>
      </c>
      <c r="BQ216" t="b">
        <v>0</v>
      </c>
      <c r="BR216" t="b">
        <v>0</v>
      </c>
      <c r="BS216" t="b">
        <v>0</v>
      </c>
      <c r="BT216" t="b">
        <v>0</v>
      </c>
      <c r="BU216" t="b">
        <v>0</v>
      </c>
      <c r="BV216" t="b">
        <v>0</v>
      </c>
      <c r="BW216" t="b">
        <v>0</v>
      </c>
      <c r="BX216" t="b">
        <v>0</v>
      </c>
      <c r="BY216" t="b">
        <v>0</v>
      </c>
      <c r="BZ216" t="b">
        <v>0</v>
      </c>
      <c r="CA216" t="b">
        <v>0</v>
      </c>
      <c r="CB216" t="b">
        <v>0</v>
      </c>
      <c r="CC216" t="s">
        <v>1253</v>
      </c>
      <c r="CD216" t="s">
        <v>1492</v>
      </c>
      <c r="CE216" t="s">
        <v>1910</v>
      </c>
      <c r="CF216" t="s">
        <v>1495</v>
      </c>
      <c r="CG216" t="b">
        <v>1</v>
      </c>
      <c r="CH216">
        <v>0</v>
      </c>
      <c r="CI216" t="s">
        <v>1911</v>
      </c>
      <c r="CJ216" t="s">
        <v>1912</v>
      </c>
      <c r="CK216" t="s">
        <v>1279</v>
      </c>
      <c r="CL216" t="s">
        <v>1913</v>
      </c>
    </row>
    <row r="217" spans="1:90">
      <c r="A217">
        <v>530</v>
      </c>
      <c r="B217">
        <v>100039</v>
      </c>
      <c r="C217" t="s">
        <v>1273</v>
      </c>
      <c r="D217">
        <v>1</v>
      </c>
      <c r="E217" t="s">
        <v>1492</v>
      </c>
      <c r="F217">
        <v>10</v>
      </c>
      <c r="G217">
        <v>1</v>
      </c>
      <c r="H217">
        <v>2</v>
      </c>
      <c r="I217" t="s">
        <v>1914</v>
      </c>
      <c r="J217" t="s">
        <v>1297</v>
      </c>
      <c r="K217" t="s">
        <v>16</v>
      </c>
      <c r="L217" t="s">
        <v>1492</v>
      </c>
      <c r="M217" t="s">
        <v>1576</v>
      </c>
      <c r="N217" t="s">
        <v>1492</v>
      </c>
      <c r="O217" t="s">
        <v>1257</v>
      </c>
      <c r="P217" t="s">
        <v>1257</v>
      </c>
      <c r="Q217" t="s">
        <v>1257</v>
      </c>
      <c r="R217" t="s">
        <v>1257</v>
      </c>
      <c r="S217" t="s">
        <v>1372</v>
      </c>
      <c r="T217" t="s">
        <v>1383</v>
      </c>
      <c r="U217" t="s">
        <v>1257</v>
      </c>
      <c r="V217" t="s">
        <v>1257</v>
      </c>
      <c r="W217" t="s">
        <v>1257</v>
      </c>
      <c r="X217" t="s">
        <v>1257</v>
      </c>
      <c r="Y217" t="s">
        <v>1257</v>
      </c>
      <c r="Z217" t="s">
        <v>1257</v>
      </c>
      <c r="AA217" t="s">
        <v>1257</v>
      </c>
      <c r="AB217" t="s">
        <v>1257</v>
      </c>
      <c r="AC217" t="b">
        <v>0</v>
      </c>
      <c r="AD217" t="b">
        <v>0</v>
      </c>
      <c r="AE217" t="b">
        <v>0</v>
      </c>
      <c r="AF217" t="b">
        <v>0</v>
      </c>
      <c r="AG217" t="b">
        <v>0</v>
      </c>
      <c r="AH217" t="b">
        <v>0</v>
      </c>
      <c r="AI217" t="b">
        <v>0</v>
      </c>
      <c r="AJ217" t="b">
        <v>0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t="b">
        <v>0</v>
      </c>
      <c r="AS217" t="b">
        <v>0</v>
      </c>
      <c r="AT217" t="b">
        <v>0</v>
      </c>
      <c r="AU217" t="b">
        <v>0</v>
      </c>
      <c r="AV217" t="b">
        <v>0</v>
      </c>
      <c r="AW217" t="b">
        <v>0</v>
      </c>
      <c r="AX217" t="b">
        <v>0</v>
      </c>
      <c r="AY217" t="b">
        <v>0</v>
      </c>
      <c r="AZ217" t="b">
        <v>0</v>
      </c>
      <c r="BA217" t="b">
        <v>0</v>
      </c>
      <c r="BB217" t="b">
        <v>0</v>
      </c>
      <c r="BC217" t="b">
        <v>0</v>
      </c>
      <c r="BD217" t="b">
        <v>0</v>
      </c>
      <c r="BE217" t="b">
        <v>0</v>
      </c>
      <c r="BF217" t="b">
        <v>0</v>
      </c>
      <c r="BG217" t="b">
        <v>0</v>
      </c>
      <c r="BH217" t="b">
        <v>0</v>
      </c>
      <c r="BI217" t="b">
        <v>0</v>
      </c>
      <c r="BJ217" t="b">
        <v>0</v>
      </c>
      <c r="BK217" t="b">
        <v>0</v>
      </c>
      <c r="BL217" t="b">
        <v>0</v>
      </c>
      <c r="BM217" t="b">
        <v>0</v>
      </c>
      <c r="BN217" t="b">
        <v>0</v>
      </c>
      <c r="BO217" t="b">
        <v>0</v>
      </c>
      <c r="BP217" t="b">
        <v>0</v>
      </c>
      <c r="BQ217" t="b">
        <v>0</v>
      </c>
      <c r="BR217" t="b">
        <v>0</v>
      </c>
      <c r="BS217" t="b">
        <v>0</v>
      </c>
      <c r="BT217" t="b">
        <v>0</v>
      </c>
      <c r="BU217" t="b">
        <v>0</v>
      </c>
      <c r="BV217" t="b">
        <v>0</v>
      </c>
      <c r="BW217" t="b">
        <v>0</v>
      </c>
      <c r="BX217" t="b">
        <v>0</v>
      </c>
      <c r="BY217" t="b">
        <v>0</v>
      </c>
      <c r="BZ217" t="b">
        <v>0</v>
      </c>
      <c r="CA217" t="b">
        <v>0</v>
      </c>
      <c r="CB217" t="b">
        <v>0</v>
      </c>
      <c r="CC217" t="s">
        <v>1253</v>
      </c>
      <c r="CD217" t="s">
        <v>1492</v>
      </c>
      <c r="CE217" t="s">
        <v>1910</v>
      </c>
      <c r="CF217" t="s">
        <v>1495</v>
      </c>
      <c r="CG217" t="b">
        <v>1</v>
      </c>
      <c r="CH217">
        <v>0</v>
      </c>
      <c r="CI217" t="s">
        <v>1915</v>
      </c>
      <c r="CJ217" t="s">
        <v>1916</v>
      </c>
      <c r="CK217" t="s">
        <v>1279</v>
      </c>
      <c r="CL217" t="s">
        <v>1917</v>
      </c>
    </row>
    <row r="218" spans="1:90">
      <c r="A218">
        <v>398</v>
      </c>
      <c r="B218">
        <v>616</v>
      </c>
      <c r="C218" t="s">
        <v>1250</v>
      </c>
      <c r="D218">
        <v>1</v>
      </c>
      <c r="E218" t="s">
        <v>1492</v>
      </c>
      <c r="F218">
        <v>25</v>
      </c>
      <c r="G218">
        <v>2</v>
      </c>
      <c r="H218">
        <v>2</v>
      </c>
      <c r="I218" t="s">
        <v>286</v>
      </c>
      <c r="J218" t="s">
        <v>1297</v>
      </c>
      <c r="K218" t="s">
        <v>15</v>
      </c>
      <c r="L218" t="s">
        <v>1511</v>
      </c>
      <c r="M218" t="s">
        <v>1492</v>
      </c>
      <c r="N218" t="s">
        <v>1492</v>
      </c>
      <c r="O218" t="s">
        <v>1285</v>
      </c>
      <c r="P218" t="s">
        <v>1379</v>
      </c>
      <c r="Q218" t="s">
        <v>1285</v>
      </c>
      <c r="R218" t="s">
        <v>1379</v>
      </c>
      <c r="S218" t="s">
        <v>1285</v>
      </c>
      <c r="T218" t="s">
        <v>1379</v>
      </c>
      <c r="U218" t="s">
        <v>1285</v>
      </c>
      <c r="V218" t="s">
        <v>1379</v>
      </c>
      <c r="W218" t="s">
        <v>1285</v>
      </c>
      <c r="X218" t="s">
        <v>1372</v>
      </c>
      <c r="Y218" t="s">
        <v>1257</v>
      </c>
      <c r="Z218" t="s">
        <v>1257</v>
      </c>
      <c r="AA218" t="s">
        <v>1257</v>
      </c>
      <c r="AB218" t="s">
        <v>1257</v>
      </c>
      <c r="AC218" t="b">
        <v>0</v>
      </c>
      <c r="AD218" t="b">
        <v>0</v>
      </c>
      <c r="AE218" t="b">
        <v>0</v>
      </c>
      <c r="AF218" t="b">
        <v>0</v>
      </c>
      <c r="AG218" t="b">
        <v>0</v>
      </c>
      <c r="AH218" t="b">
        <v>0</v>
      </c>
      <c r="AI218" t="b">
        <v>0</v>
      </c>
      <c r="AJ218" t="b">
        <v>0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t="b">
        <v>0</v>
      </c>
      <c r="AS218" t="b">
        <v>0</v>
      </c>
      <c r="AT218" t="b">
        <v>0</v>
      </c>
      <c r="AU218" t="b">
        <v>1</v>
      </c>
      <c r="AV218" t="b">
        <v>1</v>
      </c>
      <c r="AW218" t="b">
        <v>1</v>
      </c>
      <c r="AX218" t="b">
        <v>1</v>
      </c>
      <c r="AY218" t="b">
        <v>1</v>
      </c>
      <c r="AZ218" t="b">
        <v>1</v>
      </c>
      <c r="BA218" t="b">
        <v>1</v>
      </c>
      <c r="BB218" t="b">
        <v>1</v>
      </c>
      <c r="BC218" t="b">
        <v>0</v>
      </c>
      <c r="BD218" t="b">
        <v>0</v>
      </c>
      <c r="BE218" t="b">
        <v>0</v>
      </c>
      <c r="BF218" t="b">
        <v>0</v>
      </c>
      <c r="BG218" t="b">
        <v>0</v>
      </c>
      <c r="BH218" t="b">
        <v>0</v>
      </c>
      <c r="BI218" t="b">
        <v>0</v>
      </c>
      <c r="BJ218" t="b">
        <v>0</v>
      </c>
      <c r="BK218" t="b">
        <v>0</v>
      </c>
      <c r="BL218" t="b">
        <v>0</v>
      </c>
      <c r="BM218" t="b">
        <v>0</v>
      </c>
      <c r="BN218" t="b">
        <v>0</v>
      </c>
      <c r="BO218" t="b">
        <v>0</v>
      </c>
      <c r="BP218" t="b">
        <v>0</v>
      </c>
      <c r="BQ218" t="b">
        <v>0</v>
      </c>
      <c r="BR218" t="b">
        <v>0</v>
      </c>
      <c r="BS218" t="b">
        <v>0</v>
      </c>
      <c r="BT218" t="b">
        <v>0</v>
      </c>
      <c r="BU218" t="b">
        <v>0</v>
      </c>
      <c r="BV218" t="b">
        <v>0</v>
      </c>
      <c r="BW218" t="b">
        <v>0</v>
      </c>
      <c r="BX218" t="b">
        <v>0</v>
      </c>
      <c r="BY218" t="b">
        <v>0</v>
      </c>
      <c r="BZ218" t="b">
        <v>0</v>
      </c>
      <c r="CA218" t="b">
        <v>0</v>
      </c>
      <c r="CB218" t="b">
        <v>0</v>
      </c>
      <c r="CC218" t="s">
        <v>1512</v>
      </c>
      <c r="CD218" t="s">
        <v>1492</v>
      </c>
      <c r="CE218" t="s">
        <v>1518</v>
      </c>
      <c r="CF218" t="s">
        <v>1495</v>
      </c>
      <c r="CG218" t="b">
        <v>0</v>
      </c>
      <c r="CH218">
        <v>0</v>
      </c>
      <c r="CI218" t="s">
        <v>1662</v>
      </c>
      <c r="CJ218" t="s">
        <v>1918</v>
      </c>
      <c r="CK218" t="s">
        <v>1251</v>
      </c>
      <c r="CL218" t="s">
        <v>1919</v>
      </c>
    </row>
    <row r="219" spans="1:90">
      <c r="A219">
        <v>397</v>
      </c>
      <c r="B219">
        <v>616</v>
      </c>
      <c r="C219" t="s">
        <v>1250</v>
      </c>
      <c r="D219">
        <v>2</v>
      </c>
      <c r="E219" t="s">
        <v>1492</v>
      </c>
      <c r="F219">
        <v>25</v>
      </c>
      <c r="G219">
        <v>2</v>
      </c>
      <c r="H219">
        <v>2</v>
      </c>
      <c r="I219" t="s">
        <v>286</v>
      </c>
      <c r="J219" t="s">
        <v>1297</v>
      </c>
      <c r="K219" t="s">
        <v>15</v>
      </c>
      <c r="L219" t="s">
        <v>1511</v>
      </c>
      <c r="M219" t="s">
        <v>1492</v>
      </c>
      <c r="N219" t="s">
        <v>1492</v>
      </c>
      <c r="O219" t="s">
        <v>1285</v>
      </c>
      <c r="P219" t="s">
        <v>1379</v>
      </c>
      <c r="Q219" t="s">
        <v>1285</v>
      </c>
      <c r="R219" t="s">
        <v>1379</v>
      </c>
      <c r="S219" t="s">
        <v>1285</v>
      </c>
      <c r="T219" t="s">
        <v>1379</v>
      </c>
      <c r="U219" t="s">
        <v>1285</v>
      </c>
      <c r="V219" t="s">
        <v>1379</v>
      </c>
      <c r="W219" t="s">
        <v>1285</v>
      </c>
      <c r="X219" t="s">
        <v>1372</v>
      </c>
      <c r="Y219" t="s">
        <v>1257</v>
      </c>
      <c r="Z219" t="s">
        <v>1257</v>
      </c>
      <c r="AA219" t="s">
        <v>1257</v>
      </c>
      <c r="AB219" t="s">
        <v>1257</v>
      </c>
      <c r="AC219" t="b">
        <v>0</v>
      </c>
      <c r="AD219" t="b">
        <v>0</v>
      </c>
      <c r="AE219" t="b">
        <v>0</v>
      </c>
      <c r="AF219" t="b">
        <v>0</v>
      </c>
      <c r="AG219" t="b">
        <v>0</v>
      </c>
      <c r="AH219" t="b">
        <v>0</v>
      </c>
      <c r="AI219" t="b">
        <v>0</v>
      </c>
      <c r="AJ219" t="b">
        <v>0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t="b">
        <v>0</v>
      </c>
      <c r="AS219" t="b">
        <v>0</v>
      </c>
      <c r="AT219" t="b">
        <v>0</v>
      </c>
      <c r="AU219" t="b">
        <v>1</v>
      </c>
      <c r="AV219" t="b">
        <v>1</v>
      </c>
      <c r="AW219" t="b">
        <v>1</v>
      </c>
      <c r="AX219" t="b">
        <v>1</v>
      </c>
      <c r="AY219" t="b">
        <v>1</v>
      </c>
      <c r="AZ219" t="b">
        <v>1</v>
      </c>
      <c r="BA219" t="b">
        <v>1</v>
      </c>
      <c r="BB219" t="b">
        <v>1</v>
      </c>
      <c r="BC219" t="b">
        <v>0</v>
      </c>
      <c r="BD219" t="b">
        <v>0</v>
      </c>
      <c r="BE219" t="b">
        <v>0</v>
      </c>
      <c r="BF219" t="b">
        <v>0</v>
      </c>
      <c r="BG219" t="b">
        <v>0</v>
      </c>
      <c r="BH219" t="b">
        <v>0</v>
      </c>
      <c r="BI219" t="b">
        <v>0</v>
      </c>
      <c r="BJ219" t="b">
        <v>0</v>
      </c>
      <c r="BK219" t="b">
        <v>0</v>
      </c>
      <c r="BL219" t="b">
        <v>0</v>
      </c>
      <c r="BM219" t="b">
        <v>0</v>
      </c>
      <c r="BN219" t="b">
        <v>0</v>
      </c>
      <c r="BO219" t="b">
        <v>0</v>
      </c>
      <c r="BP219" t="b">
        <v>0</v>
      </c>
      <c r="BQ219" t="b">
        <v>0</v>
      </c>
      <c r="BR219" t="b">
        <v>0</v>
      </c>
      <c r="BS219" t="b">
        <v>0</v>
      </c>
      <c r="BT219" t="b">
        <v>0</v>
      </c>
      <c r="BU219" t="b">
        <v>0</v>
      </c>
      <c r="BV219" t="b">
        <v>0</v>
      </c>
      <c r="BW219" t="b">
        <v>0</v>
      </c>
      <c r="BX219" t="b">
        <v>0</v>
      </c>
      <c r="BY219" t="b">
        <v>0</v>
      </c>
      <c r="BZ219" t="b">
        <v>0</v>
      </c>
      <c r="CA219" t="b">
        <v>0</v>
      </c>
      <c r="CB219" t="b">
        <v>0</v>
      </c>
      <c r="CC219" t="s">
        <v>1512</v>
      </c>
      <c r="CD219" t="s">
        <v>1492</v>
      </c>
      <c r="CE219" t="s">
        <v>1518</v>
      </c>
      <c r="CF219" t="s">
        <v>1495</v>
      </c>
      <c r="CG219" t="b">
        <v>0</v>
      </c>
      <c r="CH219">
        <v>0</v>
      </c>
      <c r="CI219" t="s">
        <v>1662</v>
      </c>
      <c r="CJ219" t="s">
        <v>1918</v>
      </c>
      <c r="CK219" t="s">
        <v>1251</v>
      </c>
      <c r="CL219" t="s">
        <v>1920</v>
      </c>
    </row>
    <row r="220" spans="1:90">
      <c r="A220">
        <v>401</v>
      </c>
      <c r="B220">
        <v>618</v>
      </c>
      <c r="C220" t="s">
        <v>1250</v>
      </c>
      <c r="D220">
        <v>1</v>
      </c>
      <c r="E220" t="s">
        <v>1492</v>
      </c>
      <c r="F220">
        <v>25</v>
      </c>
      <c r="G220">
        <v>2</v>
      </c>
      <c r="H220">
        <v>2</v>
      </c>
      <c r="I220" t="s">
        <v>389</v>
      </c>
      <c r="J220" t="s">
        <v>1297</v>
      </c>
      <c r="K220" t="s">
        <v>15</v>
      </c>
      <c r="L220" t="s">
        <v>1511</v>
      </c>
      <c r="M220" t="s">
        <v>1492</v>
      </c>
      <c r="N220" t="s">
        <v>1492</v>
      </c>
      <c r="O220" t="s">
        <v>1285</v>
      </c>
      <c r="P220" t="s">
        <v>1379</v>
      </c>
      <c r="Q220" t="s">
        <v>1285</v>
      </c>
      <c r="R220" t="s">
        <v>1379</v>
      </c>
      <c r="S220" t="s">
        <v>1285</v>
      </c>
      <c r="T220" t="s">
        <v>1379</v>
      </c>
      <c r="U220" t="s">
        <v>1285</v>
      </c>
      <c r="V220" t="s">
        <v>1379</v>
      </c>
      <c r="W220" t="s">
        <v>1285</v>
      </c>
      <c r="X220" t="s">
        <v>1372</v>
      </c>
      <c r="Y220" t="s">
        <v>1257</v>
      </c>
      <c r="Z220" t="s">
        <v>1257</v>
      </c>
      <c r="AA220" t="s">
        <v>1257</v>
      </c>
      <c r="AB220" t="s">
        <v>1257</v>
      </c>
      <c r="AC220" t="b">
        <v>0</v>
      </c>
      <c r="AD220" t="b">
        <v>0</v>
      </c>
      <c r="AE220" t="b">
        <v>0</v>
      </c>
      <c r="AF220" t="b">
        <v>0</v>
      </c>
      <c r="AG220" t="b">
        <v>0</v>
      </c>
      <c r="AH220" t="b">
        <v>0</v>
      </c>
      <c r="AI220" t="b">
        <v>0</v>
      </c>
      <c r="AJ220" t="b">
        <v>1</v>
      </c>
      <c r="AK220" t="b">
        <v>1</v>
      </c>
      <c r="AL220" t="b">
        <v>1</v>
      </c>
      <c r="AM220" t="b">
        <v>1</v>
      </c>
      <c r="AN220" t="b">
        <v>1</v>
      </c>
      <c r="AO220" t="b">
        <v>1</v>
      </c>
      <c r="AP220" t="b">
        <v>1</v>
      </c>
      <c r="AQ220" t="b">
        <v>1</v>
      </c>
      <c r="AR220" t="b">
        <v>0</v>
      </c>
      <c r="AS220" t="b">
        <v>0</v>
      </c>
      <c r="AT220" t="b">
        <v>0</v>
      </c>
      <c r="AU220" t="b">
        <v>0</v>
      </c>
      <c r="AV220" t="b">
        <v>0</v>
      </c>
      <c r="AW220" t="b">
        <v>0</v>
      </c>
      <c r="AX220" t="b">
        <v>0</v>
      </c>
      <c r="AY220" t="b">
        <v>0</v>
      </c>
      <c r="AZ220" t="b">
        <v>0</v>
      </c>
      <c r="BA220" t="b">
        <v>0</v>
      </c>
      <c r="BB220" t="b">
        <v>0</v>
      </c>
      <c r="BC220" t="b">
        <v>0</v>
      </c>
      <c r="BD220" t="b">
        <v>0</v>
      </c>
      <c r="BE220" t="b">
        <v>0</v>
      </c>
      <c r="BF220" t="b">
        <v>0</v>
      </c>
      <c r="BG220" t="b">
        <v>0</v>
      </c>
      <c r="BH220" t="b">
        <v>0</v>
      </c>
      <c r="BI220" t="b">
        <v>0</v>
      </c>
      <c r="BJ220" t="b">
        <v>0</v>
      </c>
      <c r="BK220" t="b">
        <v>0</v>
      </c>
      <c r="BL220" t="b">
        <v>0</v>
      </c>
      <c r="BM220" t="b">
        <v>0</v>
      </c>
      <c r="BN220" t="b">
        <v>0</v>
      </c>
      <c r="BO220" t="b">
        <v>0</v>
      </c>
      <c r="BP220" t="b">
        <v>0</v>
      </c>
      <c r="BQ220" t="b">
        <v>0</v>
      </c>
      <c r="BR220" t="b">
        <v>0</v>
      </c>
      <c r="BS220" t="b">
        <v>0</v>
      </c>
      <c r="BT220" t="b">
        <v>0</v>
      </c>
      <c r="BU220" t="b">
        <v>0</v>
      </c>
      <c r="BV220" t="b">
        <v>0</v>
      </c>
      <c r="BW220" t="b">
        <v>0</v>
      </c>
      <c r="BX220" t="b">
        <v>0</v>
      </c>
      <c r="BY220" t="b">
        <v>0</v>
      </c>
      <c r="BZ220" t="b">
        <v>0</v>
      </c>
      <c r="CA220" t="b">
        <v>0</v>
      </c>
      <c r="CB220" t="b">
        <v>0</v>
      </c>
      <c r="CC220" t="s">
        <v>1512</v>
      </c>
      <c r="CD220" t="s">
        <v>1492</v>
      </c>
      <c r="CE220" t="s">
        <v>1513</v>
      </c>
      <c r="CF220" t="s">
        <v>1495</v>
      </c>
      <c r="CG220" t="b">
        <v>0</v>
      </c>
      <c r="CH220">
        <v>0</v>
      </c>
      <c r="CI220" t="s">
        <v>1662</v>
      </c>
      <c r="CJ220" t="s">
        <v>1921</v>
      </c>
      <c r="CK220" t="s">
        <v>1251</v>
      </c>
      <c r="CL220" t="s">
        <v>1922</v>
      </c>
    </row>
    <row r="221" spans="1:90">
      <c r="A221">
        <v>402</v>
      </c>
      <c r="B221">
        <v>618</v>
      </c>
      <c r="C221" t="s">
        <v>1250</v>
      </c>
      <c r="D221">
        <v>2</v>
      </c>
      <c r="E221" t="s">
        <v>1492</v>
      </c>
      <c r="F221">
        <v>25</v>
      </c>
      <c r="G221">
        <v>2</v>
      </c>
      <c r="H221">
        <v>2</v>
      </c>
      <c r="I221" t="s">
        <v>389</v>
      </c>
      <c r="J221" t="s">
        <v>1297</v>
      </c>
      <c r="K221" t="s">
        <v>15</v>
      </c>
      <c r="L221" t="s">
        <v>1511</v>
      </c>
      <c r="M221" t="s">
        <v>1492</v>
      </c>
      <c r="N221" t="s">
        <v>1492</v>
      </c>
      <c r="O221" t="s">
        <v>1285</v>
      </c>
      <c r="P221" t="s">
        <v>1379</v>
      </c>
      <c r="Q221" t="s">
        <v>1285</v>
      </c>
      <c r="R221" t="s">
        <v>1379</v>
      </c>
      <c r="S221" t="s">
        <v>1285</v>
      </c>
      <c r="T221" t="s">
        <v>1379</v>
      </c>
      <c r="U221" t="s">
        <v>1285</v>
      </c>
      <c r="V221" t="s">
        <v>1379</v>
      </c>
      <c r="W221" t="s">
        <v>1285</v>
      </c>
      <c r="X221" t="s">
        <v>1372</v>
      </c>
      <c r="Y221" t="s">
        <v>1257</v>
      </c>
      <c r="Z221" t="s">
        <v>1257</v>
      </c>
      <c r="AA221" t="s">
        <v>1257</v>
      </c>
      <c r="AB221" t="s">
        <v>1257</v>
      </c>
      <c r="AC221" t="b">
        <v>0</v>
      </c>
      <c r="AD221" t="b">
        <v>0</v>
      </c>
      <c r="AE221" t="b">
        <v>0</v>
      </c>
      <c r="AF221" t="b">
        <v>0</v>
      </c>
      <c r="AG221" t="b">
        <v>0</v>
      </c>
      <c r="AH221" t="b">
        <v>0</v>
      </c>
      <c r="AI221" t="b">
        <v>0</v>
      </c>
      <c r="AJ221" t="b">
        <v>1</v>
      </c>
      <c r="AK221" t="b">
        <v>1</v>
      </c>
      <c r="AL221" t="b">
        <v>1</v>
      </c>
      <c r="AM221" t="b">
        <v>1</v>
      </c>
      <c r="AN221" t="b">
        <v>1</v>
      </c>
      <c r="AO221" t="b">
        <v>1</v>
      </c>
      <c r="AP221" t="b">
        <v>1</v>
      </c>
      <c r="AQ221" t="b">
        <v>1</v>
      </c>
      <c r="AR221" t="b">
        <v>0</v>
      </c>
      <c r="AS221" t="b">
        <v>0</v>
      </c>
      <c r="AT221" t="b">
        <v>0</v>
      </c>
      <c r="AU221" t="b">
        <v>0</v>
      </c>
      <c r="AV221" t="b">
        <v>0</v>
      </c>
      <c r="AW221" t="b">
        <v>0</v>
      </c>
      <c r="AX221" t="b">
        <v>0</v>
      </c>
      <c r="AY221" t="b">
        <v>0</v>
      </c>
      <c r="AZ221" t="b">
        <v>0</v>
      </c>
      <c r="BA221" t="b">
        <v>0</v>
      </c>
      <c r="BB221" t="b">
        <v>0</v>
      </c>
      <c r="BC221" t="b">
        <v>0</v>
      </c>
      <c r="BD221" t="b">
        <v>0</v>
      </c>
      <c r="BE221" t="b">
        <v>0</v>
      </c>
      <c r="BF221" t="b">
        <v>0</v>
      </c>
      <c r="BG221" t="b">
        <v>0</v>
      </c>
      <c r="BH221" t="b">
        <v>0</v>
      </c>
      <c r="BI221" t="b">
        <v>0</v>
      </c>
      <c r="BJ221" t="b">
        <v>0</v>
      </c>
      <c r="BK221" t="b">
        <v>0</v>
      </c>
      <c r="BL221" t="b">
        <v>0</v>
      </c>
      <c r="BM221" t="b">
        <v>0</v>
      </c>
      <c r="BN221" t="b">
        <v>0</v>
      </c>
      <c r="BO221" t="b">
        <v>0</v>
      </c>
      <c r="BP221" t="b">
        <v>0</v>
      </c>
      <c r="BQ221" t="b">
        <v>0</v>
      </c>
      <c r="BR221" t="b">
        <v>0</v>
      </c>
      <c r="BS221" t="b">
        <v>0</v>
      </c>
      <c r="BT221" t="b">
        <v>0</v>
      </c>
      <c r="BU221" t="b">
        <v>0</v>
      </c>
      <c r="BV221" t="b">
        <v>0</v>
      </c>
      <c r="BW221" t="b">
        <v>0</v>
      </c>
      <c r="BX221" t="b">
        <v>0</v>
      </c>
      <c r="BY221" t="b">
        <v>0</v>
      </c>
      <c r="BZ221" t="b">
        <v>0</v>
      </c>
      <c r="CA221" t="b">
        <v>0</v>
      </c>
      <c r="CB221" t="b">
        <v>0</v>
      </c>
      <c r="CC221" t="s">
        <v>1512</v>
      </c>
      <c r="CD221" t="s">
        <v>1492</v>
      </c>
      <c r="CE221" t="s">
        <v>1513</v>
      </c>
      <c r="CF221" t="s">
        <v>1495</v>
      </c>
      <c r="CG221" t="b">
        <v>0</v>
      </c>
      <c r="CH221">
        <v>0</v>
      </c>
      <c r="CI221" t="s">
        <v>1662</v>
      </c>
      <c r="CJ221" t="s">
        <v>1921</v>
      </c>
      <c r="CK221" t="s">
        <v>1251</v>
      </c>
      <c r="CL221" t="s">
        <v>1923</v>
      </c>
    </row>
    <row r="222" spans="1:90">
      <c r="A222">
        <v>408</v>
      </c>
      <c r="B222">
        <v>621</v>
      </c>
      <c r="C222" t="s">
        <v>1250</v>
      </c>
      <c r="D222">
        <v>1</v>
      </c>
      <c r="E222" t="s">
        <v>1492</v>
      </c>
      <c r="F222">
        <v>25</v>
      </c>
      <c r="G222">
        <v>2</v>
      </c>
      <c r="H222">
        <v>2</v>
      </c>
      <c r="I222" t="s">
        <v>844</v>
      </c>
      <c r="J222" t="s">
        <v>1297</v>
      </c>
      <c r="K222" t="s">
        <v>15</v>
      </c>
      <c r="L222" t="s">
        <v>1511</v>
      </c>
      <c r="M222" t="s">
        <v>1492</v>
      </c>
      <c r="N222" t="s">
        <v>1492</v>
      </c>
      <c r="O222" t="s">
        <v>1285</v>
      </c>
      <c r="P222" t="s">
        <v>1379</v>
      </c>
      <c r="Q222" t="s">
        <v>1285</v>
      </c>
      <c r="R222" t="s">
        <v>1379</v>
      </c>
      <c r="S222" t="s">
        <v>1285</v>
      </c>
      <c r="T222" t="s">
        <v>1379</v>
      </c>
      <c r="U222" t="s">
        <v>1285</v>
      </c>
      <c r="V222" t="s">
        <v>1379</v>
      </c>
      <c r="W222" t="s">
        <v>1285</v>
      </c>
      <c r="X222" t="s">
        <v>1372</v>
      </c>
      <c r="Y222" t="s">
        <v>1257</v>
      </c>
      <c r="Z222" t="s">
        <v>1257</v>
      </c>
      <c r="AA222" t="s">
        <v>1257</v>
      </c>
      <c r="AB222" t="s">
        <v>1257</v>
      </c>
      <c r="AC222" t="b">
        <v>0</v>
      </c>
      <c r="AD222" t="b">
        <v>0</v>
      </c>
      <c r="AE222" t="b">
        <v>0</v>
      </c>
      <c r="AF222" t="b">
        <v>0</v>
      </c>
      <c r="AG222" t="b">
        <v>0</v>
      </c>
      <c r="AH222" t="b">
        <v>0</v>
      </c>
      <c r="AI222" t="b">
        <v>0</v>
      </c>
      <c r="AJ222" t="b">
        <v>0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t="b">
        <v>0</v>
      </c>
      <c r="AS222" t="b">
        <v>0</v>
      </c>
      <c r="AT222" t="b">
        <v>0</v>
      </c>
      <c r="AU222" t="b">
        <v>0</v>
      </c>
      <c r="AV222" t="b">
        <v>0</v>
      </c>
      <c r="AW222" t="b">
        <v>0</v>
      </c>
      <c r="AX222" t="b">
        <v>0</v>
      </c>
      <c r="AY222" t="b">
        <v>0</v>
      </c>
      <c r="AZ222" t="b">
        <v>0</v>
      </c>
      <c r="BA222" t="b">
        <v>0</v>
      </c>
      <c r="BB222" t="b">
        <v>0</v>
      </c>
      <c r="BC222" t="b">
        <v>0</v>
      </c>
      <c r="BD222" t="b">
        <v>0</v>
      </c>
      <c r="BE222" t="b">
        <v>0</v>
      </c>
      <c r="BF222" t="b">
        <v>1</v>
      </c>
      <c r="BG222" t="b">
        <v>1</v>
      </c>
      <c r="BH222" t="b">
        <v>1</v>
      </c>
      <c r="BI222" t="b">
        <v>1</v>
      </c>
      <c r="BJ222" t="b">
        <v>1</v>
      </c>
      <c r="BK222" t="b">
        <v>1</v>
      </c>
      <c r="BL222" t="b">
        <v>1</v>
      </c>
      <c r="BM222" t="b">
        <v>1</v>
      </c>
      <c r="BN222" t="b">
        <v>0</v>
      </c>
      <c r="BO222" t="b">
        <v>0</v>
      </c>
      <c r="BP222" t="b">
        <v>0</v>
      </c>
      <c r="BQ222" t="b">
        <v>0</v>
      </c>
      <c r="BR222" t="b">
        <v>0</v>
      </c>
      <c r="BS222" t="b">
        <v>0</v>
      </c>
      <c r="BT222" t="b">
        <v>0</v>
      </c>
      <c r="BU222" t="b">
        <v>0</v>
      </c>
      <c r="BV222" t="b">
        <v>0</v>
      </c>
      <c r="BW222" t="b">
        <v>0</v>
      </c>
      <c r="BX222" t="b">
        <v>0</v>
      </c>
      <c r="BY222" t="b">
        <v>0</v>
      </c>
      <c r="BZ222" t="b">
        <v>0</v>
      </c>
      <c r="CA222" t="b">
        <v>0</v>
      </c>
      <c r="CB222" t="b">
        <v>0</v>
      </c>
      <c r="CC222" t="s">
        <v>1512</v>
      </c>
      <c r="CD222" t="s">
        <v>1492</v>
      </c>
      <c r="CE222" t="s">
        <v>1513</v>
      </c>
      <c r="CF222" t="s">
        <v>1495</v>
      </c>
      <c r="CG222" t="b">
        <v>0</v>
      </c>
      <c r="CH222">
        <v>0</v>
      </c>
      <c r="CI222" t="s">
        <v>1662</v>
      </c>
      <c r="CJ222" t="s">
        <v>1924</v>
      </c>
      <c r="CK222" t="s">
        <v>1251</v>
      </c>
      <c r="CL222" t="s">
        <v>1925</v>
      </c>
    </row>
    <row r="223" spans="1:90">
      <c r="A223">
        <v>407</v>
      </c>
      <c r="B223">
        <v>621</v>
      </c>
      <c r="C223" t="s">
        <v>1250</v>
      </c>
      <c r="D223">
        <v>2</v>
      </c>
      <c r="E223" t="s">
        <v>1492</v>
      </c>
      <c r="F223">
        <v>25</v>
      </c>
      <c r="G223">
        <v>2</v>
      </c>
      <c r="H223">
        <v>2</v>
      </c>
      <c r="I223" t="s">
        <v>844</v>
      </c>
      <c r="J223" t="s">
        <v>1297</v>
      </c>
      <c r="K223" t="s">
        <v>15</v>
      </c>
      <c r="L223" t="s">
        <v>1511</v>
      </c>
      <c r="M223" t="s">
        <v>1492</v>
      </c>
      <c r="N223" t="s">
        <v>1492</v>
      </c>
      <c r="O223" t="s">
        <v>1285</v>
      </c>
      <c r="P223" t="s">
        <v>1379</v>
      </c>
      <c r="Q223" t="s">
        <v>1285</v>
      </c>
      <c r="R223" t="s">
        <v>1379</v>
      </c>
      <c r="S223" t="s">
        <v>1285</v>
      </c>
      <c r="T223" t="s">
        <v>1379</v>
      </c>
      <c r="U223" t="s">
        <v>1285</v>
      </c>
      <c r="V223" t="s">
        <v>1379</v>
      </c>
      <c r="W223" t="s">
        <v>1285</v>
      </c>
      <c r="X223" t="s">
        <v>1372</v>
      </c>
      <c r="Y223" t="s">
        <v>1257</v>
      </c>
      <c r="Z223" t="s">
        <v>1257</v>
      </c>
      <c r="AA223" t="s">
        <v>1257</v>
      </c>
      <c r="AB223" t="s">
        <v>1257</v>
      </c>
      <c r="AC223" t="b">
        <v>0</v>
      </c>
      <c r="AD223" t="b">
        <v>0</v>
      </c>
      <c r="AE223" t="b">
        <v>0</v>
      </c>
      <c r="AF223" t="b">
        <v>0</v>
      </c>
      <c r="AG223" t="b">
        <v>0</v>
      </c>
      <c r="AH223" t="b">
        <v>0</v>
      </c>
      <c r="AI223" t="b">
        <v>0</v>
      </c>
      <c r="AJ223" t="b">
        <v>0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t="b">
        <v>0</v>
      </c>
      <c r="AS223" t="b">
        <v>0</v>
      </c>
      <c r="AT223" t="b">
        <v>0</v>
      </c>
      <c r="AU223" t="b">
        <v>0</v>
      </c>
      <c r="AV223" t="b">
        <v>0</v>
      </c>
      <c r="AW223" t="b">
        <v>0</v>
      </c>
      <c r="AX223" t="b">
        <v>0</v>
      </c>
      <c r="AY223" t="b">
        <v>0</v>
      </c>
      <c r="AZ223" t="b">
        <v>0</v>
      </c>
      <c r="BA223" t="b">
        <v>0</v>
      </c>
      <c r="BB223" t="b">
        <v>0</v>
      </c>
      <c r="BC223" t="b">
        <v>0</v>
      </c>
      <c r="BD223" t="b">
        <v>0</v>
      </c>
      <c r="BE223" t="b">
        <v>0</v>
      </c>
      <c r="BF223" t="b">
        <v>1</v>
      </c>
      <c r="BG223" t="b">
        <v>1</v>
      </c>
      <c r="BH223" t="b">
        <v>1</v>
      </c>
      <c r="BI223" t="b">
        <v>1</v>
      </c>
      <c r="BJ223" t="b">
        <v>1</v>
      </c>
      <c r="BK223" t="b">
        <v>1</v>
      </c>
      <c r="BL223" t="b">
        <v>1</v>
      </c>
      <c r="BM223" t="b">
        <v>1</v>
      </c>
      <c r="BN223" t="b">
        <v>0</v>
      </c>
      <c r="BO223" t="b">
        <v>0</v>
      </c>
      <c r="BP223" t="b">
        <v>0</v>
      </c>
      <c r="BQ223" t="b">
        <v>0</v>
      </c>
      <c r="BR223" t="b">
        <v>0</v>
      </c>
      <c r="BS223" t="b">
        <v>0</v>
      </c>
      <c r="BT223" t="b">
        <v>0</v>
      </c>
      <c r="BU223" t="b">
        <v>0</v>
      </c>
      <c r="BV223" t="b">
        <v>0</v>
      </c>
      <c r="BW223" t="b">
        <v>0</v>
      </c>
      <c r="BX223" t="b">
        <v>0</v>
      </c>
      <c r="BY223" t="b">
        <v>0</v>
      </c>
      <c r="BZ223" t="b">
        <v>0</v>
      </c>
      <c r="CA223" t="b">
        <v>0</v>
      </c>
      <c r="CB223" t="b">
        <v>0</v>
      </c>
      <c r="CC223" t="s">
        <v>1512</v>
      </c>
      <c r="CD223" t="s">
        <v>1492</v>
      </c>
      <c r="CE223" t="s">
        <v>1513</v>
      </c>
      <c r="CF223" t="s">
        <v>1495</v>
      </c>
      <c r="CG223" t="b">
        <v>0</v>
      </c>
      <c r="CH223">
        <v>0</v>
      </c>
      <c r="CI223" t="s">
        <v>1662</v>
      </c>
      <c r="CJ223" t="s">
        <v>1924</v>
      </c>
      <c r="CK223" t="s">
        <v>1251</v>
      </c>
      <c r="CL223" t="s">
        <v>1926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F0DCA-7D18-4AA6-9418-4E0A1AD2B362}">
  <sheetPr codeName="Staff"/>
  <dimension ref="A1:C555"/>
  <sheetViews>
    <sheetView topLeftCell="A538" workbookViewId="0">
      <selection activeCell="C560" sqref="C560"/>
    </sheetView>
  </sheetViews>
  <sheetFormatPr defaultColWidth="8.875" defaultRowHeight="14.25"/>
  <cols>
    <col min="1" max="1" width="5.375" bestFit="1" customWidth="1"/>
    <col min="2" max="2" width="34.375" bestFit="1" customWidth="1"/>
    <col min="3" max="3" width="23.625" bestFit="1" customWidth="1"/>
  </cols>
  <sheetData>
    <row r="1" spans="1:3">
      <c r="A1" t="s">
        <v>190</v>
      </c>
      <c r="B1" t="s">
        <v>191</v>
      </c>
      <c r="C1" t="s">
        <v>192</v>
      </c>
    </row>
    <row r="2" spans="1:3">
      <c r="A2">
        <v>554</v>
      </c>
      <c r="B2" t="s">
        <v>193</v>
      </c>
      <c r="C2" t="s">
        <v>194</v>
      </c>
    </row>
    <row r="3" spans="1:3">
      <c r="A3">
        <v>580</v>
      </c>
      <c r="B3" t="s">
        <v>195</v>
      </c>
      <c r="C3" t="s">
        <v>196</v>
      </c>
    </row>
    <row r="4" spans="1:3">
      <c r="A4">
        <v>788</v>
      </c>
      <c r="B4" t="s">
        <v>197</v>
      </c>
      <c r="C4" t="s">
        <v>198</v>
      </c>
    </row>
    <row r="5" spans="1:3">
      <c r="A5">
        <v>1095</v>
      </c>
      <c r="B5" t="s">
        <v>199</v>
      </c>
      <c r="C5" t="s">
        <v>200</v>
      </c>
    </row>
    <row r="6" spans="1:3">
      <c r="A6">
        <v>771</v>
      </c>
      <c r="B6" t="s">
        <v>201</v>
      </c>
      <c r="C6" t="s">
        <v>202</v>
      </c>
    </row>
    <row r="7" spans="1:3">
      <c r="A7">
        <v>1053</v>
      </c>
      <c r="B7" t="s">
        <v>203</v>
      </c>
      <c r="C7" t="s">
        <v>204</v>
      </c>
    </row>
    <row r="8" spans="1:3">
      <c r="A8">
        <v>1034</v>
      </c>
      <c r="B8" t="s">
        <v>205</v>
      </c>
      <c r="C8" t="s">
        <v>206</v>
      </c>
    </row>
    <row r="9" spans="1:3">
      <c r="A9">
        <v>508</v>
      </c>
      <c r="B9" t="s">
        <v>207</v>
      </c>
      <c r="C9" t="s">
        <v>207</v>
      </c>
    </row>
    <row r="10" spans="1:3">
      <c r="A10">
        <v>904</v>
      </c>
      <c r="B10" t="s">
        <v>208</v>
      </c>
      <c r="C10" t="s">
        <v>209</v>
      </c>
    </row>
    <row r="11" spans="1:3">
      <c r="A11">
        <v>642</v>
      </c>
      <c r="B11" t="s">
        <v>210</v>
      </c>
      <c r="C11" t="s">
        <v>211</v>
      </c>
    </row>
    <row r="12" spans="1:3">
      <c r="A12">
        <v>673</v>
      </c>
      <c r="B12" t="s">
        <v>212</v>
      </c>
      <c r="C12" t="s">
        <v>213</v>
      </c>
    </row>
    <row r="13" spans="1:3">
      <c r="A13">
        <v>1124</v>
      </c>
      <c r="B13" t="s">
        <v>214</v>
      </c>
      <c r="C13" t="s">
        <v>215</v>
      </c>
    </row>
    <row r="14" spans="1:3">
      <c r="A14">
        <v>509</v>
      </c>
      <c r="B14" t="s">
        <v>216</v>
      </c>
      <c r="C14" t="s">
        <v>217</v>
      </c>
    </row>
    <row r="15" spans="1:3">
      <c r="A15">
        <v>529</v>
      </c>
      <c r="B15" t="s">
        <v>218</v>
      </c>
      <c r="C15" t="s">
        <v>219</v>
      </c>
    </row>
    <row r="16" spans="1:3">
      <c r="A16">
        <v>960</v>
      </c>
      <c r="B16" t="s">
        <v>220</v>
      </c>
      <c r="C16" t="s">
        <v>221</v>
      </c>
    </row>
    <row r="17" spans="1:3">
      <c r="A17">
        <v>775</v>
      </c>
      <c r="B17" t="s">
        <v>222</v>
      </c>
      <c r="C17" t="s">
        <v>223</v>
      </c>
    </row>
    <row r="18" spans="1:3">
      <c r="A18">
        <v>727</v>
      </c>
      <c r="B18" t="s">
        <v>224</v>
      </c>
      <c r="C18" t="s">
        <v>225</v>
      </c>
    </row>
    <row r="19" spans="1:3">
      <c r="A19">
        <v>590</v>
      </c>
      <c r="B19" t="s">
        <v>226</v>
      </c>
      <c r="C19" t="s">
        <v>227</v>
      </c>
    </row>
    <row r="20" spans="1:3">
      <c r="A20">
        <v>1060</v>
      </c>
      <c r="B20" t="s">
        <v>228</v>
      </c>
      <c r="C20" t="s">
        <v>229</v>
      </c>
    </row>
    <row r="21" spans="1:3">
      <c r="A21">
        <v>697</v>
      </c>
      <c r="B21" t="s">
        <v>230</v>
      </c>
      <c r="C21" t="s">
        <v>231</v>
      </c>
    </row>
    <row r="22" spans="1:3">
      <c r="A22">
        <v>1025</v>
      </c>
      <c r="B22" t="s">
        <v>232</v>
      </c>
      <c r="C22" t="s">
        <v>233</v>
      </c>
    </row>
    <row r="23" spans="1:3">
      <c r="A23">
        <v>700</v>
      </c>
      <c r="B23" t="s">
        <v>234</v>
      </c>
      <c r="C23" t="s">
        <v>235</v>
      </c>
    </row>
    <row r="24" spans="1:3">
      <c r="A24">
        <v>548</v>
      </c>
      <c r="B24" t="s">
        <v>236</v>
      </c>
      <c r="C24" t="s">
        <v>237</v>
      </c>
    </row>
    <row r="25" spans="1:3">
      <c r="A25">
        <v>728</v>
      </c>
      <c r="B25" t="s">
        <v>238</v>
      </c>
      <c r="C25" t="s">
        <v>239</v>
      </c>
    </row>
    <row r="26" spans="1:3">
      <c r="A26">
        <v>1054</v>
      </c>
      <c r="B26" t="s">
        <v>240</v>
      </c>
      <c r="C26" t="s">
        <v>241</v>
      </c>
    </row>
    <row r="27" spans="1:3">
      <c r="A27">
        <v>1076</v>
      </c>
      <c r="B27" t="s">
        <v>242</v>
      </c>
      <c r="C27" t="s">
        <v>243</v>
      </c>
    </row>
    <row r="28" spans="1:3">
      <c r="A28">
        <v>1055</v>
      </c>
      <c r="B28" t="s">
        <v>244</v>
      </c>
      <c r="C28" t="s">
        <v>245</v>
      </c>
    </row>
    <row r="29" spans="1:3">
      <c r="A29">
        <v>1045</v>
      </c>
      <c r="B29" t="s">
        <v>246</v>
      </c>
      <c r="C29" t="s">
        <v>247</v>
      </c>
    </row>
    <row r="30" spans="1:3">
      <c r="A30">
        <v>687</v>
      </c>
      <c r="B30" t="s">
        <v>248</v>
      </c>
      <c r="C30" t="s">
        <v>249</v>
      </c>
    </row>
    <row r="31" spans="1:3">
      <c r="A31">
        <v>1134</v>
      </c>
      <c r="B31" t="s">
        <v>250</v>
      </c>
      <c r="C31" t="s">
        <v>251</v>
      </c>
    </row>
    <row r="32" spans="1:3">
      <c r="A32">
        <v>522</v>
      </c>
      <c r="B32" t="s">
        <v>252</v>
      </c>
      <c r="C32" t="s">
        <v>253</v>
      </c>
    </row>
    <row r="33" spans="1:3">
      <c r="A33">
        <v>523</v>
      </c>
      <c r="B33" t="s">
        <v>254</v>
      </c>
      <c r="C33" t="s">
        <v>255</v>
      </c>
    </row>
    <row r="34" spans="1:3">
      <c r="A34">
        <v>680</v>
      </c>
      <c r="B34" t="s">
        <v>256</v>
      </c>
      <c r="C34" t="s">
        <v>257</v>
      </c>
    </row>
    <row r="35" spans="1:3">
      <c r="A35">
        <v>759</v>
      </c>
      <c r="B35" t="s">
        <v>258</v>
      </c>
      <c r="C35" t="s">
        <v>259</v>
      </c>
    </row>
    <row r="36" spans="1:3">
      <c r="A36">
        <v>902</v>
      </c>
      <c r="B36" t="s">
        <v>260</v>
      </c>
      <c r="C36" t="s">
        <v>261</v>
      </c>
    </row>
    <row r="37" spans="1:3">
      <c r="A37">
        <v>942</v>
      </c>
      <c r="B37" t="s">
        <v>262</v>
      </c>
      <c r="C37" t="s">
        <v>263</v>
      </c>
    </row>
    <row r="38" spans="1:3">
      <c r="A38">
        <v>1000</v>
      </c>
      <c r="B38" t="s">
        <v>264</v>
      </c>
      <c r="C38" t="s">
        <v>265</v>
      </c>
    </row>
    <row r="39" spans="1:3">
      <c r="A39">
        <v>684</v>
      </c>
      <c r="B39" t="s">
        <v>266</v>
      </c>
      <c r="C39" t="s">
        <v>267</v>
      </c>
    </row>
    <row r="40" spans="1:3">
      <c r="A40">
        <v>565</v>
      </c>
      <c r="B40" t="s">
        <v>268</v>
      </c>
      <c r="C40" t="s">
        <v>269</v>
      </c>
    </row>
    <row r="41" spans="1:3">
      <c r="A41">
        <v>664</v>
      </c>
      <c r="B41" t="s">
        <v>270</v>
      </c>
      <c r="C41" t="s">
        <v>271</v>
      </c>
    </row>
    <row r="42" spans="1:3">
      <c r="A42">
        <v>762</v>
      </c>
      <c r="B42" t="s">
        <v>272</v>
      </c>
      <c r="C42" t="s">
        <v>273</v>
      </c>
    </row>
    <row r="43" spans="1:3">
      <c r="A43">
        <v>739</v>
      </c>
      <c r="B43" t="s">
        <v>274</v>
      </c>
      <c r="C43" t="s">
        <v>275</v>
      </c>
    </row>
    <row r="44" spans="1:3">
      <c r="A44">
        <v>566</v>
      </c>
      <c r="B44" t="s">
        <v>276</v>
      </c>
      <c r="C44" t="s">
        <v>277</v>
      </c>
    </row>
    <row r="45" spans="1:3">
      <c r="A45">
        <v>887</v>
      </c>
      <c r="B45" t="s">
        <v>278</v>
      </c>
      <c r="C45" t="s">
        <v>279</v>
      </c>
    </row>
    <row r="46" spans="1:3">
      <c r="A46">
        <v>893</v>
      </c>
      <c r="B46" t="s">
        <v>280</v>
      </c>
      <c r="C46" t="s">
        <v>281</v>
      </c>
    </row>
    <row r="47" spans="1:3">
      <c r="A47">
        <v>617</v>
      </c>
      <c r="B47" t="s">
        <v>282</v>
      </c>
      <c r="C47" t="s">
        <v>283</v>
      </c>
    </row>
    <row r="48" spans="1:3">
      <c r="A48">
        <v>671</v>
      </c>
      <c r="B48" t="s">
        <v>284</v>
      </c>
      <c r="C48" t="s">
        <v>285</v>
      </c>
    </row>
    <row r="49" spans="1:3">
      <c r="A49">
        <v>918</v>
      </c>
      <c r="B49" t="s">
        <v>286</v>
      </c>
      <c r="C49" t="s">
        <v>287</v>
      </c>
    </row>
    <row r="50" spans="1:3">
      <c r="A50">
        <v>1107</v>
      </c>
      <c r="B50" t="s">
        <v>288</v>
      </c>
      <c r="C50" t="s">
        <v>289</v>
      </c>
    </row>
    <row r="51" spans="1:3">
      <c r="A51">
        <v>1109</v>
      </c>
      <c r="B51" t="s">
        <v>290</v>
      </c>
      <c r="C51" t="s">
        <v>290</v>
      </c>
    </row>
    <row r="52" spans="1:3">
      <c r="A52">
        <v>534</v>
      </c>
      <c r="B52" t="s">
        <v>291</v>
      </c>
      <c r="C52" t="s">
        <v>291</v>
      </c>
    </row>
    <row r="53" spans="1:3">
      <c r="A53">
        <v>919</v>
      </c>
      <c r="B53" t="s">
        <v>292</v>
      </c>
      <c r="C53" t="s">
        <v>293</v>
      </c>
    </row>
    <row r="54" spans="1:3">
      <c r="A54">
        <v>512</v>
      </c>
      <c r="B54" t="s">
        <v>294</v>
      </c>
      <c r="C54" t="s">
        <v>295</v>
      </c>
    </row>
    <row r="55" spans="1:3">
      <c r="A55">
        <v>915</v>
      </c>
      <c r="B55" t="s">
        <v>296</v>
      </c>
      <c r="C55" t="s">
        <v>297</v>
      </c>
    </row>
    <row r="56" spans="1:3">
      <c r="A56">
        <v>538</v>
      </c>
      <c r="B56" t="s">
        <v>298</v>
      </c>
      <c r="C56" t="s">
        <v>298</v>
      </c>
    </row>
    <row r="57" spans="1:3">
      <c r="A57">
        <v>880</v>
      </c>
      <c r="B57" t="s">
        <v>299</v>
      </c>
      <c r="C57" t="s">
        <v>300</v>
      </c>
    </row>
    <row r="58" spans="1:3">
      <c r="A58">
        <v>1103</v>
      </c>
      <c r="B58" t="s">
        <v>301</v>
      </c>
      <c r="C58" t="s">
        <v>301</v>
      </c>
    </row>
    <row r="59" spans="1:3">
      <c r="A59">
        <v>1119</v>
      </c>
      <c r="B59" t="s">
        <v>302</v>
      </c>
      <c r="C59" t="s">
        <v>303</v>
      </c>
    </row>
    <row r="60" spans="1:3">
      <c r="A60">
        <v>581</v>
      </c>
      <c r="B60" t="s">
        <v>304</v>
      </c>
      <c r="C60" t="s">
        <v>305</v>
      </c>
    </row>
    <row r="61" spans="1:3">
      <c r="A61">
        <v>639</v>
      </c>
      <c r="B61" t="s">
        <v>306</v>
      </c>
      <c r="C61" t="s">
        <v>307</v>
      </c>
    </row>
    <row r="62" spans="1:3">
      <c r="A62">
        <v>768</v>
      </c>
      <c r="B62" t="s">
        <v>308</v>
      </c>
      <c r="C62" t="s">
        <v>309</v>
      </c>
    </row>
    <row r="63" spans="1:3">
      <c r="A63">
        <v>862</v>
      </c>
      <c r="B63" t="s">
        <v>310</v>
      </c>
      <c r="C63" t="s">
        <v>311</v>
      </c>
    </row>
    <row r="64" spans="1:3">
      <c r="A64">
        <v>587</v>
      </c>
      <c r="B64" t="s">
        <v>312</v>
      </c>
      <c r="C64" t="s">
        <v>313</v>
      </c>
    </row>
    <row r="65" spans="1:3">
      <c r="A65">
        <v>632</v>
      </c>
      <c r="B65" t="s">
        <v>314</v>
      </c>
      <c r="C65" t="s">
        <v>315</v>
      </c>
    </row>
    <row r="66" spans="1:3">
      <c r="A66">
        <v>923</v>
      </c>
      <c r="B66" t="s">
        <v>316</v>
      </c>
      <c r="C66" t="s">
        <v>317</v>
      </c>
    </row>
    <row r="67" spans="1:3">
      <c r="A67">
        <v>791</v>
      </c>
      <c r="B67" t="s">
        <v>318</v>
      </c>
      <c r="C67" t="s">
        <v>319</v>
      </c>
    </row>
    <row r="68" spans="1:3">
      <c r="A68">
        <v>1111</v>
      </c>
      <c r="B68" t="s">
        <v>320</v>
      </c>
      <c r="C68" t="s">
        <v>321</v>
      </c>
    </row>
    <row r="69" spans="1:3">
      <c r="A69">
        <v>736</v>
      </c>
      <c r="B69" t="s">
        <v>322</v>
      </c>
      <c r="C69" t="s">
        <v>323</v>
      </c>
    </row>
    <row r="70" spans="1:3">
      <c r="A70">
        <v>1050</v>
      </c>
      <c r="B70" t="s">
        <v>324</v>
      </c>
      <c r="C70" t="s">
        <v>325</v>
      </c>
    </row>
    <row r="71" spans="1:3">
      <c r="A71">
        <v>1145</v>
      </c>
      <c r="B71" t="s">
        <v>326</v>
      </c>
      <c r="C71" t="s">
        <v>327</v>
      </c>
    </row>
    <row r="72" spans="1:3">
      <c r="A72">
        <v>1093</v>
      </c>
      <c r="B72" t="s">
        <v>328</v>
      </c>
      <c r="C72" t="s">
        <v>329</v>
      </c>
    </row>
    <row r="73" spans="1:3">
      <c r="A73">
        <v>555</v>
      </c>
      <c r="B73" t="s">
        <v>330</v>
      </c>
      <c r="C73" t="s">
        <v>330</v>
      </c>
    </row>
    <row r="74" spans="1:3">
      <c r="A74">
        <v>691</v>
      </c>
      <c r="B74" t="s">
        <v>331</v>
      </c>
      <c r="C74" t="s">
        <v>332</v>
      </c>
    </row>
    <row r="75" spans="1:3">
      <c r="A75">
        <v>557</v>
      </c>
      <c r="B75" t="s">
        <v>333</v>
      </c>
      <c r="C75" t="s">
        <v>333</v>
      </c>
    </row>
    <row r="76" spans="1:3">
      <c r="A76">
        <v>809</v>
      </c>
      <c r="B76" t="s">
        <v>334</v>
      </c>
      <c r="C76" t="s">
        <v>335</v>
      </c>
    </row>
    <row r="77" spans="1:3">
      <c r="A77">
        <v>747</v>
      </c>
      <c r="B77" t="s">
        <v>336</v>
      </c>
      <c r="C77" t="s">
        <v>337</v>
      </c>
    </row>
    <row r="78" spans="1:3">
      <c r="A78">
        <v>879</v>
      </c>
      <c r="B78" t="s">
        <v>338</v>
      </c>
      <c r="C78" t="s">
        <v>339</v>
      </c>
    </row>
    <row r="79" spans="1:3">
      <c r="A79">
        <v>1013</v>
      </c>
      <c r="B79" t="s">
        <v>340</v>
      </c>
      <c r="C79" t="s">
        <v>341</v>
      </c>
    </row>
    <row r="80" spans="1:3">
      <c r="A80">
        <v>717</v>
      </c>
      <c r="B80" t="s">
        <v>342</v>
      </c>
      <c r="C80" t="s">
        <v>343</v>
      </c>
    </row>
    <row r="81" spans="1:3">
      <c r="A81">
        <v>926</v>
      </c>
      <c r="B81" t="s">
        <v>344</v>
      </c>
      <c r="C81" t="s">
        <v>345</v>
      </c>
    </row>
    <row r="82" spans="1:3">
      <c r="A82">
        <v>562</v>
      </c>
      <c r="B82" t="s">
        <v>346</v>
      </c>
      <c r="C82" t="s">
        <v>346</v>
      </c>
    </row>
    <row r="83" spans="1:3">
      <c r="A83">
        <v>870</v>
      </c>
      <c r="B83" t="s">
        <v>347</v>
      </c>
      <c r="C83" t="s">
        <v>348</v>
      </c>
    </row>
    <row r="84" spans="1:3">
      <c r="A84">
        <v>670</v>
      </c>
      <c r="B84" t="s">
        <v>349</v>
      </c>
      <c r="C84" t="s">
        <v>350</v>
      </c>
    </row>
    <row r="85" spans="1:3">
      <c r="A85">
        <v>877</v>
      </c>
      <c r="B85" t="s">
        <v>351</v>
      </c>
      <c r="C85" t="s">
        <v>352</v>
      </c>
    </row>
    <row r="86" spans="1:3">
      <c r="A86">
        <v>567</v>
      </c>
      <c r="B86" t="s">
        <v>353</v>
      </c>
      <c r="C86" t="s">
        <v>354</v>
      </c>
    </row>
    <row r="87" spans="1:3">
      <c r="A87">
        <v>602</v>
      </c>
      <c r="B87" t="s">
        <v>355</v>
      </c>
      <c r="C87" t="s">
        <v>356</v>
      </c>
    </row>
    <row r="88" spans="1:3">
      <c r="A88">
        <v>1061</v>
      </c>
      <c r="B88" t="s">
        <v>357</v>
      </c>
      <c r="C88" t="s">
        <v>358</v>
      </c>
    </row>
    <row r="89" spans="1:3">
      <c r="A89">
        <v>594</v>
      </c>
      <c r="B89" t="s">
        <v>359</v>
      </c>
      <c r="C89" t="s">
        <v>360</v>
      </c>
    </row>
    <row r="90" spans="1:3">
      <c r="A90">
        <v>552</v>
      </c>
      <c r="B90" t="s">
        <v>361</v>
      </c>
      <c r="C90" t="s">
        <v>362</v>
      </c>
    </row>
    <row r="91" spans="1:3">
      <c r="A91">
        <v>746</v>
      </c>
      <c r="B91" t="s">
        <v>363</v>
      </c>
      <c r="C91" t="s">
        <v>364</v>
      </c>
    </row>
    <row r="92" spans="1:3">
      <c r="A92">
        <v>800</v>
      </c>
      <c r="B92" t="s">
        <v>365</v>
      </c>
      <c r="C92" t="s">
        <v>366</v>
      </c>
    </row>
    <row r="93" spans="1:3">
      <c r="A93">
        <v>941</v>
      </c>
      <c r="B93" t="s">
        <v>367</v>
      </c>
      <c r="C93" t="s">
        <v>368</v>
      </c>
    </row>
    <row r="94" spans="1:3">
      <c r="A94">
        <v>950</v>
      </c>
      <c r="B94" t="s">
        <v>369</v>
      </c>
      <c r="C94" t="s">
        <v>370</v>
      </c>
    </row>
    <row r="95" spans="1:3">
      <c r="A95">
        <v>1091</v>
      </c>
      <c r="B95" t="s">
        <v>371</v>
      </c>
      <c r="C95" t="s">
        <v>372</v>
      </c>
    </row>
    <row r="96" spans="1:3">
      <c r="A96">
        <v>758</v>
      </c>
      <c r="B96" t="s">
        <v>373</v>
      </c>
      <c r="C96" t="s">
        <v>374</v>
      </c>
    </row>
    <row r="97" spans="1:3">
      <c r="A97">
        <v>569</v>
      </c>
      <c r="B97" t="s">
        <v>375</v>
      </c>
      <c r="C97" t="s">
        <v>375</v>
      </c>
    </row>
    <row r="98" spans="1:3">
      <c r="A98">
        <v>553</v>
      </c>
      <c r="B98" t="s">
        <v>376</v>
      </c>
      <c r="C98" t="s">
        <v>377</v>
      </c>
    </row>
    <row r="99" spans="1:3">
      <c r="A99">
        <v>1154</v>
      </c>
      <c r="B99" t="s">
        <v>378</v>
      </c>
      <c r="C99" t="s">
        <v>379</v>
      </c>
    </row>
    <row r="100" spans="1:3">
      <c r="A100">
        <v>1012</v>
      </c>
      <c r="B100" t="s">
        <v>380</v>
      </c>
      <c r="C100" t="s">
        <v>381</v>
      </c>
    </row>
    <row r="101" spans="1:3">
      <c r="A101">
        <v>735</v>
      </c>
      <c r="B101" t="s">
        <v>382</v>
      </c>
      <c r="C101" t="s">
        <v>383</v>
      </c>
    </row>
    <row r="102" spans="1:3">
      <c r="A102">
        <v>984</v>
      </c>
      <c r="B102" t="s">
        <v>384</v>
      </c>
      <c r="C102" t="s">
        <v>385</v>
      </c>
    </row>
    <row r="103" spans="1:3">
      <c r="A103">
        <v>820</v>
      </c>
      <c r="B103" t="s">
        <v>386</v>
      </c>
      <c r="C103" t="s">
        <v>387</v>
      </c>
    </row>
    <row r="104" spans="1:3">
      <c r="A104">
        <v>570</v>
      </c>
      <c r="B104" t="s">
        <v>388</v>
      </c>
      <c r="C104" t="s">
        <v>388</v>
      </c>
    </row>
    <row r="105" spans="1:3">
      <c r="A105">
        <v>884</v>
      </c>
      <c r="B105" t="s">
        <v>389</v>
      </c>
      <c r="C105" t="s">
        <v>390</v>
      </c>
    </row>
    <row r="106" spans="1:3">
      <c r="A106">
        <v>1026</v>
      </c>
      <c r="B106" t="s">
        <v>391</v>
      </c>
      <c r="C106" t="s">
        <v>392</v>
      </c>
    </row>
    <row r="107" spans="1:3">
      <c r="A107">
        <v>764</v>
      </c>
      <c r="B107" t="s">
        <v>393</v>
      </c>
      <c r="C107" t="s">
        <v>394</v>
      </c>
    </row>
    <row r="108" spans="1:3">
      <c r="A108">
        <v>546</v>
      </c>
      <c r="B108" t="s">
        <v>395</v>
      </c>
      <c r="C108" t="s">
        <v>396</v>
      </c>
    </row>
    <row r="109" spans="1:3">
      <c r="A109">
        <v>539</v>
      </c>
      <c r="B109" t="s">
        <v>397</v>
      </c>
      <c r="C109" t="s">
        <v>398</v>
      </c>
    </row>
    <row r="110" spans="1:3">
      <c r="A110">
        <v>578</v>
      </c>
      <c r="B110" t="s">
        <v>399</v>
      </c>
      <c r="C110" t="s">
        <v>400</v>
      </c>
    </row>
    <row r="111" spans="1:3">
      <c r="A111">
        <v>1077</v>
      </c>
      <c r="B111" t="s">
        <v>401</v>
      </c>
      <c r="C111" t="s">
        <v>402</v>
      </c>
    </row>
    <row r="112" spans="1:3">
      <c r="A112">
        <v>1098</v>
      </c>
      <c r="B112" t="s">
        <v>403</v>
      </c>
      <c r="C112" t="s">
        <v>404</v>
      </c>
    </row>
    <row r="113" spans="1:3">
      <c r="A113">
        <v>610</v>
      </c>
      <c r="B113" t="s">
        <v>405</v>
      </c>
      <c r="C113" t="s">
        <v>406</v>
      </c>
    </row>
    <row r="114" spans="1:3">
      <c r="A114">
        <v>1044</v>
      </c>
      <c r="B114" t="s">
        <v>407</v>
      </c>
      <c r="C114" t="s">
        <v>408</v>
      </c>
    </row>
    <row r="115" spans="1:3">
      <c r="A115">
        <v>1031</v>
      </c>
      <c r="B115" t="s">
        <v>409</v>
      </c>
      <c r="C115" t="s">
        <v>410</v>
      </c>
    </row>
    <row r="116" spans="1:3">
      <c r="A116">
        <v>1112</v>
      </c>
      <c r="B116" t="s">
        <v>411</v>
      </c>
      <c r="C116" t="s">
        <v>411</v>
      </c>
    </row>
    <row r="117" spans="1:3">
      <c r="A117">
        <v>585</v>
      </c>
      <c r="B117" t="s">
        <v>412</v>
      </c>
      <c r="C117" t="s">
        <v>412</v>
      </c>
    </row>
    <row r="118" spans="1:3">
      <c r="A118">
        <v>1117</v>
      </c>
      <c r="B118" t="s">
        <v>413</v>
      </c>
      <c r="C118" t="s">
        <v>414</v>
      </c>
    </row>
    <row r="119" spans="1:3">
      <c r="A119">
        <v>1014</v>
      </c>
      <c r="B119" t="s">
        <v>415</v>
      </c>
      <c r="C119" t="s">
        <v>416</v>
      </c>
    </row>
    <row r="120" spans="1:3">
      <c r="A120">
        <v>563</v>
      </c>
      <c r="B120" t="s">
        <v>417</v>
      </c>
      <c r="C120" t="s">
        <v>418</v>
      </c>
    </row>
    <row r="121" spans="1:3">
      <c r="A121">
        <v>586</v>
      </c>
      <c r="B121" t="s">
        <v>419</v>
      </c>
      <c r="C121" t="s">
        <v>420</v>
      </c>
    </row>
    <row r="122" spans="1:3">
      <c r="A122">
        <v>517</v>
      </c>
      <c r="B122" t="s">
        <v>421</v>
      </c>
      <c r="C122" t="s">
        <v>422</v>
      </c>
    </row>
    <row r="123" spans="1:3">
      <c r="A123">
        <v>748</v>
      </c>
      <c r="B123" t="s">
        <v>423</v>
      </c>
      <c r="C123" t="s">
        <v>424</v>
      </c>
    </row>
    <row r="124" spans="1:3">
      <c r="A124">
        <v>695</v>
      </c>
      <c r="B124" t="s">
        <v>425</v>
      </c>
      <c r="C124" t="s">
        <v>426</v>
      </c>
    </row>
    <row r="125" spans="1:3">
      <c r="A125">
        <v>903</v>
      </c>
      <c r="B125" t="s">
        <v>427</v>
      </c>
      <c r="C125" t="s">
        <v>428</v>
      </c>
    </row>
    <row r="126" spans="1:3">
      <c r="A126">
        <v>1086</v>
      </c>
      <c r="B126" t="s">
        <v>429</v>
      </c>
      <c r="C126" t="s">
        <v>430</v>
      </c>
    </row>
    <row r="127" spans="1:3">
      <c r="A127">
        <v>917</v>
      </c>
      <c r="B127" t="s">
        <v>431</v>
      </c>
      <c r="C127" t="s">
        <v>432</v>
      </c>
    </row>
    <row r="128" spans="1:3">
      <c r="A128">
        <v>723</v>
      </c>
      <c r="B128" t="s">
        <v>433</v>
      </c>
      <c r="C128" t="s">
        <v>434</v>
      </c>
    </row>
    <row r="129" spans="1:3">
      <c r="A129">
        <v>1020</v>
      </c>
      <c r="B129" t="s">
        <v>435</v>
      </c>
      <c r="C129" t="s">
        <v>436</v>
      </c>
    </row>
    <row r="130" spans="1:3">
      <c r="A130">
        <v>930</v>
      </c>
      <c r="B130" t="s">
        <v>437</v>
      </c>
      <c r="C130" t="s">
        <v>438</v>
      </c>
    </row>
    <row r="131" spans="1:3">
      <c r="A131">
        <v>720</v>
      </c>
      <c r="B131" t="s">
        <v>439</v>
      </c>
      <c r="C131" t="s">
        <v>440</v>
      </c>
    </row>
    <row r="132" spans="1:3">
      <c r="A132">
        <v>1032</v>
      </c>
      <c r="B132" t="s">
        <v>441</v>
      </c>
      <c r="C132" t="s">
        <v>442</v>
      </c>
    </row>
    <row r="133" spans="1:3">
      <c r="A133">
        <v>596</v>
      </c>
      <c r="B133" t="s">
        <v>443</v>
      </c>
      <c r="C133" t="s">
        <v>444</v>
      </c>
    </row>
    <row r="134" spans="1:3">
      <c r="A134">
        <v>633</v>
      </c>
      <c r="B134" t="s">
        <v>445</v>
      </c>
      <c r="C134" t="s">
        <v>446</v>
      </c>
    </row>
    <row r="135" spans="1:3">
      <c r="A135">
        <v>710</v>
      </c>
      <c r="B135" t="s">
        <v>447</v>
      </c>
      <c r="C135" t="s">
        <v>448</v>
      </c>
    </row>
    <row r="136" spans="1:3">
      <c r="A136">
        <v>988</v>
      </c>
      <c r="B136" t="s">
        <v>449</v>
      </c>
      <c r="C136" t="s">
        <v>450</v>
      </c>
    </row>
    <row r="137" spans="1:3">
      <c r="A137">
        <v>733</v>
      </c>
      <c r="B137" t="s">
        <v>451</v>
      </c>
      <c r="C137" t="s">
        <v>452</v>
      </c>
    </row>
    <row r="138" spans="1:3">
      <c r="A138">
        <v>660</v>
      </c>
      <c r="B138" t="s">
        <v>453</v>
      </c>
      <c r="C138" t="s">
        <v>454</v>
      </c>
    </row>
    <row r="139" spans="1:3">
      <c r="A139">
        <v>1136</v>
      </c>
      <c r="B139" t="s">
        <v>455</v>
      </c>
      <c r="C139" t="s">
        <v>456</v>
      </c>
    </row>
    <row r="140" spans="1:3">
      <c r="A140">
        <v>688</v>
      </c>
      <c r="B140" t="s">
        <v>457</v>
      </c>
      <c r="C140" t="s">
        <v>458</v>
      </c>
    </row>
    <row r="141" spans="1:3">
      <c r="A141">
        <v>1006</v>
      </c>
      <c r="B141" t="s">
        <v>459</v>
      </c>
      <c r="C141" t="s">
        <v>460</v>
      </c>
    </row>
    <row r="142" spans="1:3">
      <c r="A142">
        <v>607</v>
      </c>
      <c r="B142" t="s">
        <v>461</v>
      </c>
      <c r="C142" t="s">
        <v>461</v>
      </c>
    </row>
    <row r="143" spans="1:3">
      <c r="A143">
        <v>609</v>
      </c>
      <c r="B143" t="s">
        <v>462</v>
      </c>
      <c r="C143" t="s">
        <v>462</v>
      </c>
    </row>
    <row r="144" spans="1:3">
      <c r="A144">
        <v>802</v>
      </c>
      <c r="B144" t="s">
        <v>463</v>
      </c>
      <c r="C144" t="s">
        <v>464</v>
      </c>
    </row>
    <row r="145" spans="1:3">
      <c r="A145">
        <v>803</v>
      </c>
      <c r="B145" t="s">
        <v>465</v>
      </c>
      <c r="C145" t="s">
        <v>466</v>
      </c>
    </row>
    <row r="146" spans="1:3">
      <c r="A146">
        <v>1038</v>
      </c>
      <c r="B146" t="s">
        <v>467</v>
      </c>
      <c r="C146" t="s">
        <v>468</v>
      </c>
    </row>
    <row r="147" spans="1:3">
      <c r="A147">
        <v>780</v>
      </c>
      <c r="B147" t="s">
        <v>469</v>
      </c>
      <c r="C147" t="s">
        <v>470</v>
      </c>
    </row>
    <row r="148" spans="1:3">
      <c r="A148">
        <v>740</v>
      </c>
      <c r="B148" t="s">
        <v>471</v>
      </c>
      <c r="C148" t="s">
        <v>472</v>
      </c>
    </row>
    <row r="149" spans="1:3">
      <c r="A149">
        <v>787</v>
      </c>
      <c r="B149" t="s">
        <v>473</v>
      </c>
      <c r="C149" t="s">
        <v>474</v>
      </c>
    </row>
    <row r="150" spans="1:3">
      <c r="A150">
        <v>749</v>
      </c>
      <c r="B150" t="s">
        <v>475</v>
      </c>
      <c r="C150" t="s">
        <v>476</v>
      </c>
    </row>
    <row r="151" spans="1:3">
      <c r="A151">
        <v>761</v>
      </c>
      <c r="B151" t="s">
        <v>477</v>
      </c>
      <c r="C151" t="s">
        <v>478</v>
      </c>
    </row>
    <row r="152" spans="1:3">
      <c r="A152">
        <v>618</v>
      </c>
      <c r="B152" t="s">
        <v>479</v>
      </c>
      <c r="C152" t="s">
        <v>480</v>
      </c>
    </row>
    <row r="153" spans="1:3">
      <c r="A153">
        <v>714</v>
      </c>
      <c r="B153" t="s">
        <v>481</v>
      </c>
      <c r="C153" t="s">
        <v>482</v>
      </c>
    </row>
    <row r="154" spans="1:3">
      <c r="A154">
        <v>1085</v>
      </c>
      <c r="B154" t="s">
        <v>483</v>
      </c>
      <c r="C154" t="s">
        <v>484</v>
      </c>
    </row>
    <row r="155" spans="1:3">
      <c r="A155">
        <v>905</v>
      </c>
      <c r="B155" t="s">
        <v>485</v>
      </c>
      <c r="C155" t="s">
        <v>486</v>
      </c>
    </row>
    <row r="156" spans="1:3">
      <c r="A156">
        <v>786</v>
      </c>
      <c r="B156" t="s">
        <v>487</v>
      </c>
      <c r="C156" t="s">
        <v>488</v>
      </c>
    </row>
    <row r="157" spans="1:3">
      <c r="A157">
        <v>744</v>
      </c>
      <c r="B157" t="s">
        <v>489</v>
      </c>
      <c r="C157" t="s">
        <v>490</v>
      </c>
    </row>
    <row r="158" spans="1:3">
      <c r="A158">
        <v>1092</v>
      </c>
      <c r="B158" t="s">
        <v>491</v>
      </c>
      <c r="C158" t="s">
        <v>492</v>
      </c>
    </row>
    <row r="159" spans="1:3">
      <c r="A159">
        <v>773</v>
      </c>
      <c r="B159" t="s">
        <v>493</v>
      </c>
      <c r="C159" t="s">
        <v>494</v>
      </c>
    </row>
    <row r="160" spans="1:3">
      <c r="A160">
        <v>621</v>
      </c>
      <c r="B160" t="s">
        <v>495</v>
      </c>
      <c r="C160" t="s">
        <v>495</v>
      </c>
    </row>
    <row r="161" spans="1:3">
      <c r="A161">
        <v>817</v>
      </c>
      <c r="B161" t="s">
        <v>496</v>
      </c>
      <c r="C161" t="s">
        <v>497</v>
      </c>
    </row>
    <row r="162" spans="1:3">
      <c r="A162">
        <v>528</v>
      </c>
      <c r="B162" t="s">
        <v>498</v>
      </c>
      <c r="C162" t="s">
        <v>499</v>
      </c>
    </row>
    <row r="163" spans="1:3">
      <c r="A163">
        <v>676</v>
      </c>
      <c r="B163" t="s">
        <v>500</v>
      </c>
      <c r="C163" t="s">
        <v>501</v>
      </c>
    </row>
    <row r="164" spans="1:3">
      <c r="A164">
        <v>725</v>
      </c>
      <c r="B164" t="s">
        <v>502</v>
      </c>
      <c r="C164" t="s">
        <v>503</v>
      </c>
    </row>
    <row r="165" spans="1:3">
      <c r="A165">
        <v>841</v>
      </c>
      <c r="B165" t="s">
        <v>504</v>
      </c>
      <c r="C165" t="s">
        <v>505</v>
      </c>
    </row>
    <row r="166" spans="1:3">
      <c r="A166">
        <v>815</v>
      </c>
      <c r="B166" t="s">
        <v>506</v>
      </c>
      <c r="C166" t="s">
        <v>507</v>
      </c>
    </row>
    <row r="167" spans="1:3">
      <c r="A167">
        <v>754</v>
      </c>
      <c r="B167" t="s">
        <v>508</v>
      </c>
      <c r="C167" t="s">
        <v>509</v>
      </c>
    </row>
    <row r="168" spans="1:3">
      <c r="A168">
        <v>579</v>
      </c>
      <c r="B168" t="s">
        <v>510</v>
      </c>
      <c r="C168" t="s">
        <v>511</v>
      </c>
    </row>
    <row r="169" spans="1:3">
      <c r="A169">
        <v>1116</v>
      </c>
      <c r="B169" t="s">
        <v>512</v>
      </c>
      <c r="C169" t="s">
        <v>513</v>
      </c>
    </row>
    <row r="170" spans="1:3">
      <c r="A170">
        <v>865</v>
      </c>
      <c r="B170" t="s">
        <v>514</v>
      </c>
      <c r="C170" t="s">
        <v>515</v>
      </c>
    </row>
    <row r="171" spans="1:3">
      <c r="A171">
        <v>859</v>
      </c>
      <c r="B171" t="s">
        <v>516</v>
      </c>
      <c r="C171" t="s">
        <v>517</v>
      </c>
    </row>
    <row r="172" spans="1:3">
      <c r="A172">
        <v>663</v>
      </c>
      <c r="B172" t="s">
        <v>518</v>
      </c>
      <c r="C172" t="s">
        <v>519</v>
      </c>
    </row>
    <row r="173" spans="1:3">
      <c r="A173">
        <v>834</v>
      </c>
      <c r="B173" t="s">
        <v>520</v>
      </c>
      <c r="C173" t="s">
        <v>521</v>
      </c>
    </row>
    <row r="174" spans="1:3">
      <c r="A174">
        <v>654</v>
      </c>
      <c r="B174" t="s">
        <v>522</v>
      </c>
      <c r="C174" t="s">
        <v>523</v>
      </c>
    </row>
    <row r="175" spans="1:3">
      <c r="A175">
        <v>864</v>
      </c>
      <c r="B175" t="s">
        <v>524</v>
      </c>
      <c r="C175" t="s">
        <v>525</v>
      </c>
    </row>
    <row r="176" spans="1:3">
      <c r="A176">
        <v>890</v>
      </c>
      <c r="B176" t="s">
        <v>526</v>
      </c>
      <c r="C176" t="s">
        <v>527</v>
      </c>
    </row>
    <row r="177" spans="1:3">
      <c r="A177">
        <v>549</v>
      </c>
      <c r="B177" t="s">
        <v>528</v>
      </c>
      <c r="C177" t="s">
        <v>529</v>
      </c>
    </row>
    <row r="178" spans="1:3">
      <c r="A178">
        <v>970</v>
      </c>
      <c r="B178" t="s">
        <v>530</v>
      </c>
      <c r="C178" t="s">
        <v>531</v>
      </c>
    </row>
    <row r="179" spans="1:3">
      <c r="A179">
        <v>818</v>
      </c>
      <c r="B179" t="s">
        <v>532</v>
      </c>
      <c r="C179" t="s">
        <v>533</v>
      </c>
    </row>
    <row r="180" spans="1:3">
      <c r="A180">
        <v>592</v>
      </c>
      <c r="B180" t="s">
        <v>534</v>
      </c>
      <c r="C180" t="s">
        <v>535</v>
      </c>
    </row>
    <row r="181" spans="1:3">
      <c r="A181">
        <v>1015</v>
      </c>
      <c r="B181" t="s">
        <v>536</v>
      </c>
      <c r="C181" t="s">
        <v>537</v>
      </c>
    </row>
    <row r="182" spans="1:3">
      <c r="A182">
        <v>868</v>
      </c>
      <c r="B182" t="s">
        <v>538</v>
      </c>
      <c r="C182" t="s">
        <v>539</v>
      </c>
    </row>
    <row r="183" spans="1:3">
      <c r="A183">
        <v>1133</v>
      </c>
      <c r="B183" t="s">
        <v>540</v>
      </c>
      <c r="C183" t="s">
        <v>541</v>
      </c>
    </row>
    <row r="184" spans="1:3">
      <c r="A184">
        <v>1052</v>
      </c>
      <c r="B184" t="s">
        <v>542</v>
      </c>
      <c r="C184" t="s">
        <v>543</v>
      </c>
    </row>
    <row r="185" spans="1:3">
      <c r="A185">
        <v>651</v>
      </c>
      <c r="B185" t="s">
        <v>544</v>
      </c>
      <c r="C185" t="s">
        <v>544</v>
      </c>
    </row>
    <row r="186" spans="1:3">
      <c r="A186">
        <v>536</v>
      </c>
      <c r="B186" t="s">
        <v>545</v>
      </c>
      <c r="C186" t="s">
        <v>546</v>
      </c>
    </row>
    <row r="187" spans="1:3">
      <c r="A187">
        <v>657</v>
      </c>
      <c r="B187" t="s">
        <v>547</v>
      </c>
      <c r="C187" t="s">
        <v>547</v>
      </c>
    </row>
    <row r="188" spans="1:3">
      <c r="A188">
        <v>801</v>
      </c>
      <c r="B188" t="s">
        <v>548</v>
      </c>
      <c r="C188" t="s">
        <v>549</v>
      </c>
    </row>
    <row r="189" spans="1:3">
      <c r="A189">
        <v>750</v>
      </c>
      <c r="B189" t="s">
        <v>550</v>
      </c>
      <c r="C189" t="s">
        <v>551</v>
      </c>
    </row>
    <row r="190" spans="1:3">
      <c r="A190">
        <v>947</v>
      </c>
      <c r="B190" t="s">
        <v>552</v>
      </c>
      <c r="C190" t="s">
        <v>553</v>
      </c>
    </row>
    <row r="191" spans="1:3">
      <c r="A191">
        <v>909</v>
      </c>
      <c r="B191" t="s">
        <v>554</v>
      </c>
      <c r="C191" t="s">
        <v>555</v>
      </c>
    </row>
    <row r="192" spans="1:3">
      <c r="A192">
        <v>1079</v>
      </c>
      <c r="B192" t="s">
        <v>556</v>
      </c>
      <c r="C192" t="s">
        <v>557</v>
      </c>
    </row>
    <row r="193" spans="1:3">
      <c r="A193">
        <v>916</v>
      </c>
      <c r="B193" t="s">
        <v>558</v>
      </c>
      <c r="C193" t="s">
        <v>559</v>
      </c>
    </row>
    <row r="194" spans="1:3">
      <c r="A194">
        <v>955</v>
      </c>
      <c r="B194" t="s">
        <v>560</v>
      </c>
      <c r="C194" t="s">
        <v>561</v>
      </c>
    </row>
    <row r="195" spans="1:3">
      <c r="A195">
        <v>683</v>
      </c>
      <c r="B195" t="s">
        <v>562</v>
      </c>
      <c r="C195" t="s">
        <v>563</v>
      </c>
    </row>
    <row r="196" spans="1:3">
      <c r="A196">
        <v>513</v>
      </c>
      <c r="B196" t="s">
        <v>564</v>
      </c>
      <c r="C196" t="s">
        <v>565</v>
      </c>
    </row>
    <row r="197" spans="1:3">
      <c r="A197">
        <v>843</v>
      </c>
      <c r="B197" t="s">
        <v>566</v>
      </c>
      <c r="C197" t="s">
        <v>567</v>
      </c>
    </row>
    <row r="198" spans="1:3">
      <c r="A198">
        <v>679</v>
      </c>
      <c r="B198" t="s">
        <v>568</v>
      </c>
      <c r="C198" t="s">
        <v>569</v>
      </c>
    </row>
    <row r="199" spans="1:3">
      <c r="A199">
        <v>726</v>
      </c>
      <c r="B199" t="s">
        <v>570</v>
      </c>
      <c r="C199" t="s">
        <v>571</v>
      </c>
    </row>
    <row r="200" spans="1:3">
      <c r="A200">
        <v>789</v>
      </c>
      <c r="B200" t="s">
        <v>572</v>
      </c>
      <c r="C200" t="s">
        <v>573</v>
      </c>
    </row>
    <row r="201" spans="1:3">
      <c r="A201">
        <v>967</v>
      </c>
      <c r="B201" t="s">
        <v>574</v>
      </c>
      <c r="C201" t="s">
        <v>575</v>
      </c>
    </row>
    <row r="202" spans="1:3">
      <c r="A202">
        <v>838</v>
      </c>
      <c r="B202" t="s">
        <v>576</v>
      </c>
      <c r="C202" t="s">
        <v>577</v>
      </c>
    </row>
    <row r="203" spans="1:3">
      <c r="A203">
        <v>858</v>
      </c>
      <c r="B203" t="s">
        <v>578</v>
      </c>
      <c r="C203" t="s">
        <v>579</v>
      </c>
    </row>
    <row r="204" spans="1:3">
      <c r="A204">
        <v>1059</v>
      </c>
      <c r="B204" t="s">
        <v>580</v>
      </c>
      <c r="C204" t="s">
        <v>581</v>
      </c>
    </row>
    <row r="205" spans="1:3">
      <c r="A205">
        <v>906</v>
      </c>
      <c r="B205" t="s">
        <v>582</v>
      </c>
      <c r="C205" t="s">
        <v>583</v>
      </c>
    </row>
    <row r="206" spans="1:3">
      <c r="A206">
        <v>997</v>
      </c>
      <c r="B206" t="s">
        <v>584</v>
      </c>
      <c r="C206" t="s">
        <v>585</v>
      </c>
    </row>
    <row r="207" spans="1:3">
      <c r="A207">
        <v>1042</v>
      </c>
      <c r="B207" t="s">
        <v>586</v>
      </c>
      <c r="C207" t="s">
        <v>587</v>
      </c>
    </row>
    <row r="208" spans="1:3">
      <c r="A208">
        <v>721</v>
      </c>
      <c r="B208" t="s">
        <v>588</v>
      </c>
      <c r="C208" t="s">
        <v>589</v>
      </c>
    </row>
    <row r="209" spans="1:3">
      <c r="A209">
        <v>844</v>
      </c>
      <c r="B209" t="s">
        <v>590</v>
      </c>
      <c r="C209" t="s">
        <v>591</v>
      </c>
    </row>
    <row r="210" spans="1:3">
      <c r="A210">
        <v>910</v>
      </c>
      <c r="B210" t="s">
        <v>592</v>
      </c>
      <c r="C210" t="s">
        <v>593</v>
      </c>
    </row>
    <row r="211" spans="1:3">
      <c r="A211">
        <v>1019</v>
      </c>
      <c r="B211" t="s">
        <v>594</v>
      </c>
      <c r="C211" t="s">
        <v>595</v>
      </c>
    </row>
    <row r="212" spans="1:3">
      <c r="A212">
        <v>675</v>
      </c>
      <c r="B212" t="s">
        <v>596</v>
      </c>
      <c r="C212" t="s">
        <v>597</v>
      </c>
    </row>
    <row r="213" spans="1:3">
      <c r="A213">
        <v>857</v>
      </c>
      <c r="B213" t="s">
        <v>598</v>
      </c>
      <c r="C213" t="s">
        <v>599</v>
      </c>
    </row>
    <row r="214" spans="1:3">
      <c r="A214">
        <v>1108</v>
      </c>
      <c r="B214" t="s">
        <v>600</v>
      </c>
      <c r="C214" t="s">
        <v>601</v>
      </c>
    </row>
    <row r="215" spans="1:3">
      <c r="A215">
        <v>1147</v>
      </c>
      <c r="B215" t="s">
        <v>602</v>
      </c>
      <c r="C215" t="s">
        <v>603</v>
      </c>
    </row>
    <row r="216" spans="1:3">
      <c r="A216">
        <v>839</v>
      </c>
      <c r="B216" t="s">
        <v>604</v>
      </c>
      <c r="C216" t="s">
        <v>605</v>
      </c>
    </row>
    <row r="217" spans="1:3">
      <c r="A217">
        <v>643</v>
      </c>
      <c r="B217" t="s">
        <v>606</v>
      </c>
      <c r="C217" t="s">
        <v>607</v>
      </c>
    </row>
    <row r="218" spans="1:3">
      <c r="A218">
        <v>1126</v>
      </c>
      <c r="B218" t="s">
        <v>608</v>
      </c>
      <c r="C218" t="s">
        <v>609</v>
      </c>
    </row>
    <row r="219" spans="1:3">
      <c r="A219">
        <v>975</v>
      </c>
      <c r="B219" t="s">
        <v>610</v>
      </c>
      <c r="C219" t="s">
        <v>611</v>
      </c>
    </row>
    <row r="220" spans="1:3">
      <c r="A220">
        <v>1035</v>
      </c>
      <c r="B220" t="s">
        <v>612</v>
      </c>
      <c r="C220" t="s">
        <v>613</v>
      </c>
    </row>
    <row r="221" spans="1:3">
      <c r="A221">
        <v>693</v>
      </c>
      <c r="B221" t="s">
        <v>614</v>
      </c>
      <c r="C221" t="s">
        <v>615</v>
      </c>
    </row>
    <row r="222" spans="1:3">
      <c r="A222">
        <v>603</v>
      </c>
      <c r="B222" t="s">
        <v>616</v>
      </c>
      <c r="C222" t="s">
        <v>617</v>
      </c>
    </row>
    <row r="223" spans="1:3">
      <c r="A223">
        <v>631</v>
      </c>
      <c r="B223" t="s">
        <v>618</v>
      </c>
      <c r="C223" t="s">
        <v>619</v>
      </c>
    </row>
    <row r="224" spans="1:3">
      <c r="A224">
        <v>875</v>
      </c>
      <c r="B224" t="s">
        <v>620</v>
      </c>
      <c r="C224" t="s">
        <v>621</v>
      </c>
    </row>
    <row r="225" spans="1:3">
      <c r="A225">
        <v>856</v>
      </c>
      <c r="B225" t="s">
        <v>622</v>
      </c>
      <c r="C225" t="s">
        <v>623</v>
      </c>
    </row>
    <row r="226" spans="1:3">
      <c r="A226">
        <v>1110</v>
      </c>
      <c r="B226" t="s">
        <v>624</v>
      </c>
      <c r="C226" t="s">
        <v>625</v>
      </c>
    </row>
    <row r="227" spans="1:3">
      <c r="A227">
        <v>825</v>
      </c>
      <c r="B227" t="s">
        <v>626</v>
      </c>
      <c r="C227" t="s">
        <v>627</v>
      </c>
    </row>
    <row r="228" spans="1:3">
      <c r="A228">
        <v>665</v>
      </c>
      <c r="B228" t="s">
        <v>628</v>
      </c>
      <c r="C228" t="s">
        <v>629</v>
      </c>
    </row>
    <row r="229" spans="1:3">
      <c r="A229">
        <v>686</v>
      </c>
      <c r="B229" t="s">
        <v>630</v>
      </c>
      <c r="C229" t="s">
        <v>631</v>
      </c>
    </row>
    <row r="230" spans="1:3">
      <c r="A230">
        <v>702</v>
      </c>
      <c r="B230" t="s">
        <v>632</v>
      </c>
      <c r="C230" t="s">
        <v>633</v>
      </c>
    </row>
    <row r="231" spans="1:3">
      <c r="A231">
        <v>938</v>
      </c>
      <c r="B231" t="s">
        <v>634</v>
      </c>
      <c r="C231" t="s">
        <v>635</v>
      </c>
    </row>
    <row r="232" spans="1:3">
      <c r="A232">
        <v>822</v>
      </c>
      <c r="B232" t="s">
        <v>636</v>
      </c>
      <c r="C232" t="s">
        <v>637</v>
      </c>
    </row>
    <row r="233" spans="1:3">
      <c r="A233">
        <v>896</v>
      </c>
      <c r="B233" t="s">
        <v>638</v>
      </c>
      <c r="C233" t="s">
        <v>639</v>
      </c>
    </row>
    <row r="234" spans="1:3">
      <c r="A234">
        <v>730</v>
      </c>
      <c r="B234" t="s">
        <v>640</v>
      </c>
      <c r="C234" t="s">
        <v>641</v>
      </c>
    </row>
    <row r="235" spans="1:3">
      <c r="A235">
        <v>987</v>
      </c>
      <c r="B235" t="s">
        <v>642</v>
      </c>
      <c r="C235" t="s">
        <v>643</v>
      </c>
    </row>
    <row r="236" spans="1:3">
      <c r="A236">
        <v>972</v>
      </c>
      <c r="B236" t="s">
        <v>644</v>
      </c>
      <c r="C236" t="s">
        <v>645</v>
      </c>
    </row>
    <row r="237" spans="1:3">
      <c r="A237">
        <v>1047</v>
      </c>
      <c r="B237" t="s">
        <v>646</v>
      </c>
      <c r="C237" t="s">
        <v>647</v>
      </c>
    </row>
    <row r="238" spans="1:3">
      <c r="A238">
        <v>851</v>
      </c>
      <c r="B238" t="s">
        <v>648</v>
      </c>
      <c r="C238" t="s">
        <v>649</v>
      </c>
    </row>
    <row r="239" spans="1:3">
      <c r="A239">
        <v>1090</v>
      </c>
      <c r="B239" t="s">
        <v>650</v>
      </c>
      <c r="C239" t="s">
        <v>651</v>
      </c>
    </row>
    <row r="240" spans="1:3">
      <c r="A240">
        <v>518</v>
      </c>
      <c r="B240" t="s">
        <v>652</v>
      </c>
      <c r="C240" t="s">
        <v>653</v>
      </c>
    </row>
    <row r="241" spans="1:3">
      <c r="A241">
        <v>946</v>
      </c>
      <c r="B241" t="s">
        <v>654</v>
      </c>
      <c r="C241" t="s">
        <v>655</v>
      </c>
    </row>
    <row r="242" spans="1:3">
      <c r="A242">
        <v>527</v>
      </c>
      <c r="B242" t="s">
        <v>656</v>
      </c>
      <c r="C242" t="s">
        <v>657</v>
      </c>
    </row>
    <row r="243" spans="1:3">
      <c r="A243">
        <v>619</v>
      </c>
      <c r="B243" t="s">
        <v>658</v>
      </c>
      <c r="C243" t="s">
        <v>659</v>
      </c>
    </row>
    <row r="244" spans="1:3">
      <c r="A244">
        <v>1123</v>
      </c>
      <c r="B244" t="s">
        <v>660</v>
      </c>
      <c r="C244" t="s">
        <v>661</v>
      </c>
    </row>
    <row r="245" spans="1:3">
      <c r="A245">
        <v>1135</v>
      </c>
      <c r="B245" t="s">
        <v>662</v>
      </c>
      <c r="C245" t="s">
        <v>663</v>
      </c>
    </row>
    <row r="246" spans="1:3">
      <c r="A246">
        <v>990</v>
      </c>
      <c r="B246" t="s">
        <v>664</v>
      </c>
      <c r="C246" t="s">
        <v>665</v>
      </c>
    </row>
    <row r="247" spans="1:3">
      <c r="A247">
        <v>760</v>
      </c>
      <c r="B247" t="s">
        <v>666</v>
      </c>
      <c r="C247" t="s">
        <v>667</v>
      </c>
    </row>
    <row r="248" spans="1:3">
      <c r="A248">
        <v>779</v>
      </c>
      <c r="B248" t="s">
        <v>668</v>
      </c>
      <c r="C248" t="s">
        <v>669</v>
      </c>
    </row>
    <row r="249" spans="1:3">
      <c r="A249">
        <v>872</v>
      </c>
      <c r="B249" t="s">
        <v>670</v>
      </c>
      <c r="C249" t="s">
        <v>671</v>
      </c>
    </row>
    <row r="250" spans="1:3">
      <c r="A250">
        <v>1096</v>
      </c>
      <c r="B250" t="s">
        <v>672</v>
      </c>
      <c r="C250" t="s">
        <v>673</v>
      </c>
    </row>
    <row r="251" spans="1:3">
      <c r="A251">
        <v>1138</v>
      </c>
      <c r="B251" t="s">
        <v>674</v>
      </c>
      <c r="C251" t="s">
        <v>675</v>
      </c>
    </row>
    <row r="252" spans="1:3">
      <c r="A252">
        <v>701</v>
      </c>
      <c r="B252" t="s">
        <v>676</v>
      </c>
      <c r="C252" t="s">
        <v>677</v>
      </c>
    </row>
    <row r="253" spans="1:3">
      <c r="A253">
        <v>703</v>
      </c>
      <c r="B253" t="s">
        <v>678</v>
      </c>
      <c r="C253" t="s">
        <v>678</v>
      </c>
    </row>
    <row r="254" spans="1:3">
      <c r="A254">
        <v>605</v>
      </c>
      <c r="B254" t="s">
        <v>679</v>
      </c>
      <c r="C254" t="s">
        <v>680</v>
      </c>
    </row>
    <row r="255" spans="1:3">
      <c r="A255">
        <v>1113</v>
      </c>
      <c r="B255" t="s">
        <v>681</v>
      </c>
      <c r="C255" t="s">
        <v>682</v>
      </c>
    </row>
    <row r="256" spans="1:3">
      <c r="A256">
        <v>1002</v>
      </c>
      <c r="B256" t="s">
        <v>683</v>
      </c>
      <c r="C256" t="s">
        <v>684</v>
      </c>
    </row>
    <row r="257" spans="1:3">
      <c r="A257">
        <v>576</v>
      </c>
      <c r="B257" t="s">
        <v>685</v>
      </c>
      <c r="C257" t="s">
        <v>686</v>
      </c>
    </row>
    <row r="258" spans="1:3">
      <c r="A258">
        <v>1041</v>
      </c>
      <c r="B258" t="s">
        <v>687</v>
      </c>
      <c r="C258" t="s">
        <v>688</v>
      </c>
    </row>
    <row r="259" spans="1:3">
      <c r="A259">
        <v>978</v>
      </c>
      <c r="B259" t="s">
        <v>689</v>
      </c>
      <c r="C259" t="s">
        <v>690</v>
      </c>
    </row>
    <row r="260" spans="1:3">
      <c r="A260">
        <v>694</v>
      </c>
      <c r="B260" t="s">
        <v>691</v>
      </c>
      <c r="C260" t="s">
        <v>692</v>
      </c>
    </row>
    <row r="261" spans="1:3">
      <c r="A261">
        <v>712</v>
      </c>
      <c r="B261" t="s">
        <v>693</v>
      </c>
      <c r="C261" t="s">
        <v>694</v>
      </c>
    </row>
    <row r="262" spans="1:3">
      <c r="A262">
        <v>623</v>
      </c>
      <c r="B262" t="s">
        <v>695</v>
      </c>
      <c r="C262" t="s">
        <v>696</v>
      </c>
    </row>
    <row r="263" spans="1:3">
      <c r="A263">
        <v>1120</v>
      </c>
      <c r="B263" t="s">
        <v>697</v>
      </c>
      <c r="C263" t="s">
        <v>698</v>
      </c>
    </row>
    <row r="264" spans="1:3">
      <c r="A264">
        <v>716</v>
      </c>
      <c r="B264" t="s">
        <v>699</v>
      </c>
      <c r="C264" t="s">
        <v>699</v>
      </c>
    </row>
    <row r="265" spans="1:3">
      <c r="A265">
        <v>1125</v>
      </c>
      <c r="B265" t="s">
        <v>700</v>
      </c>
      <c r="C265" t="s">
        <v>701</v>
      </c>
    </row>
    <row r="266" spans="1:3">
      <c r="A266">
        <v>806</v>
      </c>
      <c r="B266" t="s">
        <v>702</v>
      </c>
      <c r="C266" t="s">
        <v>703</v>
      </c>
    </row>
    <row r="267" spans="1:3">
      <c r="A267">
        <v>667</v>
      </c>
      <c r="B267" t="s">
        <v>704</v>
      </c>
      <c r="C267" t="s">
        <v>705</v>
      </c>
    </row>
    <row r="268" spans="1:3">
      <c r="A268">
        <v>957</v>
      </c>
      <c r="B268" t="s">
        <v>706</v>
      </c>
      <c r="C268" t="s">
        <v>707</v>
      </c>
    </row>
    <row r="269" spans="1:3">
      <c r="A269">
        <v>724</v>
      </c>
      <c r="B269" t="s">
        <v>708</v>
      </c>
      <c r="C269" t="s">
        <v>708</v>
      </c>
    </row>
    <row r="270" spans="1:3">
      <c r="A270">
        <v>927</v>
      </c>
      <c r="B270" t="s">
        <v>709</v>
      </c>
      <c r="C270" t="s">
        <v>710</v>
      </c>
    </row>
    <row r="271" spans="1:3">
      <c r="A271">
        <v>690</v>
      </c>
      <c r="B271" t="s">
        <v>711</v>
      </c>
      <c r="C271" t="s">
        <v>712</v>
      </c>
    </row>
    <row r="272" spans="1:3">
      <c r="A272">
        <v>541</v>
      </c>
      <c r="B272" t="s">
        <v>713</v>
      </c>
      <c r="C272" t="s">
        <v>714</v>
      </c>
    </row>
    <row r="273" spans="1:3">
      <c r="A273">
        <v>1128</v>
      </c>
      <c r="B273" t="s">
        <v>715</v>
      </c>
      <c r="C273" t="s">
        <v>715</v>
      </c>
    </row>
    <row r="274" spans="1:3">
      <c r="A274">
        <v>1064</v>
      </c>
      <c r="B274" t="s">
        <v>716</v>
      </c>
      <c r="C274" t="s">
        <v>717</v>
      </c>
    </row>
    <row r="275" spans="1:3">
      <c r="A275">
        <v>551</v>
      </c>
      <c r="B275" t="s">
        <v>718</v>
      </c>
      <c r="C275" t="s">
        <v>719</v>
      </c>
    </row>
    <row r="276" spans="1:3">
      <c r="A276">
        <v>650</v>
      </c>
      <c r="B276" t="s">
        <v>720</v>
      </c>
      <c r="C276" t="s">
        <v>721</v>
      </c>
    </row>
    <row r="277" spans="1:3">
      <c r="A277">
        <v>620</v>
      </c>
      <c r="B277" t="s">
        <v>722</v>
      </c>
      <c r="C277" t="s">
        <v>723</v>
      </c>
    </row>
    <row r="278" spans="1:3">
      <c r="A278">
        <v>956</v>
      </c>
      <c r="B278" t="s">
        <v>724</v>
      </c>
      <c r="C278" t="s">
        <v>725</v>
      </c>
    </row>
    <row r="279" spans="1:3">
      <c r="A279">
        <v>835</v>
      </c>
      <c r="B279" t="s">
        <v>726</v>
      </c>
      <c r="C279" t="s">
        <v>727</v>
      </c>
    </row>
    <row r="280" spans="1:3">
      <c r="A280">
        <v>741</v>
      </c>
      <c r="B280" t="s">
        <v>728</v>
      </c>
      <c r="C280" t="s">
        <v>729</v>
      </c>
    </row>
    <row r="281" spans="1:3">
      <c r="A281">
        <v>823</v>
      </c>
      <c r="B281" t="s">
        <v>730</v>
      </c>
      <c r="C281" t="s">
        <v>731</v>
      </c>
    </row>
    <row r="282" spans="1:3">
      <c r="A282">
        <v>559</v>
      </c>
      <c r="B282" t="s">
        <v>732</v>
      </c>
      <c r="C282" t="s">
        <v>733</v>
      </c>
    </row>
    <row r="283" spans="1:3">
      <c r="A283">
        <v>531</v>
      </c>
      <c r="B283" t="s">
        <v>734</v>
      </c>
      <c r="C283" t="s">
        <v>735</v>
      </c>
    </row>
    <row r="284" spans="1:3">
      <c r="A284">
        <v>625</v>
      </c>
      <c r="B284" t="s">
        <v>736</v>
      </c>
      <c r="C284" t="s">
        <v>737</v>
      </c>
    </row>
    <row r="285" spans="1:3">
      <c r="A285">
        <v>1024</v>
      </c>
      <c r="B285" t="s">
        <v>738</v>
      </c>
      <c r="C285" t="s">
        <v>739</v>
      </c>
    </row>
    <row r="286" spans="1:3">
      <c r="A286">
        <v>699</v>
      </c>
      <c r="B286" t="s">
        <v>740</v>
      </c>
      <c r="C286" t="s">
        <v>741</v>
      </c>
    </row>
    <row r="287" spans="1:3">
      <c r="A287">
        <v>945</v>
      </c>
      <c r="B287" t="s">
        <v>742</v>
      </c>
      <c r="C287" t="s">
        <v>743</v>
      </c>
    </row>
    <row r="288" spans="1:3">
      <c r="A288">
        <v>977</v>
      </c>
      <c r="B288" t="s">
        <v>744</v>
      </c>
      <c r="C288" t="s">
        <v>745</v>
      </c>
    </row>
    <row r="289" spans="1:3">
      <c r="A289">
        <v>804</v>
      </c>
      <c r="B289" t="s">
        <v>746</v>
      </c>
      <c r="C289" t="s">
        <v>747</v>
      </c>
    </row>
    <row r="290" spans="1:3">
      <c r="A290">
        <v>1021</v>
      </c>
      <c r="B290" t="s">
        <v>748</v>
      </c>
      <c r="C290" t="s">
        <v>749</v>
      </c>
    </row>
    <row r="291" spans="1:3">
      <c r="A291">
        <v>953</v>
      </c>
      <c r="B291" t="s">
        <v>750</v>
      </c>
      <c r="C291" t="s">
        <v>751</v>
      </c>
    </row>
    <row r="292" spans="1:3">
      <c r="A292">
        <v>911</v>
      </c>
      <c r="B292" t="s">
        <v>752</v>
      </c>
      <c r="C292" t="s">
        <v>753</v>
      </c>
    </row>
    <row r="293" spans="1:3">
      <c r="A293">
        <v>922</v>
      </c>
      <c r="B293" t="s">
        <v>754</v>
      </c>
      <c r="C293" t="s">
        <v>755</v>
      </c>
    </row>
    <row r="294" spans="1:3">
      <c r="A294">
        <v>1094</v>
      </c>
      <c r="B294" t="s">
        <v>756</v>
      </c>
      <c r="C294" t="s">
        <v>757</v>
      </c>
    </row>
    <row r="295" spans="1:3">
      <c r="A295">
        <v>814</v>
      </c>
      <c r="B295" t="s">
        <v>758</v>
      </c>
      <c r="C295" t="s">
        <v>759</v>
      </c>
    </row>
    <row r="296" spans="1:3">
      <c r="A296">
        <v>878</v>
      </c>
      <c r="B296" t="s">
        <v>760</v>
      </c>
      <c r="C296" t="s">
        <v>761</v>
      </c>
    </row>
    <row r="297" spans="1:3">
      <c r="A297">
        <v>514</v>
      </c>
      <c r="B297" t="s">
        <v>762</v>
      </c>
      <c r="C297" t="s">
        <v>763</v>
      </c>
    </row>
    <row r="298" spans="1:3">
      <c r="A298">
        <v>794</v>
      </c>
      <c r="B298" t="s">
        <v>764</v>
      </c>
      <c r="C298" t="s">
        <v>765</v>
      </c>
    </row>
    <row r="299" spans="1:3">
      <c r="A299">
        <v>907</v>
      </c>
      <c r="B299" t="s">
        <v>766</v>
      </c>
      <c r="C299" t="s">
        <v>767</v>
      </c>
    </row>
    <row r="300" spans="1:3">
      <c r="A300">
        <v>1004</v>
      </c>
      <c r="B300" t="s">
        <v>768</v>
      </c>
      <c r="C300" t="s">
        <v>769</v>
      </c>
    </row>
    <row r="301" spans="1:3">
      <c r="A301">
        <v>999</v>
      </c>
      <c r="B301" t="s">
        <v>770</v>
      </c>
      <c r="C301" t="s">
        <v>771</v>
      </c>
    </row>
    <row r="302" spans="1:3">
      <c r="A302">
        <v>560</v>
      </c>
      <c r="B302" t="s">
        <v>772</v>
      </c>
      <c r="C302" t="s">
        <v>773</v>
      </c>
    </row>
    <row r="303" spans="1:3">
      <c r="A303">
        <v>637</v>
      </c>
      <c r="B303" t="s">
        <v>774</v>
      </c>
      <c r="C303" t="s">
        <v>775</v>
      </c>
    </row>
    <row r="304" spans="1:3">
      <c r="A304">
        <v>782</v>
      </c>
      <c r="B304" t="s">
        <v>776</v>
      </c>
      <c r="C304" t="s">
        <v>777</v>
      </c>
    </row>
    <row r="305" spans="1:3">
      <c r="A305">
        <v>885</v>
      </c>
      <c r="B305" t="s">
        <v>778</v>
      </c>
      <c r="C305" t="s">
        <v>779</v>
      </c>
    </row>
    <row r="306" spans="1:3">
      <c r="A306">
        <v>962</v>
      </c>
      <c r="B306" t="s">
        <v>780</v>
      </c>
      <c r="C306" t="s">
        <v>781</v>
      </c>
    </row>
    <row r="307" spans="1:3">
      <c r="A307">
        <v>1132</v>
      </c>
      <c r="B307" t="s">
        <v>782</v>
      </c>
      <c r="C307" t="s">
        <v>782</v>
      </c>
    </row>
    <row r="308" spans="1:3">
      <c r="A308">
        <v>751</v>
      </c>
      <c r="B308" t="s">
        <v>783</v>
      </c>
      <c r="C308" t="s">
        <v>783</v>
      </c>
    </row>
    <row r="309" spans="1:3">
      <c r="A309">
        <v>944</v>
      </c>
      <c r="B309" t="s">
        <v>784</v>
      </c>
      <c r="C309" t="s">
        <v>785</v>
      </c>
    </row>
    <row r="310" spans="1:3">
      <c r="A310">
        <v>1023</v>
      </c>
      <c r="B310" t="s">
        <v>786</v>
      </c>
      <c r="C310" t="s">
        <v>787</v>
      </c>
    </row>
    <row r="311" spans="1:3">
      <c r="A311">
        <v>521</v>
      </c>
      <c r="B311" t="s">
        <v>788</v>
      </c>
      <c r="C311" t="s">
        <v>789</v>
      </c>
    </row>
    <row r="312" spans="1:3">
      <c r="A312">
        <v>1046</v>
      </c>
      <c r="B312" t="s">
        <v>790</v>
      </c>
      <c r="C312" t="s">
        <v>791</v>
      </c>
    </row>
    <row r="313" spans="1:3">
      <c r="A313">
        <v>994</v>
      </c>
      <c r="B313" t="s">
        <v>792</v>
      </c>
      <c r="C313" t="s">
        <v>793</v>
      </c>
    </row>
    <row r="314" spans="1:3">
      <c r="A314">
        <v>1003</v>
      </c>
      <c r="B314" t="s">
        <v>794</v>
      </c>
      <c r="C314" t="s">
        <v>795</v>
      </c>
    </row>
    <row r="315" spans="1:3">
      <c r="A315">
        <v>638</v>
      </c>
      <c r="B315" t="s">
        <v>796</v>
      </c>
      <c r="C315" t="s">
        <v>797</v>
      </c>
    </row>
    <row r="316" spans="1:3">
      <c r="A316">
        <v>1131</v>
      </c>
      <c r="B316" t="s">
        <v>798</v>
      </c>
      <c r="C316" t="s">
        <v>799</v>
      </c>
    </row>
    <row r="317" spans="1:3">
      <c r="A317">
        <v>963</v>
      </c>
      <c r="B317" t="s">
        <v>800</v>
      </c>
      <c r="C317" t="s">
        <v>801</v>
      </c>
    </row>
    <row r="318" spans="1:3">
      <c r="A318">
        <v>658</v>
      </c>
      <c r="B318" t="s">
        <v>802</v>
      </c>
      <c r="C318" t="s">
        <v>803</v>
      </c>
    </row>
    <row r="319" spans="1:3">
      <c r="A319">
        <v>1078</v>
      </c>
      <c r="B319" t="s">
        <v>804</v>
      </c>
      <c r="C319" t="s">
        <v>805</v>
      </c>
    </row>
    <row r="320" spans="1:3">
      <c r="A320">
        <v>1080</v>
      </c>
      <c r="B320" t="s">
        <v>806</v>
      </c>
      <c r="C320" t="s">
        <v>807</v>
      </c>
    </row>
    <row r="321" spans="1:3">
      <c r="A321">
        <v>672</v>
      </c>
      <c r="B321" t="s">
        <v>808</v>
      </c>
      <c r="C321" t="s">
        <v>809</v>
      </c>
    </row>
    <row r="322" spans="1:3">
      <c r="A322">
        <v>861</v>
      </c>
      <c r="B322" t="s">
        <v>810</v>
      </c>
      <c r="C322" t="s">
        <v>811</v>
      </c>
    </row>
    <row r="323" spans="1:3">
      <c r="A323">
        <v>900</v>
      </c>
      <c r="B323" t="s">
        <v>812</v>
      </c>
      <c r="C323" t="s">
        <v>813</v>
      </c>
    </row>
    <row r="324" spans="1:3">
      <c r="A324">
        <v>1056</v>
      </c>
      <c r="B324" t="s">
        <v>814</v>
      </c>
      <c r="C324" t="s">
        <v>814</v>
      </c>
    </row>
    <row r="325" spans="1:3">
      <c r="A325">
        <v>519</v>
      </c>
      <c r="B325" t="s">
        <v>815</v>
      </c>
      <c r="C325" t="s">
        <v>816</v>
      </c>
    </row>
    <row r="326" spans="1:3">
      <c r="A326">
        <v>533</v>
      </c>
      <c r="B326" t="s">
        <v>817</v>
      </c>
      <c r="C326" t="s">
        <v>818</v>
      </c>
    </row>
    <row r="327" spans="1:3">
      <c r="A327">
        <v>564</v>
      </c>
      <c r="B327" t="s">
        <v>819</v>
      </c>
      <c r="C327" t="s">
        <v>820</v>
      </c>
    </row>
    <row r="328" spans="1:3">
      <c r="A328">
        <v>1087</v>
      </c>
      <c r="B328" t="s">
        <v>821</v>
      </c>
      <c r="C328" t="s">
        <v>822</v>
      </c>
    </row>
    <row r="329" spans="1:3">
      <c r="A329">
        <v>991</v>
      </c>
      <c r="B329" t="s">
        <v>823</v>
      </c>
      <c r="C329" t="s">
        <v>824</v>
      </c>
    </row>
    <row r="330" spans="1:3">
      <c r="A330">
        <v>641</v>
      </c>
      <c r="B330" t="s">
        <v>825</v>
      </c>
      <c r="C330" t="s">
        <v>826</v>
      </c>
    </row>
    <row r="331" spans="1:3">
      <c r="A331">
        <v>848</v>
      </c>
      <c r="B331" t="s">
        <v>827</v>
      </c>
      <c r="C331" t="s">
        <v>828</v>
      </c>
    </row>
    <row r="332" spans="1:3">
      <c r="A332">
        <v>784</v>
      </c>
      <c r="B332" t="s">
        <v>829</v>
      </c>
      <c r="C332" t="s">
        <v>829</v>
      </c>
    </row>
    <row r="333" spans="1:3">
      <c r="A333">
        <v>954</v>
      </c>
      <c r="B333" t="s">
        <v>830</v>
      </c>
      <c r="C333" t="s">
        <v>831</v>
      </c>
    </row>
    <row r="334" spans="1:3">
      <c r="A334">
        <v>765</v>
      </c>
      <c r="B334" t="s">
        <v>832</v>
      </c>
      <c r="C334" t="s">
        <v>833</v>
      </c>
    </row>
    <row r="335" spans="1:3">
      <c r="A335">
        <v>973</v>
      </c>
      <c r="B335" t="s">
        <v>834</v>
      </c>
      <c r="C335" t="s">
        <v>835</v>
      </c>
    </row>
    <row r="336" spans="1:3">
      <c r="A336">
        <v>951</v>
      </c>
      <c r="B336" t="s">
        <v>836</v>
      </c>
      <c r="C336" t="s">
        <v>837</v>
      </c>
    </row>
    <row r="337" spans="1:3">
      <c r="A337">
        <v>1043</v>
      </c>
      <c r="B337" t="s">
        <v>838</v>
      </c>
      <c r="C337" t="s">
        <v>839</v>
      </c>
    </row>
    <row r="338" spans="1:3">
      <c r="A338">
        <v>543</v>
      </c>
      <c r="B338" t="s">
        <v>840</v>
      </c>
      <c r="C338" t="s">
        <v>841</v>
      </c>
    </row>
    <row r="339" spans="1:3">
      <c r="A339">
        <v>545</v>
      </c>
      <c r="B339" t="s">
        <v>842</v>
      </c>
      <c r="C339" t="s">
        <v>843</v>
      </c>
    </row>
    <row r="340" spans="1:3">
      <c r="A340">
        <v>577</v>
      </c>
      <c r="B340" t="s">
        <v>844</v>
      </c>
      <c r="C340" t="s">
        <v>845</v>
      </c>
    </row>
    <row r="341" spans="1:3">
      <c r="A341">
        <v>881</v>
      </c>
      <c r="B341" t="s">
        <v>846</v>
      </c>
      <c r="C341" t="s">
        <v>847</v>
      </c>
    </row>
    <row r="342" spans="1:3">
      <c r="A342">
        <v>863</v>
      </c>
      <c r="B342" t="s">
        <v>848</v>
      </c>
      <c r="C342" t="s">
        <v>849</v>
      </c>
    </row>
    <row r="343" spans="1:3">
      <c r="A343">
        <v>961</v>
      </c>
      <c r="B343" t="s">
        <v>850</v>
      </c>
      <c r="C343" t="s">
        <v>851</v>
      </c>
    </row>
    <row r="344" spans="1:3">
      <c r="A344">
        <v>732</v>
      </c>
      <c r="B344" t="s">
        <v>852</v>
      </c>
      <c r="C344" t="s">
        <v>853</v>
      </c>
    </row>
    <row r="345" spans="1:3">
      <c r="A345">
        <v>799</v>
      </c>
      <c r="B345" t="s">
        <v>854</v>
      </c>
      <c r="C345" t="s">
        <v>855</v>
      </c>
    </row>
    <row r="346" spans="1:3">
      <c r="A346">
        <v>731</v>
      </c>
      <c r="B346" t="s">
        <v>856</v>
      </c>
      <c r="C346" t="s">
        <v>857</v>
      </c>
    </row>
    <row r="347" spans="1:3">
      <c r="A347">
        <v>1153</v>
      </c>
      <c r="B347" t="s">
        <v>858</v>
      </c>
      <c r="C347" t="s">
        <v>859</v>
      </c>
    </row>
    <row r="348" spans="1:3">
      <c r="A348">
        <v>1083</v>
      </c>
      <c r="B348" t="s">
        <v>860</v>
      </c>
      <c r="C348" t="s">
        <v>861</v>
      </c>
    </row>
    <row r="349" spans="1:3">
      <c r="A349">
        <v>792</v>
      </c>
      <c r="B349" t="s">
        <v>862</v>
      </c>
      <c r="C349" t="s">
        <v>862</v>
      </c>
    </row>
    <row r="350" spans="1:3">
      <c r="A350">
        <v>511</v>
      </c>
      <c r="B350" t="s">
        <v>863</v>
      </c>
      <c r="C350" t="s">
        <v>864</v>
      </c>
    </row>
    <row r="351" spans="1:3">
      <c r="A351">
        <v>793</v>
      </c>
      <c r="B351" t="s">
        <v>865</v>
      </c>
      <c r="C351" t="s">
        <v>865</v>
      </c>
    </row>
    <row r="352" spans="1:3">
      <c r="A352">
        <v>1114</v>
      </c>
      <c r="B352" t="s">
        <v>866</v>
      </c>
      <c r="C352" t="s">
        <v>867</v>
      </c>
    </row>
    <row r="353" spans="1:3">
      <c r="A353">
        <v>795</v>
      </c>
      <c r="B353" t="s">
        <v>868</v>
      </c>
      <c r="C353" t="s">
        <v>869</v>
      </c>
    </row>
    <row r="354" spans="1:3">
      <c r="A354">
        <v>1137</v>
      </c>
      <c r="B354" t="s">
        <v>870</v>
      </c>
      <c r="C354" t="s">
        <v>870</v>
      </c>
    </row>
    <row r="355" spans="1:3">
      <c r="A355">
        <v>1063</v>
      </c>
      <c r="B355" t="s">
        <v>871</v>
      </c>
      <c r="C355" t="s">
        <v>871</v>
      </c>
    </row>
    <row r="356" spans="1:3">
      <c r="A356">
        <v>1062</v>
      </c>
      <c r="B356" t="s">
        <v>872</v>
      </c>
      <c r="C356" t="s">
        <v>873</v>
      </c>
    </row>
    <row r="357" spans="1:3">
      <c r="A357">
        <v>678</v>
      </c>
      <c r="B357" t="s">
        <v>874</v>
      </c>
      <c r="C357" t="s">
        <v>875</v>
      </c>
    </row>
    <row r="358" spans="1:3">
      <c r="A358">
        <v>743</v>
      </c>
      <c r="B358" t="s">
        <v>876</v>
      </c>
      <c r="C358" t="s">
        <v>877</v>
      </c>
    </row>
    <row r="359" spans="1:3">
      <c r="A359">
        <v>662</v>
      </c>
      <c r="B359" t="s">
        <v>878</v>
      </c>
      <c r="C359" t="s">
        <v>879</v>
      </c>
    </row>
    <row r="360" spans="1:3">
      <c r="A360">
        <v>756</v>
      </c>
      <c r="B360" t="s">
        <v>880</v>
      </c>
      <c r="C360" t="s">
        <v>881</v>
      </c>
    </row>
    <row r="361" spans="1:3">
      <c r="A361">
        <v>996</v>
      </c>
      <c r="B361" t="s">
        <v>882</v>
      </c>
      <c r="C361" t="s">
        <v>883</v>
      </c>
    </row>
    <row r="362" spans="1:3">
      <c r="A362">
        <v>512</v>
      </c>
      <c r="B362" t="s">
        <v>884</v>
      </c>
      <c r="C362" t="s">
        <v>885</v>
      </c>
    </row>
    <row r="363" spans="1:3">
      <c r="A363">
        <v>776</v>
      </c>
      <c r="B363" t="s">
        <v>886</v>
      </c>
      <c r="C363" t="s">
        <v>887</v>
      </c>
    </row>
    <row r="364" spans="1:3">
      <c r="A364">
        <v>993</v>
      </c>
      <c r="B364" t="s">
        <v>888</v>
      </c>
      <c r="C364" t="s">
        <v>889</v>
      </c>
    </row>
    <row r="365" spans="1:3">
      <c r="A365">
        <v>612</v>
      </c>
      <c r="B365" t="s">
        <v>890</v>
      </c>
      <c r="C365" t="s">
        <v>891</v>
      </c>
    </row>
    <row r="366" spans="1:3">
      <c r="A366">
        <v>871</v>
      </c>
      <c r="B366" t="s">
        <v>892</v>
      </c>
      <c r="C366" t="s">
        <v>893</v>
      </c>
    </row>
    <row r="367" spans="1:3">
      <c r="A367">
        <v>597</v>
      </c>
      <c r="B367" t="s">
        <v>894</v>
      </c>
      <c r="C367" t="s">
        <v>895</v>
      </c>
    </row>
    <row r="368" spans="1:3">
      <c r="A368">
        <v>600</v>
      </c>
      <c r="B368" t="s">
        <v>896</v>
      </c>
      <c r="C368" t="s">
        <v>897</v>
      </c>
    </row>
    <row r="369" spans="1:3">
      <c r="A369">
        <v>719</v>
      </c>
      <c r="B369" t="s">
        <v>898</v>
      </c>
      <c r="C369" t="s">
        <v>899</v>
      </c>
    </row>
    <row r="370" spans="1:3">
      <c r="A370">
        <v>681</v>
      </c>
      <c r="B370" t="s">
        <v>900</v>
      </c>
      <c r="C370" t="s">
        <v>901</v>
      </c>
    </row>
    <row r="371" spans="1:3">
      <c r="A371">
        <v>729</v>
      </c>
      <c r="B371" t="s">
        <v>902</v>
      </c>
      <c r="C371" t="s">
        <v>903</v>
      </c>
    </row>
    <row r="372" spans="1:3">
      <c r="A372">
        <v>965</v>
      </c>
      <c r="B372" t="s">
        <v>904</v>
      </c>
      <c r="C372" t="s">
        <v>905</v>
      </c>
    </row>
    <row r="373" spans="1:3">
      <c r="A373">
        <v>783</v>
      </c>
      <c r="B373" t="s">
        <v>906</v>
      </c>
      <c r="C373" t="s">
        <v>907</v>
      </c>
    </row>
    <row r="374" spans="1:3">
      <c r="A374">
        <v>924</v>
      </c>
      <c r="B374" t="s">
        <v>908</v>
      </c>
      <c r="C374" t="s">
        <v>909</v>
      </c>
    </row>
    <row r="375" spans="1:3">
      <c r="A375">
        <v>1118</v>
      </c>
      <c r="B375" t="s">
        <v>910</v>
      </c>
      <c r="C375" t="s">
        <v>911</v>
      </c>
    </row>
    <row r="376" spans="1:3">
      <c r="A376">
        <v>1129</v>
      </c>
      <c r="B376" t="s">
        <v>912</v>
      </c>
      <c r="C376" t="s">
        <v>913</v>
      </c>
    </row>
    <row r="377" spans="1:3">
      <c r="A377">
        <v>1139</v>
      </c>
      <c r="B377" t="s">
        <v>914</v>
      </c>
      <c r="C377" t="s">
        <v>914</v>
      </c>
    </row>
    <row r="378" spans="1:3">
      <c r="A378">
        <v>524</v>
      </c>
      <c r="B378" t="s">
        <v>915</v>
      </c>
      <c r="C378" t="s">
        <v>916</v>
      </c>
    </row>
    <row r="379" spans="1:3">
      <c r="A379">
        <v>1011</v>
      </c>
      <c r="B379" t="s">
        <v>917</v>
      </c>
      <c r="C379" t="s">
        <v>918</v>
      </c>
    </row>
    <row r="380" spans="1:3">
      <c r="A380">
        <v>646</v>
      </c>
      <c r="B380" t="s">
        <v>919</v>
      </c>
      <c r="C380" t="s">
        <v>920</v>
      </c>
    </row>
    <row r="381" spans="1:3">
      <c r="A381">
        <v>1028</v>
      </c>
      <c r="B381" t="s">
        <v>921</v>
      </c>
      <c r="C381" t="s">
        <v>922</v>
      </c>
    </row>
    <row r="382" spans="1:3">
      <c r="A382">
        <v>821</v>
      </c>
      <c r="B382" t="s">
        <v>923</v>
      </c>
      <c r="C382" t="s">
        <v>923</v>
      </c>
    </row>
    <row r="383" spans="1:3">
      <c r="A383">
        <v>535</v>
      </c>
      <c r="B383" t="s">
        <v>924</v>
      </c>
      <c r="C383" t="s">
        <v>925</v>
      </c>
    </row>
    <row r="384" spans="1:3">
      <c r="A384">
        <v>753</v>
      </c>
      <c r="B384" t="s">
        <v>926</v>
      </c>
      <c r="C384" t="s">
        <v>927</v>
      </c>
    </row>
    <row r="385" spans="1:3">
      <c r="A385">
        <v>790</v>
      </c>
      <c r="B385" t="s">
        <v>928</v>
      </c>
      <c r="C385" t="s">
        <v>929</v>
      </c>
    </row>
    <row r="386" spans="1:3">
      <c r="A386">
        <v>826</v>
      </c>
      <c r="B386" t="s">
        <v>930</v>
      </c>
      <c r="C386" t="s">
        <v>930</v>
      </c>
    </row>
    <row r="387" spans="1:3">
      <c r="A387">
        <v>763</v>
      </c>
      <c r="B387" t="s">
        <v>931</v>
      </c>
      <c r="C387" t="s">
        <v>932</v>
      </c>
    </row>
    <row r="388" spans="1:3">
      <c r="A388">
        <v>1069</v>
      </c>
      <c r="B388" t="s">
        <v>933</v>
      </c>
      <c r="C388" t="s">
        <v>933</v>
      </c>
    </row>
    <row r="389" spans="1:3">
      <c r="A389">
        <v>1141</v>
      </c>
      <c r="B389" t="s">
        <v>934</v>
      </c>
      <c r="C389" t="s">
        <v>934</v>
      </c>
    </row>
    <row r="390" spans="1:3">
      <c r="A390">
        <v>1142</v>
      </c>
      <c r="B390" t="s">
        <v>935</v>
      </c>
      <c r="C390" t="s">
        <v>935</v>
      </c>
    </row>
    <row r="391" spans="1:3">
      <c r="A391">
        <v>1143</v>
      </c>
      <c r="B391" t="s">
        <v>935</v>
      </c>
      <c r="C391" t="s">
        <v>936</v>
      </c>
    </row>
    <row r="392" spans="1:3">
      <c r="A392">
        <v>1144</v>
      </c>
      <c r="B392" t="s">
        <v>937</v>
      </c>
      <c r="C392" t="s">
        <v>937</v>
      </c>
    </row>
    <row r="393" spans="1:3">
      <c r="A393">
        <v>1104</v>
      </c>
      <c r="B393" t="s">
        <v>938</v>
      </c>
      <c r="C393" t="s">
        <v>938</v>
      </c>
    </row>
    <row r="394" spans="1:3">
      <c r="A394">
        <v>828</v>
      </c>
      <c r="B394" t="s">
        <v>939</v>
      </c>
      <c r="C394" t="s">
        <v>939</v>
      </c>
    </row>
    <row r="395" spans="1:3">
      <c r="A395">
        <v>829</v>
      </c>
      <c r="B395" t="s">
        <v>940</v>
      </c>
      <c r="C395" t="s">
        <v>940</v>
      </c>
    </row>
    <row r="396" spans="1:3">
      <c r="A396">
        <v>1070</v>
      </c>
      <c r="B396" t="s">
        <v>941</v>
      </c>
      <c r="C396" t="s">
        <v>941</v>
      </c>
    </row>
    <row r="397" spans="1:3">
      <c r="A397">
        <v>1072</v>
      </c>
      <c r="B397" t="s">
        <v>942</v>
      </c>
      <c r="C397" t="s">
        <v>942</v>
      </c>
    </row>
    <row r="398" spans="1:3">
      <c r="A398">
        <v>1106</v>
      </c>
      <c r="B398" t="s">
        <v>943</v>
      </c>
      <c r="C398" t="s">
        <v>943</v>
      </c>
    </row>
    <row r="399" spans="1:3">
      <c r="A399">
        <v>830</v>
      </c>
      <c r="B399" t="s">
        <v>944</v>
      </c>
      <c r="C399" t="s">
        <v>944</v>
      </c>
    </row>
    <row r="400" spans="1:3">
      <c r="A400">
        <v>796</v>
      </c>
      <c r="B400" t="s">
        <v>945</v>
      </c>
      <c r="C400" t="s">
        <v>946</v>
      </c>
    </row>
    <row r="401" spans="1:3">
      <c r="A401">
        <v>933</v>
      </c>
      <c r="B401" t="s">
        <v>947</v>
      </c>
      <c r="C401" t="s">
        <v>948</v>
      </c>
    </row>
    <row r="402" spans="1:3">
      <c r="A402">
        <v>1075</v>
      </c>
      <c r="B402" t="s">
        <v>949</v>
      </c>
      <c r="C402" t="s">
        <v>950</v>
      </c>
    </row>
    <row r="403" spans="1:3">
      <c r="A403">
        <v>914</v>
      </c>
      <c r="B403" t="s">
        <v>951</v>
      </c>
      <c r="C403" t="s">
        <v>952</v>
      </c>
    </row>
    <row r="404" spans="1:3">
      <c r="A404">
        <v>1097</v>
      </c>
      <c r="B404" t="s">
        <v>953</v>
      </c>
      <c r="C404" t="s">
        <v>954</v>
      </c>
    </row>
    <row r="405" spans="1:3">
      <c r="A405">
        <v>853</v>
      </c>
      <c r="B405" t="s">
        <v>955</v>
      </c>
      <c r="C405" t="s">
        <v>956</v>
      </c>
    </row>
    <row r="406" spans="1:3">
      <c r="A406">
        <v>583</v>
      </c>
      <c r="B406" t="s">
        <v>957</v>
      </c>
      <c r="C406" t="s">
        <v>958</v>
      </c>
    </row>
    <row r="407" spans="1:3">
      <c r="A407">
        <v>630</v>
      </c>
      <c r="B407" t="s">
        <v>959</v>
      </c>
      <c r="C407" t="s">
        <v>960</v>
      </c>
    </row>
    <row r="408" spans="1:3">
      <c r="A408">
        <v>634</v>
      </c>
      <c r="B408" t="s">
        <v>961</v>
      </c>
      <c r="C408" t="s">
        <v>962</v>
      </c>
    </row>
    <row r="409" spans="1:3">
      <c r="A409">
        <v>1122</v>
      </c>
      <c r="B409" t="s">
        <v>963</v>
      </c>
      <c r="C409" t="s">
        <v>964</v>
      </c>
    </row>
    <row r="410" spans="1:3">
      <c r="A410">
        <v>966</v>
      </c>
      <c r="B410" t="s">
        <v>965</v>
      </c>
      <c r="C410" t="s">
        <v>966</v>
      </c>
    </row>
    <row r="411" spans="1:3">
      <c r="A411">
        <v>998</v>
      </c>
      <c r="B411" t="s">
        <v>967</v>
      </c>
      <c r="C411" t="s">
        <v>968</v>
      </c>
    </row>
    <row r="412" spans="1:3">
      <c r="A412">
        <v>774</v>
      </c>
      <c r="B412" t="s">
        <v>969</v>
      </c>
      <c r="C412" t="s">
        <v>970</v>
      </c>
    </row>
    <row r="413" spans="1:3">
      <c r="A413">
        <v>808</v>
      </c>
      <c r="B413" t="s">
        <v>971</v>
      </c>
      <c r="C413" t="s">
        <v>972</v>
      </c>
    </row>
    <row r="414" spans="1:3">
      <c r="A414">
        <v>622</v>
      </c>
      <c r="B414" t="s">
        <v>973</v>
      </c>
      <c r="C414" t="s">
        <v>974</v>
      </c>
    </row>
    <row r="415" spans="1:3">
      <c r="A415">
        <v>876</v>
      </c>
      <c r="B415" t="s">
        <v>975</v>
      </c>
      <c r="C415" t="s">
        <v>976</v>
      </c>
    </row>
    <row r="416" spans="1:3">
      <c r="A416">
        <v>1115</v>
      </c>
      <c r="B416" t="s">
        <v>977</v>
      </c>
      <c r="C416" t="s">
        <v>978</v>
      </c>
    </row>
    <row r="417" spans="1:3">
      <c r="A417">
        <v>516</v>
      </c>
      <c r="B417" t="s">
        <v>979</v>
      </c>
      <c r="C417" t="s">
        <v>980</v>
      </c>
    </row>
    <row r="418" spans="1:3">
      <c r="A418">
        <v>550</v>
      </c>
      <c r="B418" t="s">
        <v>981</v>
      </c>
      <c r="C418" t="s">
        <v>982</v>
      </c>
    </row>
    <row r="419" spans="1:3">
      <c r="A419">
        <v>515</v>
      </c>
      <c r="B419" t="s">
        <v>983</v>
      </c>
      <c r="C419" t="s">
        <v>984</v>
      </c>
    </row>
    <row r="420" spans="1:3">
      <c r="A420">
        <v>722</v>
      </c>
      <c r="B420" t="s">
        <v>985</v>
      </c>
      <c r="C420" t="s">
        <v>986</v>
      </c>
    </row>
    <row r="421" spans="1:3">
      <c r="A421">
        <v>816</v>
      </c>
      <c r="B421" t="s">
        <v>987</v>
      </c>
      <c r="C421" t="s">
        <v>988</v>
      </c>
    </row>
    <row r="422" spans="1:3">
      <c r="A422">
        <v>772</v>
      </c>
      <c r="B422" t="s">
        <v>989</v>
      </c>
      <c r="C422" t="s">
        <v>990</v>
      </c>
    </row>
    <row r="423" spans="1:3">
      <c r="A423">
        <v>777</v>
      </c>
      <c r="B423" t="s">
        <v>991</v>
      </c>
      <c r="C423" t="s">
        <v>992</v>
      </c>
    </row>
    <row r="424" spans="1:3">
      <c r="A424">
        <v>715</v>
      </c>
      <c r="B424" t="s">
        <v>993</v>
      </c>
      <c r="C424" t="s">
        <v>994</v>
      </c>
    </row>
    <row r="425" spans="1:3">
      <c r="A425">
        <v>943</v>
      </c>
      <c r="B425" t="s">
        <v>995</v>
      </c>
      <c r="C425" t="s">
        <v>996</v>
      </c>
    </row>
    <row r="426" spans="1:3">
      <c r="A426">
        <v>611</v>
      </c>
      <c r="B426" t="s">
        <v>997</v>
      </c>
      <c r="C426" t="s">
        <v>998</v>
      </c>
    </row>
    <row r="427" spans="1:3">
      <c r="A427">
        <v>704</v>
      </c>
      <c r="B427" t="s">
        <v>999</v>
      </c>
      <c r="C427" t="s">
        <v>1000</v>
      </c>
    </row>
    <row r="428" spans="1:3">
      <c r="A428">
        <v>1121</v>
      </c>
      <c r="B428" t="s">
        <v>1001</v>
      </c>
      <c r="C428" t="s">
        <v>1002</v>
      </c>
    </row>
    <row r="429" spans="1:3">
      <c r="A429">
        <v>624</v>
      </c>
      <c r="B429" t="s">
        <v>1003</v>
      </c>
      <c r="C429" t="s">
        <v>1004</v>
      </c>
    </row>
    <row r="430" spans="1:3">
      <c r="A430">
        <v>588</v>
      </c>
      <c r="B430" t="s">
        <v>1005</v>
      </c>
      <c r="C430" t="s">
        <v>1006</v>
      </c>
    </row>
    <row r="431" spans="1:3">
      <c r="A431">
        <v>807</v>
      </c>
      <c r="B431" t="s">
        <v>1007</v>
      </c>
      <c r="C431" t="s">
        <v>1008</v>
      </c>
    </row>
    <row r="432" spans="1:3">
      <c r="A432">
        <v>706</v>
      </c>
      <c r="B432" t="s">
        <v>1009</v>
      </c>
      <c r="C432" t="s">
        <v>1010</v>
      </c>
    </row>
    <row r="433" spans="1:3">
      <c r="A433">
        <v>873</v>
      </c>
      <c r="B433" t="s">
        <v>1011</v>
      </c>
      <c r="C433" t="s">
        <v>1011</v>
      </c>
    </row>
    <row r="434" spans="1:3">
      <c r="A434">
        <v>874</v>
      </c>
      <c r="B434" t="s">
        <v>1012</v>
      </c>
      <c r="C434" t="s">
        <v>1012</v>
      </c>
    </row>
    <row r="435" spans="1:3">
      <c r="A435">
        <v>852</v>
      </c>
      <c r="B435" t="s">
        <v>1013</v>
      </c>
      <c r="C435" t="s">
        <v>1014</v>
      </c>
    </row>
    <row r="436" spans="1:3">
      <c r="A436">
        <v>547</v>
      </c>
      <c r="B436" t="s">
        <v>1015</v>
      </c>
      <c r="C436" t="s">
        <v>1016</v>
      </c>
    </row>
    <row r="437" spans="1:3">
      <c r="A437">
        <v>908</v>
      </c>
      <c r="B437" t="s">
        <v>1017</v>
      </c>
      <c r="C437" t="s">
        <v>1018</v>
      </c>
    </row>
    <row r="438" spans="1:3">
      <c r="A438">
        <v>705</v>
      </c>
      <c r="B438" t="s">
        <v>1019</v>
      </c>
      <c r="C438" t="s">
        <v>1020</v>
      </c>
    </row>
    <row r="439" spans="1:3">
      <c r="A439">
        <v>1048</v>
      </c>
      <c r="B439" t="s">
        <v>1021</v>
      </c>
      <c r="C439" t="s">
        <v>1022</v>
      </c>
    </row>
    <row r="440" spans="1:3">
      <c r="A440">
        <v>928</v>
      </c>
      <c r="B440" t="s">
        <v>1023</v>
      </c>
      <c r="C440" t="s">
        <v>1024</v>
      </c>
    </row>
    <row r="441" spans="1:3">
      <c r="A441">
        <v>982</v>
      </c>
      <c r="B441" t="s">
        <v>1025</v>
      </c>
      <c r="C441" t="s">
        <v>1026</v>
      </c>
    </row>
    <row r="442" spans="1:3">
      <c r="A442">
        <v>1146</v>
      </c>
      <c r="B442" t="s">
        <v>1027</v>
      </c>
      <c r="C442" t="s">
        <v>1027</v>
      </c>
    </row>
    <row r="443" spans="1:3">
      <c r="A443">
        <v>613</v>
      </c>
      <c r="B443" t="s">
        <v>1028</v>
      </c>
      <c r="C443" t="s">
        <v>1029</v>
      </c>
    </row>
    <row r="444" spans="1:3">
      <c r="A444">
        <v>836</v>
      </c>
      <c r="B444" t="s">
        <v>1030</v>
      </c>
      <c r="C444" t="s">
        <v>1031</v>
      </c>
    </row>
    <row r="445" spans="1:3">
      <c r="A445">
        <v>898</v>
      </c>
      <c r="B445" t="s">
        <v>1032</v>
      </c>
      <c r="C445" t="s">
        <v>1033</v>
      </c>
    </row>
    <row r="446" spans="1:3">
      <c r="A446">
        <v>769</v>
      </c>
      <c r="B446" t="s">
        <v>1034</v>
      </c>
      <c r="C446" t="s">
        <v>1035</v>
      </c>
    </row>
    <row r="447" spans="1:3">
      <c r="A447">
        <v>615</v>
      </c>
      <c r="B447" t="s">
        <v>1036</v>
      </c>
      <c r="C447" t="s">
        <v>1037</v>
      </c>
    </row>
    <row r="448" spans="1:3">
      <c r="A448">
        <v>682</v>
      </c>
      <c r="B448" t="s">
        <v>1038</v>
      </c>
      <c r="C448" t="s">
        <v>1039</v>
      </c>
    </row>
    <row r="449" spans="1:3">
      <c r="A449">
        <v>752</v>
      </c>
      <c r="B449" t="s">
        <v>1040</v>
      </c>
      <c r="C449" t="s">
        <v>1041</v>
      </c>
    </row>
    <row r="450" spans="1:3">
      <c r="A450">
        <v>921</v>
      </c>
      <c r="B450" t="s">
        <v>1042</v>
      </c>
      <c r="C450" t="s">
        <v>1043</v>
      </c>
    </row>
    <row r="451" spans="1:3">
      <c r="A451">
        <v>981</v>
      </c>
      <c r="B451" t="s">
        <v>1044</v>
      </c>
      <c r="C451" t="s">
        <v>1045</v>
      </c>
    </row>
    <row r="452" spans="1:3">
      <c r="A452">
        <v>558</v>
      </c>
      <c r="B452" t="s">
        <v>1046</v>
      </c>
      <c r="C452" t="s">
        <v>1047</v>
      </c>
    </row>
    <row r="453" spans="1:3">
      <c r="A453">
        <v>584</v>
      </c>
      <c r="B453" t="s">
        <v>1048</v>
      </c>
      <c r="C453" t="s">
        <v>1049</v>
      </c>
    </row>
    <row r="454" spans="1:3">
      <c r="A454">
        <v>785</v>
      </c>
      <c r="B454" t="s">
        <v>1050</v>
      </c>
      <c r="C454" t="s">
        <v>1051</v>
      </c>
    </row>
    <row r="455" spans="1:3">
      <c r="A455">
        <v>556</v>
      </c>
      <c r="B455" t="s">
        <v>1052</v>
      </c>
      <c r="C455" t="s">
        <v>1053</v>
      </c>
    </row>
    <row r="456" spans="1:3">
      <c r="A456">
        <v>1140</v>
      </c>
      <c r="B456" t="s">
        <v>1054</v>
      </c>
      <c r="C456" t="s">
        <v>1055</v>
      </c>
    </row>
    <row r="457" spans="1:3">
      <c r="A457">
        <v>899</v>
      </c>
      <c r="B457" t="s">
        <v>1056</v>
      </c>
      <c r="C457" t="s">
        <v>1057</v>
      </c>
    </row>
    <row r="458" spans="1:3">
      <c r="A458">
        <v>920</v>
      </c>
      <c r="B458" t="s">
        <v>1058</v>
      </c>
      <c r="C458" t="s">
        <v>1059</v>
      </c>
    </row>
    <row r="459" spans="1:3">
      <c r="A459">
        <v>971</v>
      </c>
      <c r="B459" t="s">
        <v>1060</v>
      </c>
      <c r="C459" t="s">
        <v>1061</v>
      </c>
    </row>
    <row r="460" spans="1:3">
      <c r="A460">
        <v>894</v>
      </c>
      <c r="B460" t="s">
        <v>1062</v>
      </c>
      <c r="C460" t="s">
        <v>1062</v>
      </c>
    </row>
    <row r="461" spans="1:3">
      <c r="A461">
        <v>696</v>
      </c>
      <c r="B461" t="s">
        <v>1063</v>
      </c>
      <c r="C461" t="s">
        <v>1064</v>
      </c>
    </row>
    <row r="462" spans="1:3">
      <c r="A462">
        <v>895</v>
      </c>
      <c r="B462" t="s">
        <v>1065</v>
      </c>
      <c r="C462" t="s">
        <v>1065</v>
      </c>
    </row>
    <row r="463" spans="1:3">
      <c r="A463">
        <v>1155</v>
      </c>
      <c r="B463" t="s">
        <v>1066</v>
      </c>
      <c r="C463" t="s">
        <v>1067</v>
      </c>
    </row>
    <row r="464" spans="1:3">
      <c r="A464">
        <v>629</v>
      </c>
      <c r="B464" t="s">
        <v>1068</v>
      </c>
      <c r="C464" t="s">
        <v>1069</v>
      </c>
    </row>
    <row r="465" spans="1:3">
      <c r="A465">
        <v>1071</v>
      </c>
      <c r="B465" t="s">
        <v>1070</v>
      </c>
      <c r="C465" t="s">
        <v>1071</v>
      </c>
    </row>
    <row r="466" spans="1:3">
      <c r="A466">
        <v>1149</v>
      </c>
      <c r="B466" t="s">
        <v>1072</v>
      </c>
      <c r="C466" t="s">
        <v>1072</v>
      </c>
    </row>
    <row r="467" spans="1:3">
      <c r="A467">
        <v>1150</v>
      </c>
      <c r="B467" t="s">
        <v>1073</v>
      </c>
      <c r="C467" t="s">
        <v>1073</v>
      </c>
    </row>
    <row r="468" spans="1:3">
      <c r="A468">
        <v>1151</v>
      </c>
      <c r="B468" t="s">
        <v>1074</v>
      </c>
      <c r="C468" t="s">
        <v>1074</v>
      </c>
    </row>
    <row r="469" spans="1:3">
      <c r="A469">
        <v>811</v>
      </c>
      <c r="B469" t="s">
        <v>1075</v>
      </c>
      <c r="C469" t="s">
        <v>1076</v>
      </c>
    </row>
    <row r="470" spans="1:3">
      <c r="A470">
        <v>1084</v>
      </c>
      <c r="B470" t="s">
        <v>1077</v>
      </c>
      <c r="C470" t="s">
        <v>1078</v>
      </c>
    </row>
    <row r="471" spans="1:3">
      <c r="A471">
        <v>883</v>
      </c>
      <c r="B471" t="s">
        <v>1079</v>
      </c>
      <c r="C471" t="s">
        <v>1080</v>
      </c>
    </row>
    <row r="472" spans="1:3">
      <c r="A472">
        <v>1101</v>
      </c>
      <c r="B472" t="s">
        <v>1081</v>
      </c>
      <c r="C472" t="s">
        <v>1082</v>
      </c>
    </row>
    <row r="473" spans="1:3">
      <c r="A473">
        <v>770</v>
      </c>
      <c r="B473" t="s">
        <v>1083</v>
      </c>
      <c r="C473" t="s">
        <v>1084</v>
      </c>
    </row>
    <row r="474" spans="1:3">
      <c r="A474">
        <v>591</v>
      </c>
      <c r="B474" t="s">
        <v>1085</v>
      </c>
      <c r="C474" t="s">
        <v>1086</v>
      </c>
    </row>
    <row r="475" spans="1:3">
      <c r="A475">
        <v>616</v>
      </c>
      <c r="B475" t="s">
        <v>1087</v>
      </c>
      <c r="C475" t="s">
        <v>1088</v>
      </c>
    </row>
    <row r="476" spans="1:3">
      <c r="A476">
        <v>635</v>
      </c>
      <c r="B476" t="s">
        <v>1089</v>
      </c>
      <c r="C476" t="s">
        <v>1090</v>
      </c>
    </row>
    <row r="477" spans="1:3">
      <c r="A477">
        <v>668</v>
      </c>
      <c r="B477" t="s">
        <v>1091</v>
      </c>
      <c r="C477" t="s">
        <v>1092</v>
      </c>
    </row>
    <row r="478" spans="1:3">
      <c r="A478">
        <v>674</v>
      </c>
      <c r="B478" t="s">
        <v>1093</v>
      </c>
      <c r="C478" t="s">
        <v>1094</v>
      </c>
    </row>
    <row r="479" spans="1:3">
      <c r="A479">
        <v>901</v>
      </c>
      <c r="B479" t="s">
        <v>1095</v>
      </c>
      <c r="C479" t="s">
        <v>1096</v>
      </c>
    </row>
    <row r="480" spans="1:3">
      <c r="A480">
        <v>912</v>
      </c>
      <c r="B480" t="s">
        <v>1097</v>
      </c>
      <c r="C480" t="s">
        <v>1098</v>
      </c>
    </row>
    <row r="481" spans="1:3">
      <c r="A481">
        <v>655</v>
      </c>
      <c r="B481" t="s">
        <v>1099</v>
      </c>
      <c r="C481" t="s">
        <v>1100</v>
      </c>
    </row>
    <row r="482" spans="1:3">
      <c r="A482">
        <v>1037</v>
      </c>
      <c r="B482" t="s">
        <v>1101</v>
      </c>
      <c r="C482" t="s">
        <v>1102</v>
      </c>
    </row>
    <row r="483" spans="1:3">
      <c r="A483">
        <v>652</v>
      </c>
      <c r="B483" t="s">
        <v>1103</v>
      </c>
      <c r="C483" t="s">
        <v>1104</v>
      </c>
    </row>
    <row r="484" spans="1:3">
      <c r="A484">
        <v>755</v>
      </c>
      <c r="B484" t="s">
        <v>1105</v>
      </c>
      <c r="C484" t="s">
        <v>1106</v>
      </c>
    </row>
    <row r="485" spans="1:3">
      <c r="A485">
        <v>626</v>
      </c>
      <c r="B485" t="s">
        <v>1107</v>
      </c>
      <c r="C485" t="s">
        <v>1108</v>
      </c>
    </row>
    <row r="486" spans="1:3">
      <c r="A486">
        <v>842</v>
      </c>
      <c r="B486" t="s">
        <v>1109</v>
      </c>
      <c r="C486" t="s">
        <v>1110</v>
      </c>
    </row>
    <row r="487" spans="1:3">
      <c r="A487">
        <v>886</v>
      </c>
      <c r="B487" t="s">
        <v>1111</v>
      </c>
      <c r="C487" t="s">
        <v>1112</v>
      </c>
    </row>
    <row r="488" spans="1:3">
      <c r="A488">
        <v>867</v>
      </c>
      <c r="B488" t="s">
        <v>1113</v>
      </c>
      <c r="C488" t="s">
        <v>1114</v>
      </c>
    </row>
    <row r="489" spans="1:3">
      <c r="A489">
        <v>689</v>
      </c>
      <c r="B489" t="s">
        <v>1115</v>
      </c>
      <c r="C489" t="s">
        <v>1116</v>
      </c>
    </row>
    <row r="490" spans="1:3">
      <c r="A490">
        <v>913</v>
      </c>
      <c r="B490" t="s">
        <v>1117</v>
      </c>
      <c r="C490" t="s">
        <v>1118</v>
      </c>
    </row>
    <row r="491" spans="1:3">
      <c r="A491">
        <v>614</v>
      </c>
      <c r="B491" t="s">
        <v>1119</v>
      </c>
      <c r="C491" t="s">
        <v>1120</v>
      </c>
    </row>
    <row r="492" spans="1:3">
      <c r="A492">
        <v>891</v>
      </c>
      <c r="B492" t="s">
        <v>1121</v>
      </c>
      <c r="C492" t="s">
        <v>1122</v>
      </c>
    </row>
    <row r="493" spans="1:3">
      <c r="A493">
        <v>949</v>
      </c>
      <c r="B493" t="s">
        <v>1123</v>
      </c>
      <c r="C493" t="s">
        <v>1124</v>
      </c>
    </row>
    <row r="494" spans="1:3">
      <c r="A494">
        <v>1152</v>
      </c>
      <c r="B494" t="s">
        <v>1125</v>
      </c>
      <c r="C494" t="s">
        <v>1125</v>
      </c>
    </row>
    <row r="495" spans="1:3">
      <c r="A495">
        <v>568</v>
      </c>
      <c r="B495" t="s">
        <v>1126</v>
      </c>
      <c r="C495" t="s">
        <v>1127</v>
      </c>
    </row>
    <row r="496" spans="1:3">
      <c r="A496">
        <v>849</v>
      </c>
      <c r="B496" t="s">
        <v>1128</v>
      </c>
      <c r="C496" t="s">
        <v>1129</v>
      </c>
    </row>
    <row r="497" spans="1:3">
      <c r="A497">
        <v>1029</v>
      </c>
      <c r="B497" t="s">
        <v>1130</v>
      </c>
      <c r="C497" t="s">
        <v>1131</v>
      </c>
    </row>
    <row r="498" spans="1:3">
      <c r="A498">
        <v>530</v>
      </c>
      <c r="B498" t="s">
        <v>1132</v>
      </c>
      <c r="C498" t="s">
        <v>1133</v>
      </c>
    </row>
    <row r="499" spans="1:3">
      <c r="A499">
        <v>604</v>
      </c>
      <c r="B499" t="s">
        <v>1134</v>
      </c>
      <c r="C499" t="s">
        <v>1135</v>
      </c>
    </row>
    <row r="500" spans="1:3">
      <c r="A500">
        <v>644</v>
      </c>
      <c r="B500" t="s">
        <v>1136</v>
      </c>
      <c r="C500" t="s">
        <v>1137</v>
      </c>
    </row>
    <row r="501" spans="1:3">
      <c r="A501">
        <v>976</v>
      </c>
      <c r="B501" t="s">
        <v>1138</v>
      </c>
      <c r="C501" t="s">
        <v>1139</v>
      </c>
    </row>
    <row r="502" spans="1:3">
      <c r="A502">
        <v>929</v>
      </c>
      <c r="B502" t="s">
        <v>1140</v>
      </c>
      <c r="C502" t="s">
        <v>1140</v>
      </c>
    </row>
    <row r="503" spans="1:3">
      <c r="A503">
        <v>931</v>
      </c>
      <c r="B503" t="s">
        <v>1141</v>
      </c>
      <c r="C503" t="s">
        <v>1141</v>
      </c>
    </row>
    <row r="504" spans="1:3">
      <c r="A504">
        <v>1148</v>
      </c>
      <c r="B504" t="s">
        <v>1142</v>
      </c>
      <c r="C504" t="s">
        <v>1143</v>
      </c>
    </row>
    <row r="505" spans="1:3">
      <c r="A505">
        <v>934</v>
      </c>
      <c r="B505" t="s">
        <v>1144</v>
      </c>
      <c r="C505" t="s">
        <v>1144</v>
      </c>
    </row>
    <row r="506" spans="1:3">
      <c r="A506">
        <v>935</v>
      </c>
      <c r="B506" t="s">
        <v>1145</v>
      </c>
      <c r="C506" t="s">
        <v>1145</v>
      </c>
    </row>
    <row r="507" spans="1:3">
      <c r="A507">
        <v>969</v>
      </c>
      <c r="B507" t="s">
        <v>1146</v>
      </c>
      <c r="C507" t="s">
        <v>1147</v>
      </c>
    </row>
    <row r="508" spans="1:3">
      <c r="A508">
        <v>601</v>
      </c>
      <c r="B508" t="s">
        <v>1148</v>
      </c>
      <c r="C508" t="s">
        <v>1149</v>
      </c>
    </row>
    <row r="509" spans="1:3">
      <c r="A509">
        <v>937</v>
      </c>
      <c r="B509" t="s">
        <v>1150</v>
      </c>
      <c r="C509" t="s">
        <v>1150</v>
      </c>
    </row>
    <row r="510" spans="1:3">
      <c r="A510">
        <v>1016</v>
      </c>
      <c r="B510" t="s">
        <v>1151</v>
      </c>
      <c r="C510" t="s">
        <v>1152</v>
      </c>
    </row>
    <row r="511" spans="1:3">
      <c r="A511">
        <v>959</v>
      </c>
      <c r="B511" t="s">
        <v>1153</v>
      </c>
      <c r="C511" t="s">
        <v>1154</v>
      </c>
    </row>
    <row r="512" spans="1:3">
      <c r="A512">
        <v>698</v>
      </c>
      <c r="B512" t="s">
        <v>1155</v>
      </c>
      <c r="C512" t="s">
        <v>1156</v>
      </c>
    </row>
    <row r="513" spans="1:3">
      <c r="A513">
        <v>582</v>
      </c>
      <c r="B513" t="s">
        <v>1157</v>
      </c>
      <c r="C513" t="s">
        <v>1158</v>
      </c>
    </row>
    <row r="514" spans="1:3">
      <c r="A514">
        <v>685</v>
      </c>
      <c r="B514" t="s">
        <v>1159</v>
      </c>
      <c r="C514" t="s">
        <v>1160</v>
      </c>
    </row>
    <row r="515" spans="1:3">
      <c r="A515">
        <v>860</v>
      </c>
      <c r="B515" t="s">
        <v>1161</v>
      </c>
      <c r="C515" t="s">
        <v>1162</v>
      </c>
    </row>
    <row r="516" spans="1:3">
      <c r="A516">
        <v>544</v>
      </c>
      <c r="B516" t="s">
        <v>1163</v>
      </c>
      <c r="C516" t="s">
        <v>1164</v>
      </c>
    </row>
    <row r="517" spans="1:3">
      <c r="A517">
        <v>847</v>
      </c>
      <c r="B517" t="s">
        <v>1165</v>
      </c>
      <c r="C517" t="s">
        <v>1166</v>
      </c>
    </row>
    <row r="518" spans="1:3">
      <c r="A518">
        <v>948</v>
      </c>
      <c r="B518" t="s">
        <v>1167</v>
      </c>
      <c r="C518" t="s">
        <v>1167</v>
      </c>
    </row>
    <row r="519" spans="1:3">
      <c r="A519">
        <v>659</v>
      </c>
      <c r="B519" t="s">
        <v>1168</v>
      </c>
      <c r="C519" t="s">
        <v>1169</v>
      </c>
    </row>
    <row r="520" spans="1:3">
      <c r="A520">
        <v>824</v>
      </c>
      <c r="B520" t="s">
        <v>1170</v>
      </c>
      <c r="C520" t="s">
        <v>1171</v>
      </c>
    </row>
    <row r="521" spans="1:3">
      <c r="A521">
        <v>589</v>
      </c>
      <c r="B521" t="s">
        <v>1172</v>
      </c>
      <c r="C521" t="s">
        <v>1173</v>
      </c>
    </row>
    <row r="522" spans="1:3">
      <c r="A522">
        <v>932</v>
      </c>
      <c r="B522" t="s">
        <v>1174</v>
      </c>
      <c r="C522" t="s">
        <v>1175</v>
      </c>
    </row>
    <row r="523" spans="1:3">
      <c r="A523">
        <v>1105</v>
      </c>
      <c r="B523" t="s">
        <v>1176</v>
      </c>
      <c r="C523" t="s">
        <v>1176</v>
      </c>
    </row>
    <row r="524" spans="1:3">
      <c r="A524">
        <v>713</v>
      </c>
      <c r="B524" t="s">
        <v>1177</v>
      </c>
      <c r="C524" t="s">
        <v>1178</v>
      </c>
    </row>
    <row r="525" spans="1:3">
      <c r="A525">
        <v>738</v>
      </c>
      <c r="B525" t="s">
        <v>1179</v>
      </c>
      <c r="C525" t="s">
        <v>1180</v>
      </c>
    </row>
    <row r="526" spans="1:3">
      <c r="A526">
        <v>1100</v>
      </c>
      <c r="B526" t="s">
        <v>1181</v>
      </c>
      <c r="C526" t="s">
        <v>1182</v>
      </c>
    </row>
    <row r="527" spans="1:3">
      <c r="A527">
        <v>805</v>
      </c>
      <c r="B527" t="s">
        <v>1183</v>
      </c>
      <c r="C527" t="s">
        <v>1184</v>
      </c>
    </row>
    <row r="528" spans="1:3">
      <c r="A528">
        <v>645</v>
      </c>
      <c r="B528" t="s">
        <v>1185</v>
      </c>
      <c r="C528" t="s">
        <v>1186</v>
      </c>
    </row>
    <row r="529" spans="1:3">
      <c r="A529">
        <v>958</v>
      </c>
      <c r="B529" t="s">
        <v>1187</v>
      </c>
      <c r="C529" t="s">
        <v>1187</v>
      </c>
    </row>
    <row r="530" spans="1:3">
      <c r="A530">
        <v>734</v>
      </c>
      <c r="B530" t="s">
        <v>1188</v>
      </c>
      <c r="C530" t="s">
        <v>1189</v>
      </c>
    </row>
    <row r="531" spans="1:3">
      <c r="A531">
        <v>1130</v>
      </c>
      <c r="B531" t="s">
        <v>1190</v>
      </c>
      <c r="C531" t="s">
        <v>1191</v>
      </c>
    </row>
    <row r="532" spans="1:3">
      <c r="A532">
        <v>1001</v>
      </c>
      <c r="B532" t="s">
        <v>1192</v>
      </c>
      <c r="C532" t="s">
        <v>1193</v>
      </c>
    </row>
    <row r="533" spans="1:3">
      <c r="A533">
        <v>952</v>
      </c>
      <c r="B533" t="s">
        <v>1194</v>
      </c>
      <c r="C533" t="s">
        <v>1195</v>
      </c>
    </row>
    <row r="534" spans="1:3">
      <c r="A534">
        <v>827</v>
      </c>
      <c r="B534" t="s">
        <v>1196</v>
      </c>
      <c r="C534" t="s">
        <v>1197</v>
      </c>
    </row>
    <row r="535" spans="1:3">
      <c r="A535">
        <v>964</v>
      </c>
      <c r="B535" t="s">
        <v>1198</v>
      </c>
      <c r="C535" t="s">
        <v>1199</v>
      </c>
    </row>
    <row r="536" spans="1:3">
      <c r="A536">
        <v>648</v>
      </c>
      <c r="B536" t="s">
        <v>1200</v>
      </c>
      <c r="C536" t="s">
        <v>1201</v>
      </c>
    </row>
    <row r="537" spans="1:3">
      <c r="A537">
        <v>812</v>
      </c>
      <c r="B537" t="s">
        <v>1202</v>
      </c>
      <c r="C537" t="s">
        <v>1203</v>
      </c>
    </row>
    <row r="538" spans="1:3">
      <c r="A538">
        <v>974</v>
      </c>
      <c r="B538" t="s">
        <v>1204</v>
      </c>
      <c r="C538" t="s">
        <v>1205</v>
      </c>
    </row>
    <row r="539" spans="1:3">
      <c r="A539">
        <v>598</v>
      </c>
      <c r="B539" t="s">
        <v>1206</v>
      </c>
      <c r="C539" t="s">
        <v>1207</v>
      </c>
    </row>
    <row r="540" spans="1:3">
      <c r="A540">
        <v>561</v>
      </c>
      <c r="B540" t="s">
        <v>1208</v>
      </c>
      <c r="C540" t="s">
        <v>1209</v>
      </c>
    </row>
    <row r="541" spans="1:3">
      <c r="A541">
        <v>537</v>
      </c>
      <c r="B541" t="s">
        <v>1210</v>
      </c>
      <c r="C541" t="s">
        <v>1211</v>
      </c>
    </row>
    <row r="542" spans="1:3">
      <c r="A542">
        <v>979</v>
      </c>
      <c r="B542" t="s">
        <v>1212</v>
      </c>
      <c r="C542" t="s">
        <v>1212</v>
      </c>
    </row>
    <row r="543" spans="1:3">
      <c r="A543">
        <v>980</v>
      </c>
      <c r="B543" t="s">
        <v>1213</v>
      </c>
      <c r="C543" t="s">
        <v>1214</v>
      </c>
    </row>
    <row r="544" spans="1:3">
      <c r="A544">
        <v>983</v>
      </c>
      <c r="B544" t="s">
        <v>1215</v>
      </c>
      <c r="C544" t="s">
        <v>1215</v>
      </c>
    </row>
    <row r="545" spans="1:3">
      <c r="A545">
        <v>1099</v>
      </c>
      <c r="B545" t="s">
        <v>1216</v>
      </c>
      <c r="C545" t="s">
        <v>1216</v>
      </c>
    </row>
    <row r="546" spans="1:3">
      <c r="A546">
        <v>985</v>
      </c>
      <c r="B546" t="s">
        <v>1217</v>
      </c>
      <c r="C546" t="s">
        <v>1217</v>
      </c>
    </row>
    <row r="547" spans="1:3">
      <c r="A547">
        <v>986</v>
      </c>
      <c r="B547" t="s">
        <v>1218</v>
      </c>
      <c r="C547" t="s">
        <v>1218</v>
      </c>
    </row>
    <row r="548" spans="1:3">
      <c r="A548">
        <v>989</v>
      </c>
      <c r="B548" t="s">
        <v>1219</v>
      </c>
      <c r="C548" t="s">
        <v>1219</v>
      </c>
    </row>
    <row r="549" spans="1:3">
      <c r="A549">
        <v>1068</v>
      </c>
      <c r="B549" t="s">
        <v>1220</v>
      </c>
      <c r="C549" t="s">
        <v>1221</v>
      </c>
    </row>
    <row r="550" spans="1:3">
      <c r="A550">
        <v>995</v>
      </c>
      <c r="B550" t="s">
        <v>1222</v>
      </c>
      <c r="C550" t="s">
        <v>1222</v>
      </c>
    </row>
    <row r="551" spans="1:3">
      <c r="A551">
        <v>892</v>
      </c>
      <c r="B551" t="s">
        <v>1223</v>
      </c>
      <c r="C551" t="s">
        <v>1224</v>
      </c>
    </row>
    <row r="552" spans="1:3">
      <c r="A552">
        <v>1127</v>
      </c>
      <c r="B552" t="s">
        <v>1225</v>
      </c>
      <c r="C552" t="s">
        <v>1226</v>
      </c>
    </row>
    <row r="553" spans="1:3">
      <c r="A553">
        <v>737</v>
      </c>
      <c r="B553" t="s">
        <v>1227</v>
      </c>
      <c r="C553" t="s">
        <v>1228</v>
      </c>
    </row>
    <row r="554" spans="1:3">
      <c r="A554">
        <v>1089</v>
      </c>
      <c r="B554" t="s">
        <v>1229</v>
      </c>
      <c r="C554" t="s">
        <v>1230</v>
      </c>
    </row>
    <row r="555" spans="1:3">
      <c r="A555">
        <v>837</v>
      </c>
      <c r="B555" t="s">
        <v>1231</v>
      </c>
      <c r="C555" t="s">
        <v>1232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74D13-CB6C-49DC-B2D2-C1264B0D53B7}">
  <sheetPr codeName="FixedLists"/>
  <dimension ref="A1:AR35"/>
  <sheetViews>
    <sheetView workbookViewId="0">
      <selection activeCell="B11" sqref="B11"/>
    </sheetView>
  </sheetViews>
  <sheetFormatPr defaultColWidth="8.875" defaultRowHeight="14.25"/>
  <cols>
    <col min="1" max="1" width="4.375" customWidth="1"/>
    <col min="2" max="2" width="19.875" bestFit="1" customWidth="1"/>
    <col min="3" max="3" width="7" customWidth="1"/>
    <col min="4" max="5" width="2.875" customWidth="1"/>
    <col min="6" max="6" width="4.375" customWidth="1"/>
    <col min="7" max="7" width="16.375" bestFit="1" customWidth="1"/>
    <col min="8" max="8" width="14.375" customWidth="1"/>
    <col min="9" max="10" width="2.875" customWidth="1"/>
    <col min="11" max="11" width="10.375" customWidth="1"/>
    <col min="12" max="12" width="30" bestFit="1" customWidth="1"/>
    <col min="13" max="14" width="2.875" customWidth="1"/>
    <col min="15" max="15" width="4.375" customWidth="1"/>
    <col min="16" max="16" width="17.625" bestFit="1" customWidth="1"/>
    <col min="17" max="17" width="18.875" bestFit="1" customWidth="1"/>
    <col min="18" max="19" width="2.875" customWidth="1"/>
    <col min="20" max="20" width="4.375" customWidth="1"/>
    <col min="21" max="21" width="8.125" customWidth="1"/>
    <col min="22" max="23" width="2.875" customWidth="1"/>
    <col min="24" max="24" width="11.375" bestFit="1" customWidth="1"/>
    <col min="25" max="25" width="14.375" bestFit="1" customWidth="1"/>
    <col min="26" max="26" width="37.375" bestFit="1" customWidth="1"/>
    <col min="27" max="28" width="2.875" customWidth="1"/>
    <col min="29" max="29" width="4.375" customWidth="1"/>
    <col min="30" max="30" width="7.125" customWidth="1"/>
    <col min="31" max="31" width="12.375" customWidth="1"/>
    <col min="32" max="33" width="2.875" customWidth="1"/>
    <col min="34" max="34" width="10.375" customWidth="1"/>
    <col min="35" max="36" width="2.875" customWidth="1"/>
    <col min="37" max="37" width="10.375" customWidth="1"/>
    <col min="38" max="38" width="9.375" customWidth="1"/>
    <col min="39" max="40" width="2.875" customWidth="1"/>
    <col min="41" max="41" width="23" bestFit="1" customWidth="1"/>
    <col min="42" max="43" width="2.875" customWidth="1"/>
    <col min="44" max="44" width="137.375" bestFit="1" customWidth="1"/>
  </cols>
  <sheetData>
    <row r="1" spans="1:44" ht="15">
      <c r="A1" s="8" t="s">
        <v>190</v>
      </c>
      <c r="B1" s="8" t="s">
        <v>1233</v>
      </c>
      <c r="C1" s="8" t="s">
        <v>1234</v>
      </c>
      <c r="F1" t="s">
        <v>190</v>
      </c>
      <c r="G1" t="s">
        <v>1235</v>
      </c>
      <c r="H1" t="s">
        <v>1236</v>
      </c>
      <c r="I1" s="3"/>
      <c r="J1" s="4"/>
      <c r="K1" s="5" t="s">
        <v>1237</v>
      </c>
      <c r="L1" s="6" t="s">
        <v>1238</v>
      </c>
      <c r="O1" t="s">
        <v>190</v>
      </c>
      <c r="P1" t="s">
        <v>1239</v>
      </c>
      <c r="Q1" t="s">
        <v>1240</v>
      </c>
      <c r="T1" t="s">
        <v>190</v>
      </c>
      <c r="U1" t="s">
        <v>5</v>
      </c>
      <c r="X1" t="s">
        <v>1</v>
      </c>
      <c r="Y1" t="s">
        <v>1241</v>
      </c>
      <c r="Z1" t="s">
        <v>1242</v>
      </c>
      <c r="AC1" t="s">
        <v>190</v>
      </c>
      <c r="AD1" t="s">
        <v>1243</v>
      </c>
      <c r="AE1" t="s">
        <v>1244</v>
      </c>
      <c r="AH1" t="s">
        <v>1245</v>
      </c>
      <c r="AK1" t="s">
        <v>1246</v>
      </c>
      <c r="AL1" t="s">
        <v>1247</v>
      </c>
      <c r="AO1" t="s">
        <v>1248</v>
      </c>
      <c r="AR1" t="s">
        <v>1249</v>
      </c>
    </row>
    <row r="2" spans="1:44" ht="15">
      <c r="A2" s="9">
        <v>1</v>
      </c>
      <c r="B2" s="10" t="s">
        <v>1250</v>
      </c>
      <c r="C2" s="10" t="s">
        <v>1251</v>
      </c>
      <c r="F2">
        <v>0</v>
      </c>
      <c r="G2" t="s">
        <v>1252</v>
      </c>
      <c r="H2" t="s">
        <v>1252</v>
      </c>
      <c r="I2" s="1"/>
      <c r="J2" s="2"/>
      <c r="K2" s="7">
        <v>1</v>
      </c>
      <c r="L2" s="6" t="s">
        <v>1253</v>
      </c>
      <c r="O2">
        <v>1</v>
      </c>
      <c r="P2" t="s">
        <v>1254</v>
      </c>
      <c r="Q2" t="s">
        <v>1255</v>
      </c>
      <c r="T2">
        <v>1</v>
      </c>
      <c r="U2" t="s">
        <v>31</v>
      </c>
      <c r="X2">
        <v>2</v>
      </c>
      <c r="Y2" t="s">
        <v>40</v>
      </c>
      <c r="Z2" t="s">
        <v>1256</v>
      </c>
      <c r="AC2">
        <v>1</v>
      </c>
      <c r="AD2" t="s">
        <v>1257</v>
      </c>
      <c r="AE2">
        <v>1380</v>
      </c>
      <c r="AH2" t="s">
        <v>184</v>
      </c>
      <c r="AK2">
        <v>0</v>
      </c>
      <c r="AL2">
        <v>0</v>
      </c>
      <c r="AO2" t="s">
        <v>1258</v>
      </c>
      <c r="AR2" t="s">
        <v>1259</v>
      </c>
    </row>
    <row r="3" spans="1:44" ht="15">
      <c r="A3" s="9">
        <v>2</v>
      </c>
      <c r="B3" s="10" t="s">
        <v>1260</v>
      </c>
      <c r="C3" s="10" t="s">
        <v>1261</v>
      </c>
      <c r="F3">
        <v>1</v>
      </c>
      <c r="G3" t="s">
        <v>15</v>
      </c>
      <c r="H3" t="s">
        <v>82</v>
      </c>
      <c r="I3" s="1"/>
      <c r="J3" s="2"/>
      <c r="K3" s="7">
        <v>2</v>
      </c>
      <c r="L3" s="6" t="s">
        <v>1262</v>
      </c>
      <c r="O3">
        <v>4</v>
      </c>
      <c r="P3" t="s">
        <v>1250</v>
      </c>
      <c r="Q3" t="s">
        <v>1263</v>
      </c>
      <c r="T3">
        <v>2</v>
      </c>
      <c r="U3" t="s">
        <v>1264</v>
      </c>
      <c r="X3">
        <v>3</v>
      </c>
      <c r="Y3" t="s">
        <v>11</v>
      </c>
      <c r="Z3" t="s">
        <v>1265</v>
      </c>
      <c r="AC3">
        <v>2</v>
      </c>
      <c r="AD3" t="s">
        <v>1266</v>
      </c>
      <c r="AE3">
        <v>420</v>
      </c>
      <c r="AH3" t="s">
        <v>71</v>
      </c>
      <c r="AK3">
        <v>0.5</v>
      </c>
      <c r="AL3">
        <v>1</v>
      </c>
      <c r="AO3" t="s">
        <v>1267</v>
      </c>
      <c r="AR3" t="s">
        <v>1268</v>
      </c>
    </row>
    <row r="4" spans="1:44" ht="15">
      <c r="A4" s="9">
        <v>3</v>
      </c>
      <c r="B4" s="10" t="s">
        <v>1269</v>
      </c>
      <c r="C4" s="10" t="s">
        <v>1269</v>
      </c>
      <c r="F4">
        <v>2</v>
      </c>
      <c r="G4" t="s">
        <v>1270</v>
      </c>
      <c r="H4" t="s">
        <v>1271</v>
      </c>
      <c r="I4" s="1"/>
      <c r="K4" s="6">
        <v>3</v>
      </c>
      <c r="L4" s="6" t="s">
        <v>1272</v>
      </c>
      <c r="O4">
        <v>5</v>
      </c>
      <c r="P4" t="s">
        <v>1273</v>
      </c>
      <c r="Q4" t="s">
        <v>1274</v>
      </c>
      <c r="T4">
        <v>3</v>
      </c>
      <c r="U4" t="s">
        <v>1275</v>
      </c>
      <c r="X4">
        <v>4</v>
      </c>
      <c r="Y4" t="s">
        <v>28</v>
      </c>
      <c r="Z4" t="s">
        <v>1276</v>
      </c>
      <c r="AC4">
        <v>3</v>
      </c>
      <c r="AD4" t="s">
        <v>1277</v>
      </c>
      <c r="AE4">
        <v>450</v>
      </c>
      <c r="AK4">
        <v>1</v>
      </c>
      <c r="AL4">
        <v>2</v>
      </c>
      <c r="AR4" t="s">
        <v>1278</v>
      </c>
    </row>
    <row r="5" spans="1:44" ht="15">
      <c r="A5" s="9">
        <v>4</v>
      </c>
      <c r="B5" s="10" t="s">
        <v>1273</v>
      </c>
      <c r="C5" s="10" t="s">
        <v>1279</v>
      </c>
      <c r="F5">
        <v>4</v>
      </c>
      <c r="G5" t="s">
        <v>48</v>
      </c>
      <c r="H5" t="s">
        <v>1280</v>
      </c>
      <c r="I5" s="1"/>
      <c r="O5">
        <v>6</v>
      </c>
      <c r="P5" t="s">
        <v>1281</v>
      </c>
      <c r="Q5" t="s">
        <v>1282</v>
      </c>
      <c r="T5">
        <v>4</v>
      </c>
      <c r="U5" t="s">
        <v>1283</v>
      </c>
      <c r="X5">
        <v>5</v>
      </c>
      <c r="Y5" t="s">
        <v>32</v>
      </c>
      <c r="Z5" t="s">
        <v>1284</v>
      </c>
      <c r="AC5">
        <v>4</v>
      </c>
      <c r="AD5" t="s">
        <v>1285</v>
      </c>
      <c r="AE5">
        <v>480</v>
      </c>
      <c r="AK5">
        <v>1.5</v>
      </c>
      <c r="AL5">
        <v>3</v>
      </c>
      <c r="AR5" t="s">
        <v>1286</v>
      </c>
    </row>
    <row r="6" spans="1:44" ht="15">
      <c r="A6" s="9">
        <v>5</v>
      </c>
      <c r="B6" s="10" t="s">
        <v>1281</v>
      </c>
      <c r="C6" s="10" t="s">
        <v>1287</v>
      </c>
      <c r="F6">
        <v>5</v>
      </c>
      <c r="G6" t="s">
        <v>21</v>
      </c>
      <c r="H6" t="s">
        <v>1288</v>
      </c>
      <c r="I6" s="1"/>
      <c r="O6">
        <v>7</v>
      </c>
      <c r="P6" t="s">
        <v>1289</v>
      </c>
      <c r="Q6" t="s">
        <v>1290</v>
      </c>
      <c r="T6">
        <v>5</v>
      </c>
      <c r="U6" t="s">
        <v>1291</v>
      </c>
      <c r="X6">
        <v>6</v>
      </c>
      <c r="Y6" t="s">
        <v>468</v>
      </c>
      <c r="Z6" t="s">
        <v>1292</v>
      </c>
      <c r="AC6">
        <v>5</v>
      </c>
      <c r="AD6" t="s">
        <v>1293</v>
      </c>
      <c r="AE6">
        <v>510</v>
      </c>
      <c r="AK6">
        <v>2</v>
      </c>
      <c r="AL6">
        <v>4</v>
      </c>
      <c r="AR6" t="s">
        <v>1294</v>
      </c>
    </row>
    <row r="7" spans="1:44" ht="15">
      <c r="A7" s="9">
        <v>6</v>
      </c>
      <c r="B7" s="10" t="s">
        <v>1295</v>
      </c>
      <c r="C7" s="10" t="s">
        <v>1296</v>
      </c>
      <c r="F7">
        <v>6</v>
      </c>
      <c r="G7" t="s">
        <v>16</v>
      </c>
      <c r="H7" t="s">
        <v>92</v>
      </c>
      <c r="I7" s="1"/>
      <c r="O7">
        <v>8</v>
      </c>
      <c r="P7" t="s">
        <v>1297</v>
      </c>
      <c r="Q7" t="s">
        <v>1298</v>
      </c>
      <c r="T7">
        <v>6</v>
      </c>
      <c r="U7" t="s">
        <v>1299</v>
      </c>
      <c r="X7">
        <v>7</v>
      </c>
      <c r="Y7" t="s">
        <v>1300</v>
      </c>
      <c r="Z7" t="s">
        <v>1301</v>
      </c>
      <c r="AC7">
        <v>6</v>
      </c>
      <c r="AD7" t="s">
        <v>1302</v>
      </c>
      <c r="AE7">
        <v>540</v>
      </c>
      <c r="AK7">
        <v>2.5</v>
      </c>
      <c r="AL7">
        <v>5</v>
      </c>
      <c r="AR7" t="s">
        <v>1303</v>
      </c>
    </row>
    <row r="8" spans="1:44" ht="15">
      <c r="A8" s="9">
        <v>7</v>
      </c>
      <c r="B8" s="10" t="s">
        <v>1304</v>
      </c>
      <c r="C8" s="10" t="s">
        <v>1304</v>
      </c>
      <c r="F8">
        <v>7</v>
      </c>
      <c r="G8" t="s">
        <v>19</v>
      </c>
      <c r="H8" t="s">
        <v>1305</v>
      </c>
      <c r="I8" s="1"/>
      <c r="O8">
        <v>9</v>
      </c>
      <c r="P8" t="s">
        <v>1306</v>
      </c>
      <c r="Q8" t="s">
        <v>1307</v>
      </c>
      <c r="T8">
        <v>7</v>
      </c>
      <c r="U8" t="s">
        <v>1308</v>
      </c>
      <c r="X8">
        <v>8</v>
      </c>
      <c r="Y8" t="s">
        <v>1309</v>
      </c>
      <c r="Z8" t="s">
        <v>1310</v>
      </c>
      <c r="AC8">
        <v>7</v>
      </c>
      <c r="AD8" t="s">
        <v>1311</v>
      </c>
      <c r="AE8">
        <v>570</v>
      </c>
      <c r="AK8">
        <v>3</v>
      </c>
      <c r="AL8">
        <v>6</v>
      </c>
    </row>
    <row r="9" spans="1:44" ht="15">
      <c r="A9" s="9">
        <v>8</v>
      </c>
      <c r="B9" s="10" t="s">
        <v>1312</v>
      </c>
      <c r="C9" s="10" t="s">
        <v>1313</v>
      </c>
      <c r="F9">
        <v>8</v>
      </c>
      <c r="G9" t="s">
        <v>39</v>
      </c>
      <c r="H9" t="s">
        <v>1314</v>
      </c>
      <c r="I9" s="1"/>
      <c r="O9">
        <v>10</v>
      </c>
      <c r="P9" t="s">
        <v>1315</v>
      </c>
      <c r="Q9" t="s">
        <v>1316</v>
      </c>
      <c r="T9">
        <v>8</v>
      </c>
      <c r="U9" t="s">
        <v>43</v>
      </c>
      <c r="X9">
        <v>9</v>
      </c>
      <c r="Y9" t="s">
        <v>1317</v>
      </c>
      <c r="Z9" t="s">
        <v>1318</v>
      </c>
      <c r="AC9">
        <v>8</v>
      </c>
      <c r="AD9" t="s">
        <v>1319</v>
      </c>
      <c r="AE9">
        <v>600</v>
      </c>
      <c r="AK9">
        <v>3.5</v>
      </c>
      <c r="AL9">
        <v>7</v>
      </c>
    </row>
    <row r="10" spans="1:44" ht="15">
      <c r="A10" s="11">
        <v>9</v>
      </c>
      <c r="B10" s="12" t="s">
        <v>1320</v>
      </c>
      <c r="C10" s="12" t="s">
        <v>1321</v>
      </c>
      <c r="F10">
        <v>9</v>
      </c>
      <c r="G10" t="s">
        <v>1322</v>
      </c>
      <c r="H10" t="s">
        <v>1323</v>
      </c>
      <c r="I10" s="1"/>
      <c r="O10">
        <v>11</v>
      </c>
      <c r="P10" t="s">
        <v>1324</v>
      </c>
      <c r="Q10" t="s">
        <v>1324</v>
      </c>
      <c r="T10">
        <v>9</v>
      </c>
      <c r="U10" t="s">
        <v>14</v>
      </c>
      <c r="X10">
        <v>10</v>
      </c>
      <c r="Y10" t="s">
        <v>1325</v>
      </c>
      <c r="Z10" t="s">
        <v>1326</v>
      </c>
      <c r="AC10">
        <v>9</v>
      </c>
      <c r="AD10" t="s">
        <v>1327</v>
      </c>
      <c r="AE10">
        <v>630</v>
      </c>
      <c r="AK10">
        <v>4</v>
      </c>
      <c r="AL10">
        <v>8</v>
      </c>
    </row>
    <row r="11" spans="1:44" ht="15">
      <c r="A11" s="11">
        <v>10</v>
      </c>
      <c r="B11" s="12" t="s">
        <v>1328</v>
      </c>
      <c r="C11" s="12" t="s">
        <v>1329</v>
      </c>
      <c r="F11">
        <v>10</v>
      </c>
      <c r="G11" t="s">
        <v>1330</v>
      </c>
      <c r="H11" t="s">
        <v>1331</v>
      </c>
      <c r="I11" s="1"/>
      <c r="T11">
        <v>10</v>
      </c>
      <c r="U11" t="s">
        <v>1332</v>
      </c>
      <c r="X11">
        <v>11</v>
      </c>
      <c r="Y11" t="s">
        <v>36</v>
      </c>
      <c r="Z11" t="s">
        <v>1333</v>
      </c>
      <c r="AC11">
        <v>10</v>
      </c>
      <c r="AD11" t="s">
        <v>1334</v>
      </c>
      <c r="AE11">
        <v>660</v>
      </c>
      <c r="AK11">
        <v>4.5</v>
      </c>
      <c r="AL11">
        <v>9</v>
      </c>
    </row>
    <row r="12" spans="1:44" ht="15">
      <c r="A12" s="11">
        <v>11</v>
      </c>
      <c r="B12" s="12" t="s">
        <v>1335</v>
      </c>
      <c r="C12" s="12" t="s">
        <v>1335</v>
      </c>
      <c r="F12">
        <v>11</v>
      </c>
      <c r="G12" t="s">
        <v>1336</v>
      </c>
      <c r="H12" t="s">
        <v>1336</v>
      </c>
      <c r="I12" s="1"/>
      <c r="T12">
        <v>11</v>
      </c>
      <c r="U12" t="s">
        <v>87</v>
      </c>
      <c r="X12">
        <v>12</v>
      </c>
      <c r="Y12" t="s">
        <v>1337</v>
      </c>
      <c r="Z12" t="s">
        <v>1338</v>
      </c>
      <c r="AC12">
        <v>11</v>
      </c>
      <c r="AD12" t="s">
        <v>1339</v>
      </c>
      <c r="AE12">
        <v>690</v>
      </c>
      <c r="AK12">
        <v>5</v>
      </c>
      <c r="AL12">
        <v>10</v>
      </c>
    </row>
    <row r="13" spans="1:44" ht="15">
      <c r="A13" s="11">
        <v>12</v>
      </c>
      <c r="B13" s="12" t="s">
        <v>1322</v>
      </c>
      <c r="C13" s="12" t="s">
        <v>1323</v>
      </c>
      <c r="F13">
        <v>12</v>
      </c>
      <c r="G13" t="s">
        <v>1340</v>
      </c>
      <c r="H13" t="s">
        <v>1341</v>
      </c>
      <c r="I13" s="1"/>
      <c r="T13">
        <v>12</v>
      </c>
      <c r="U13" t="s">
        <v>1342</v>
      </c>
      <c r="X13">
        <v>13</v>
      </c>
      <c r="Y13" t="s">
        <v>92</v>
      </c>
      <c r="Z13" t="s">
        <v>1343</v>
      </c>
      <c r="AC13">
        <v>12</v>
      </c>
      <c r="AD13" t="s">
        <v>1344</v>
      </c>
      <c r="AE13">
        <v>720</v>
      </c>
      <c r="AK13">
        <v>5.5</v>
      </c>
      <c r="AL13">
        <v>11</v>
      </c>
    </row>
    <row r="14" spans="1:44" ht="15">
      <c r="A14" s="11">
        <v>13</v>
      </c>
      <c r="B14" s="12" t="s">
        <v>1345</v>
      </c>
      <c r="C14" s="12" t="s">
        <v>1345</v>
      </c>
      <c r="F14">
        <v>13</v>
      </c>
      <c r="G14" t="s">
        <v>1346</v>
      </c>
      <c r="H14" t="s">
        <v>1347</v>
      </c>
      <c r="I14" s="1"/>
      <c r="T14">
        <v>13</v>
      </c>
      <c r="U14" t="s">
        <v>1348</v>
      </c>
      <c r="X14">
        <v>14</v>
      </c>
      <c r="Y14" t="s">
        <v>1349</v>
      </c>
      <c r="Z14" t="s">
        <v>1350</v>
      </c>
      <c r="AC14">
        <v>13</v>
      </c>
      <c r="AD14" t="s">
        <v>1351</v>
      </c>
      <c r="AE14">
        <v>750</v>
      </c>
      <c r="AK14">
        <v>6</v>
      </c>
      <c r="AL14">
        <v>12</v>
      </c>
    </row>
    <row r="15" spans="1:44" ht="15">
      <c r="A15" s="9">
        <v>14</v>
      </c>
      <c r="B15" s="10"/>
      <c r="C15" s="10"/>
      <c r="F15">
        <v>14</v>
      </c>
      <c r="G15" t="s">
        <v>1352</v>
      </c>
      <c r="H15" t="s">
        <v>1352</v>
      </c>
      <c r="I15" s="1"/>
      <c r="T15">
        <v>14</v>
      </c>
      <c r="U15" t="s">
        <v>20</v>
      </c>
      <c r="X15">
        <v>15</v>
      </c>
      <c r="Y15" t="s">
        <v>1353</v>
      </c>
      <c r="Z15" t="s">
        <v>1354</v>
      </c>
      <c r="AC15">
        <v>14</v>
      </c>
      <c r="AD15" t="s">
        <v>1355</v>
      </c>
      <c r="AE15">
        <v>780</v>
      </c>
      <c r="AK15">
        <v>6.5</v>
      </c>
      <c r="AL15">
        <v>13</v>
      </c>
    </row>
    <row r="16" spans="1:44" ht="15">
      <c r="F16">
        <v>15</v>
      </c>
      <c r="G16" t="s">
        <v>1356</v>
      </c>
      <c r="H16" t="s">
        <v>1357</v>
      </c>
      <c r="I16" s="1"/>
      <c r="T16">
        <v>15</v>
      </c>
      <c r="U16" t="s">
        <v>1358</v>
      </c>
      <c r="X16">
        <v>16</v>
      </c>
      <c r="Y16" t="s">
        <v>1359</v>
      </c>
      <c r="Z16" t="s">
        <v>1360</v>
      </c>
      <c r="AC16">
        <v>15</v>
      </c>
      <c r="AD16" t="s">
        <v>1361</v>
      </c>
      <c r="AE16">
        <v>810</v>
      </c>
      <c r="AK16">
        <v>7</v>
      </c>
      <c r="AL16">
        <v>14</v>
      </c>
    </row>
    <row r="17" spans="9:38" ht="15">
      <c r="I17" s="1"/>
      <c r="T17">
        <v>16</v>
      </c>
      <c r="U17" t="s">
        <v>1362</v>
      </c>
      <c r="X17">
        <v>17</v>
      </c>
      <c r="Y17" t="s">
        <v>1363</v>
      </c>
      <c r="Z17" t="s">
        <v>1364</v>
      </c>
      <c r="AC17">
        <v>16</v>
      </c>
      <c r="AD17" t="s">
        <v>1365</v>
      </c>
      <c r="AE17">
        <v>840</v>
      </c>
      <c r="AK17">
        <v>7.5</v>
      </c>
      <c r="AL17">
        <v>15</v>
      </c>
    </row>
    <row r="18" spans="9:38" ht="15">
      <c r="I18" s="1"/>
      <c r="T18">
        <v>17</v>
      </c>
      <c r="U18" t="s">
        <v>35</v>
      </c>
      <c r="X18">
        <v>18</v>
      </c>
      <c r="Y18" t="s">
        <v>1366</v>
      </c>
      <c r="Z18" t="s">
        <v>1367</v>
      </c>
      <c r="AC18">
        <v>17</v>
      </c>
      <c r="AD18" t="s">
        <v>1368</v>
      </c>
      <c r="AE18">
        <v>870</v>
      </c>
      <c r="AK18">
        <v>8</v>
      </c>
      <c r="AL18">
        <v>16</v>
      </c>
    </row>
    <row r="19" spans="9:38" ht="15">
      <c r="I19" s="1"/>
      <c r="T19">
        <v>18</v>
      </c>
      <c r="U19" t="s">
        <v>1369</v>
      </c>
      <c r="X19">
        <v>19</v>
      </c>
      <c r="Y19" t="s">
        <v>1370</v>
      </c>
      <c r="Z19" t="s">
        <v>1371</v>
      </c>
      <c r="AC19">
        <v>18</v>
      </c>
      <c r="AD19" t="s">
        <v>1372</v>
      </c>
      <c r="AE19">
        <v>900</v>
      </c>
      <c r="AK19">
        <v>8.5</v>
      </c>
      <c r="AL19">
        <v>17</v>
      </c>
    </row>
    <row r="20" spans="9:38">
      <c r="T20">
        <v>19</v>
      </c>
      <c r="U20" t="s">
        <v>1373</v>
      </c>
      <c r="X20">
        <v>20</v>
      </c>
      <c r="Y20" t="s">
        <v>30</v>
      </c>
      <c r="Z20" t="s">
        <v>1374</v>
      </c>
      <c r="AC20">
        <v>19</v>
      </c>
      <c r="AD20" t="s">
        <v>1375</v>
      </c>
      <c r="AE20">
        <v>930</v>
      </c>
      <c r="AK20">
        <v>9</v>
      </c>
      <c r="AL20">
        <v>18</v>
      </c>
    </row>
    <row r="21" spans="9:38">
      <c r="T21">
        <v>20</v>
      </c>
      <c r="U21" t="s">
        <v>1376</v>
      </c>
      <c r="X21">
        <v>21</v>
      </c>
      <c r="Y21" t="s">
        <v>1377</v>
      </c>
      <c r="Z21" t="s">
        <v>1378</v>
      </c>
      <c r="AC21">
        <v>20</v>
      </c>
      <c r="AD21" t="s">
        <v>1379</v>
      </c>
      <c r="AE21">
        <v>960</v>
      </c>
      <c r="AK21">
        <v>9.5</v>
      </c>
      <c r="AL21">
        <v>19</v>
      </c>
    </row>
    <row r="22" spans="9:38">
      <c r="T22">
        <v>21</v>
      </c>
      <c r="U22" t="s">
        <v>1380</v>
      </c>
      <c r="AC22">
        <v>21</v>
      </c>
      <c r="AD22" t="s">
        <v>1381</v>
      </c>
      <c r="AE22">
        <v>990</v>
      </c>
      <c r="AK22">
        <v>10</v>
      </c>
      <c r="AL22">
        <v>20</v>
      </c>
    </row>
    <row r="23" spans="9:38">
      <c r="T23">
        <v>22</v>
      </c>
      <c r="U23" t="s">
        <v>1382</v>
      </c>
      <c r="AC23">
        <v>22</v>
      </c>
      <c r="AD23" t="s">
        <v>1383</v>
      </c>
      <c r="AE23">
        <v>1020</v>
      </c>
      <c r="AK23">
        <v>10.5</v>
      </c>
      <c r="AL23">
        <v>21</v>
      </c>
    </row>
    <row r="24" spans="9:38">
      <c r="T24">
        <v>23</v>
      </c>
      <c r="U24" t="s">
        <v>1384</v>
      </c>
      <c r="AC24">
        <v>23</v>
      </c>
      <c r="AD24" t="s">
        <v>1385</v>
      </c>
      <c r="AE24">
        <v>1050</v>
      </c>
      <c r="AK24">
        <v>11</v>
      </c>
      <c r="AL24">
        <v>22</v>
      </c>
    </row>
    <row r="25" spans="9:38">
      <c r="T25">
        <v>24</v>
      </c>
      <c r="U25" t="s">
        <v>63</v>
      </c>
      <c r="AC25">
        <v>24</v>
      </c>
      <c r="AD25" t="s">
        <v>1386</v>
      </c>
      <c r="AE25">
        <v>1080</v>
      </c>
      <c r="AK25">
        <v>11.5</v>
      </c>
      <c r="AL25">
        <v>23</v>
      </c>
    </row>
    <row r="26" spans="9:38">
      <c r="T26">
        <v>25</v>
      </c>
      <c r="U26" t="s">
        <v>1387</v>
      </c>
      <c r="AC26">
        <v>25</v>
      </c>
      <c r="AD26" t="s">
        <v>1388</v>
      </c>
      <c r="AE26">
        <v>1110</v>
      </c>
      <c r="AK26">
        <v>12</v>
      </c>
      <c r="AL26">
        <v>24</v>
      </c>
    </row>
    <row r="27" spans="9:38">
      <c r="T27">
        <v>26</v>
      </c>
      <c r="U27" t="s">
        <v>56</v>
      </c>
      <c r="AC27">
        <v>26</v>
      </c>
      <c r="AD27" t="s">
        <v>1389</v>
      </c>
      <c r="AE27">
        <v>1140</v>
      </c>
      <c r="AK27">
        <v>12.5</v>
      </c>
      <c r="AL27">
        <v>25</v>
      </c>
    </row>
    <row r="28" spans="9:38">
      <c r="T28">
        <v>27</v>
      </c>
      <c r="U28" t="s">
        <v>58</v>
      </c>
      <c r="AC28">
        <v>27</v>
      </c>
      <c r="AD28" t="s">
        <v>1390</v>
      </c>
      <c r="AE28">
        <v>1170</v>
      </c>
      <c r="AK28">
        <v>13</v>
      </c>
      <c r="AL28">
        <v>26</v>
      </c>
    </row>
    <row r="29" spans="9:38">
      <c r="T29">
        <v>28</v>
      </c>
      <c r="U29" t="s">
        <v>55</v>
      </c>
      <c r="AC29">
        <v>28</v>
      </c>
      <c r="AD29" t="s">
        <v>1391</v>
      </c>
      <c r="AE29">
        <v>1200</v>
      </c>
      <c r="AK29">
        <v>13.5</v>
      </c>
      <c r="AL29">
        <v>27</v>
      </c>
    </row>
    <row r="30" spans="9:38">
      <c r="T30">
        <v>29</v>
      </c>
      <c r="U30" t="s">
        <v>1352</v>
      </c>
      <c r="AC30">
        <v>29</v>
      </c>
      <c r="AD30" t="s">
        <v>1392</v>
      </c>
      <c r="AE30">
        <v>1230</v>
      </c>
      <c r="AK30">
        <v>14</v>
      </c>
      <c r="AL30">
        <v>28</v>
      </c>
    </row>
    <row r="31" spans="9:38">
      <c r="AC31">
        <v>30</v>
      </c>
      <c r="AD31" t="s">
        <v>1393</v>
      </c>
      <c r="AE31">
        <v>1260</v>
      </c>
      <c r="AK31">
        <v>14.5</v>
      </c>
      <c r="AL31">
        <v>29</v>
      </c>
    </row>
    <row r="32" spans="9:38">
      <c r="AC32">
        <v>31</v>
      </c>
      <c r="AD32" t="s">
        <v>1394</v>
      </c>
      <c r="AE32">
        <v>1290</v>
      </c>
      <c r="AK32">
        <v>15</v>
      </c>
      <c r="AL32">
        <v>30</v>
      </c>
    </row>
    <row r="33" spans="29:38">
      <c r="AC33">
        <v>32</v>
      </c>
      <c r="AD33" t="s">
        <v>1395</v>
      </c>
      <c r="AE33">
        <v>1320</v>
      </c>
      <c r="AK33">
        <v>15.5</v>
      </c>
      <c r="AL33">
        <v>31</v>
      </c>
    </row>
    <row r="34" spans="29:38">
      <c r="AC34">
        <v>33</v>
      </c>
      <c r="AD34" t="s">
        <v>1396</v>
      </c>
      <c r="AE34">
        <v>1350</v>
      </c>
      <c r="AK34">
        <v>16</v>
      </c>
      <c r="AL34">
        <v>32</v>
      </c>
    </row>
    <row r="35" spans="29:38">
      <c r="AC35">
        <v>34</v>
      </c>
      <c r="AD35" t="s">
        <v>1397</v>
      </c>
      <c r="AE35">
        <v>1380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829646B9AD290408CC1B110F9D29276" ma:contentTypeVersion="10" ma:contentTypeDescription="Create a new document." ma:contentTypeScope="" ma:versionID="88f3803ba1e74b349f06c61b64a8f877">
  <xsd:schema xmlns:xsd="http://www.w3.org/2001/XMLSchema" xmlns:xs="http://www.w3.org/2001/XMLSchema" xmlns:p="http://schemas.microsoft.com/office/2006/metadata/properties" xmlns:ns3="a6ebcb90-ac09-4851-ae00-ef226ac9e3bb" targetNamespace="http://schemas.microsoft.com/office/2006/metadata/properties" ma:root="true" ma:fieldsID="0130344781ba88ebf59f2eb4ae8623f1" ns3:_="">
    <xsd:import namespace="a6ebcb90-ac09-4851-ae00-ef226ac9e3b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bcb90-ac09-4851-ae00-ef226ac9e3b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ebcb90-ac09-4851-ae00-ef226ac9e3b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D616B7-5188-4DE6-9583-70423E1013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083280-BD49-4F57-8B2E-F0E3A982BD64}">
  <ds:schemaRefs>
    <ds:schemaRef ds:uri="a6ebcb90-ac09-4851-ae00-ef226ac9e3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AF20A54-0AF4-46AA-9E11-AFAF9198C6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Programmes</vt:lpstr>
      <vt:lpstr>Courses</vt:lpstr>
      <vt:lpstr>Activities</vt:lpstr>
      <vt:lpstr>Staff</vt:lpstr>
      <vt:lpstr>FixedLists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Tedjamukti Tobias</dc:creator>
  <cp:keywords/>
  <dc:description/>
  <cp:lastModifiedBy>Tedjamukti Tobias</cp:lastModifiedBy>
  <cp:revision/>
  <dcterms:created xsi:type="dcterms:W3CDTF">2025-09-01T01:06:44Z</dcterms:created>
  <dcterms:modified xsi:type="dcterms:W3CDTF">2025-09-18T07:42:09Z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0x0101000829646B9AD290408CC1B110F9D29276</vt:lpwstr>
  </property>
</Properties>
</file>